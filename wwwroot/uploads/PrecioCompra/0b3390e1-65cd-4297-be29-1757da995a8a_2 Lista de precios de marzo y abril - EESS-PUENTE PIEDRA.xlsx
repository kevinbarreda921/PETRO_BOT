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4EA90E51-AA88-4814-8104-BD82B8B803A4}" xr6:coauthVersionLast="47" xr6:coauthVersionMax="47" xr10:uidLastSave="{00000000-0000-0000-0000-000000000000}"/>
  <bookViews>
    <workbookView xWindow="8700" yWindow="3990" windowWidth="28800" windowHeight="15345" xr2:uid="{E2C0C7D3-1C18-4F57-8E98-92C360FA056B}"/>
  </bookViews>
  <sheets>
    <sheet name="EESS-PUENTE PIEDRA" sheetId="1" r:id="rId1"/>
  </sheets>
  <definedNames>
    <definedName name="_xlnm._FilterDatabase" localSheetId="0" hidden="1">'EESS-PUENTE PIEDRA'!$A$1:$P$10</definedName>
    <definedName name="_xlnm.Print_Area" localSheetId="0">'EESS-PUENTE PIEDRA'!#REF!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R38" i="1" l="1"/>
  <c r="R35" i="1"/>
  <c r="Q13" i="1"/>
  <c r="Q12" i="1"/>
  <c r="I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MVILA</author>
  </authors>
  <commentList>
    <comment ref="I2" authorId="0" shapeId="0" xr:uid="{53D3E731-C805-45C4-A8E2-501A77F66E87}">
      <text>
        <r>
          <rPr>
            <b/>
            <sz val="9"/>
            <color indexed="81"/>
            <rFont val="Tahoma"/>
            <family val="2"/>
          </rPr>
          <t>MVILA:</t>
        </r>
        <r>
          <rPr>
            <sz val="9"/>
            <color indexed="81"/>
            <rFont val="Tahoma"/>
            <family val="2"/>
          </rPr>
          <t xml:space="preserve">
Ingreso 22/02</t>
        </r>
      </text>
    </comment>
    <comment ref="I3" authorId="0" shapeId="0" xr:uid="{A7356835-16D7-4AC8-8F99-03BF67A8F7F3}">
      <text>
        <r>
          <rPr>
            <b/>
            <sz val="9"/>
            <color indexed="81"/>
            <rFont val="Tahoma"/>
            <family val="2"/>
          </rPr>
          <t>MVILA:</t>
        </r>
        <r>
          <rPr>
            <sz val="9"/>
            <color indexed="81"/>
            <rFont val="Tahoma"/>
            <family val="2"/>
          </rPr>
          <t xml:space="preserve">
Ingreso 25/02</t>
        </r>
      </text>
    </comment>
    <comment ref="I4" authorId="0" shapeId="0" xr:uid="{31A9FC04-9B69-4A9C-AE2D-58F2C658CADD}">
      <text>
        <r>
          <rPr>
            <b/>
            <sz val="9"/>
            <color indexed="81"/>
            <rFont val="Tahoma"/>
            <family val="2"/>
          </rPr>
          <t>MVILA:</t>
        </r>
        <r>
          <rPr>
            <sz val="9"/>
            <color indexed="81"/>
            <rFont val="Tahoma"/>
            <family val="2"/>
          </rPr>
          <t xml:space="preserve">
Ingreso 28/02</t>
        </r>
      </text>
    </comment>
    <comment ref="I5" authorId="0" shapeId="0" xr:uid="{2C0E21EF-6462-408C-B541-027225E5E152}">
      <text>
        <r>
          <rPr>
            <b/>
            <sz val="9"/>
            <color indexed="81"/>
            <rFont val="Tahoma"/>
            <family val="2"/>
          </rPr>
          <t>MVILA:</t>
        </r>
        <r>
          <rPr>
            <sz val="9"/>
            <color indexed="81"/>
            <rFont val="Tahoma"/>
            <family val="2"/>
          </rPr>
          <t xml:space="preserve">
Ingreso 23/02</t>
        </r>
      </text>
    </comment>
    <comment ref="I6" authorId="0" shapeId="0" xr:uid="{44026CB4-82C4-422B-A9DA-FA11B985ACED}">
      <text>
        <r>
          <rPr>
            <b/>
            <sz val="9"/>
            <color indexed="81"/>
            <rFont val="Tahoma"/>
            <family val="2"/>
          </rPr>
          <t>MVILA:</t>
        </r>
        <r>
          <rPr>
            <sz val="9"/>
            <color indexed="81"/>
            <rFont val="Tahoma"/>
            <family val="2"/>
          </rPr>
          <t xml:space="preserve">
Ingreso 25/02</t>
        </r>
      </text>
    </comment>
    <comment ref="I7" authorId="0" shapeId="0" xr:uid="{CC32B2BE-DE85-4DE9-8EF6-F076BEA43BF0}">
      <text>
        <r>
          <rPr>
            <b/>
            <sz val="9"/>
            <color indexed="81"/>
            <rFont val="Tahoma"/>
            <family val="2"/>
          </rPr>
          <t>MVILA:</t>
        </r>
        <r>
          <rPr>
            <sz val="9"/>
            <color indexed="81"/>
            <rFont val="Tahoma"/>
            <family val="2"/>
          </rPr>
          <t xml:space="preserve">
Ingreso 23/02</t>
        </r>
      </text>
    </comment>
    <comment ref="I8" authorId="0" shapeId="0" xr:uid="{8F2F66A0-9D8C-41AB-85B5-D500C68A0EAE}">
      <text>
        <r>
          <rPr>
            <b/>
            <sz val="9"/>
            <color indexed="81"/>
            <rFont val="Tahoma"/>
            <family val="2"/>
          </rPr>
          <t>MVILA:</t>
        </r>
        <r>
          <rPr>
            <sz val="9"/>
            <color indexed="81"/>
            <rFont val="Tahoma"/>
            <family val="2"/>
          </rPr>
          <t xml:space="preserve">
Ingreso 25/02</t>
        </r>
      </text>
    </comment>
    <comment ref="I15" authorId="0" shapeId="0" xr:uid="{CE4986E1-D3F7-47C2-9A77-5D9129505AAE}">
      <text>
        <r>
          <rPr>
            <b/>
            <sz val="9"/>
            <color indexed="81"/>
            <rFont val="Tahoma"/>
            <family val="2"/>
          </rPr>
          <t>MVILA:</t>
        </r>
        <r>
          <rPr>
            <sz val="9"/>
            <color indexed="81"/>
            <rFont val="Tahoma"/>
            <family val="2"/>
          </rPr>
          <t xml:space="preserve">
07/03</t>
        </r>
      </text>
    </comment>
    <comment ref="I21" authorId="0" shapeId="0" xr:uid="{626AACBD-2E30-4A2E-B682-D85B1AFE34F3}">
      <text>
        <r>
          <rPr>
            <b/>
            <sz val="9"/>
            <color indexed="81"/>
            <rFont val="Tahoma"/>
            <family val="2"/>
          </rPr>
          <t>MVILA:</t>
        </r>
        <r>
          <rPr>
            <sz val="9"/>
            <color indexed="81"/>
            <rFont val="Tahoma"/>
            <family val="2"/>
          </rPr>
          <t xml:space="preserve">
Ingreso 14/03</t>
        </r>
      </text>
    </comment>
    <comment ref="I31" authorId="0" shapeId="0" xr:uid="{2A9C845C-C3A5-48CA-88F0-1FCC5F4F9367}">
      <text>
        <r>
          <rPr>
            <b/>
            <sz val="9"/>
            <color indexed="81"/>
            <rFont val="Tahoma"/>
            <family val="2"/>
          </rPr>
          <t>MVILA:</t>
        </r>
        <r>
          <rPr>
            <sz val="9"/>
            <color indexed="81"/>
            <rFont val="Tahoma"/>
            <family val="2"/>
          </rPr>
          <t xml:space="preserve">
Ingreso 25/03</t>
        </r>
      </text>
    </comment>
    <comment ref="I32" authorId="0" shapeId="0" xr:uid="{BD007E31-EB78-43F3-902E-AA2BBB504902}">
      <text>
        <r>
          <rPr>
            <b/>
            <sz val="9"/>
            <color indexed="81"/>
            <rFont val="Tahoma"/>
            <family val="2"/>
          </rPr>
          <t>MVILA:</t>
        </r>
        <r>
          <rPr>
            <sz val="9"/>
            <color indexed="81"/>
            <rFont val="Tahoma"/>
            <family val="2"/>
          </rPr>
          <t xml:space="preserve">
Ingreso 26/03</t>
        </r>
      </text>
    </comment>
    <comment ref="I53" authorId="0" shapeId="0" xr:uid="{88534667-82B1-417A-BD62-B6B7716AC5F4}">
      <text>
        <r>
          <rPr>
            <b/>
            <sz val="9"/>
            <color indexed="81"/>
            <rFont val="Tahoma"/>
            <family val="2"/>
          </rPr>
          <t>MVILA:</t>
        </r>
        <r>
          <rPr>
            <sz val="9"/>
            <color indexed="81"/>
            <rFont val="Tahoma"/>
            <family val="2"/>
          </rPr>
          <t xml:space="preserve">
Ingreso 14/03</t>
        </r>
      </text>
    </comment>
    <comment ref="I59" authorId="0" shapeId="0" xr:uid="{C899BF97-69BA-438D-A1E1-A840CB4C6B89}">
      <text>
        <r>
          <rPr>
            <b/>
            <sz val="9"/>
            <color indexed="81"/>
            <rFont val="Tahoma"/>
            <family val="2"/>
          </rPr>
          <t>MVILA:</t>
        </r>
        <r>
          <rPr>
            <sz val="9"/>
            <color indexed="81"/>
            <rFont val="Tahoma"/>
            <family val="2"/>
          </rPr>
          <t xml:space="preserve">
Ingreso 26/03</t>
        </r>
      </text>
    </comment>
    <comment ref="I64" authorId="0" shapeId="0" xr:uid="{0359A21F-3477-425F-9030-3FF3B7CC85AB}">
      <text>
        <r>
          <rPr>
            <b/>
            <sz val="9"/>
            <color indexed="81"/>
            <rFont val="Tahoma"/>
            <family val="2"/>
          </rPr>
          <t>MVILA:</t>
        </r>
        <r>
          <rPr>
            <sz val="9"/>
            <color indexed="81"/>
            <rFont val="Tahoma"/>
            <family val="2"/>
          </rPr>
          <t xml:space="preserve">
Ingreso 03/04</t>
        </r>
      </text>
    </comment>
    <comment ref="I65" authorId="0" shapeId="0" xr:uid="{28BBC08E-A081-47ED-A6E0-C4B5C517ED27}">
      <text>
        <r>
          <rPr>
            <b/>
            <sz val="9"/>
            <color indexed="81"/>
            <rFont val="Tahoma"/>
            <family val="2"/>
          </rPr>
          <t>MVILA:</t>
        </r>
        <r>
          <rPr>
            <sz val="9"/>
            <color indexed="81"/>
            <rFont val="Tahoma"/>
            <family val="2"/>
          </rPr>
          <t xml:space="preserve">
Ingreso 05/04</t>
        </r>
      </text>
    </comment>
    <comment ref="I66" authorId="0" shapeId="0" xr:uid="{4C738DCE-C771-400C-A9F5-C4ED58B2A438}">
      <text>
        <r>
          <rPr>
            <b/>
            <sz val="9"/>
            <color indexed="81"/>
            <rFont val="Tahoma"/>
            <family val="2"/>
          </rPr>
          <t>MVILA:</t>
        </r>
        <r>
          <rPr>
            <sz val="9"/>
            <color indexed="81"/>
            <rFont val="Tahoma"/>
            <family val="2"/>
          </rPr>
          <t xml:space="preserve">
Ingreso 06/04</t>
        </r>
      </text>
    </comment>
    <comment ref="I69" authorId="0" shapeId="0" xr:uid="{7D3206B4-9C85-44DA-9942-18A00C80CE05}">
      <text>
        <r>
          <rPr>
            <b/>
            <sz val="9"/>
            <color indexed="81"/>
            <rFont val="Tahoma"/>
            <family val="2"/>
          </rPr>
          <t>MVILA:</t>
        </r>
        <r>
          <rPr>
            <sz val="9"/>
            <color indexed="81"/>
            <rFont val="Tahoma"/>
            <family val="2"/>
          </rPr>
          <t xml:space="preserve">
Ingreso 09/04</t>
        </r>
      </text>
    </comment>
    <comment ref="I72" authorId="0" shapeId="0" xr:uid="{052F7BC9-89BE-4A9D-87DC-050406BDE900}">
      <text>
        <r>
          <rPr>
            <b/>
            <sz val="9"/>
            <color indexed="81"/>
            <rFont val="Tahoma"/>
            <family val="2"/>
          </rPr>
          <t>MVILA:</t>
        </r>
        <r>
          <rPr>
            <sz val="9"/>
            <color indexed="81"/>
            <rFont val="Tahoma"/>
            <family val="2"/>
          </rPr>
          <t xml:space="preserve">
Ingreso 12/04</t>
        </r>
      </text>
    </comment>
    <comment ref="I75" authorId="0" shapeId="0" xr:uid="{55E2A6E6-F5A9-42CC-B428-D132CF867C4C}">
      <text>
        <r>
          <rPr>
            <b/>
            <sz val="9"/>
            <color indexed="81"/>
            <rFont val="Tahoma"/>
            <family val="2"/>
          </rPr>
          <t>MVILA:</t>
        </r>
        <r>
          <rPr>
            <sz val="9"/>
            <color indexed="81"/>
            <rFont val="Tahoma"/>
            <family val="2"/>
          </rPr>
          <t xml:space="preserve">
Ingreso 16/04</t>
        </r>
      </text>
    </comment>
    <comment ref="I80" authorId="0" shapeId="0" xr:uid="{73154CE1-495A-468F-BE80-41A93F4638A5}">
      <text>
        <r>
          <rPr>
            <b/>
            <sz val="9"/>
            <color indexed="81"/>
            <rFont val="Tahoma"/>
            <family val="2"/>
          </rPr>
          <t>MVILA:</t>
        </r>
        <r>
          <rPr>
            <sz val="9"/>
            <color indexed="81"/>
            <rFont val="Tahoma"/>
            <family val="2"/>
          </rPr>
          <t xml:space="preserve">
Ingreso 26/04</t>
        </r>
      </text>
    </comment>
    <comment ref="I85" authorId="0" shapeId="0" xr:uid="{84D2E5F8-5EC2-4DFC-BBEC-C7523C81A6AB}">
      <text>
        <r>
          <rPr>
            <b/>
            <sz val="9"/>
            <color indexed="81"/>
            <rFont val="Tahoma"/>
            <family val="2"/>
          </rPr>
          <t>MVILA:</t>
        </r>
        <r>
          <rPr>
            <sz val="9"/>
            <color indexed="81"/>
            <rFont val="Tahoma"/>
            <family val="2"/>
          </rPr>
          <t xml:space="preserve">
Ingreso 03/04</t>
        </r>
      </text>
    </comment>
    <comment ref="I86" authorId="0" shapeId="0" xr:uid="{DEF3BE31-44F5-4486-8722-2E404D6EB97B}">
      <text>
        <r>
          <rPr>
            <b/>
            <sz val="9"/>
            <color indexed="81"/>
            <rFont val="Tahoma"/>
            <family val="2"/>
          </rPr>
          <t>MVILA:</t>
        </r>
        <r>
          <rPr>
            <sz val="9"/>
            <color indexed="81"/>
            <rFont val="Tahoma"/>
            <family val="2"/>
          </rPr>
          <t xml:space="preserve">
Ingreso 04/04</t>
        </r>
      </text>
    </comment>
    <comment ref="I87" authorId="0" shapeId="0" xr:uid="{039FCA3B-94CD-4811-9E19-267612FAA102}">
      <text>
        <r>
          <rPr>
            <b/>
            <sz val="9"/>
            <color indexed="81"/>
            <rFont val="Tahoma"/>
            <family val="2"/>
          </rPr>
          <t>MVILA:</t>
        </r>
        <r>
          <rPr>
            <sz val="9"/>
            <color indexed="81"/>
            <rFont val="Tahoma"/>
            <family val="2"/>
          </rPr>
          <t xml:space="preserve">
Ingreso 09/04</t>
        </r>
      </text>
    </comment>
    <comment ref="I89" authorId="0" shapeId="0" xr:uid="{1109CBBE-6118-4407-8C5A-E2DF5F8397C8}">
      <text>
        <r>
          <rPr>
            <b/>
            <sz val="9"/>
            <color indexed="81"/>
            <rFont val="Tahoma"/>
            <family val="2"/>
          </rPr>
          <t>MVILA:</t>
        </r>
        <r>
          <rPr>
            <sz val="9"/>
            <color indexed="81"/>
            <rFont val="Tahoma"/>
            <family val="2"/>
          </rPr>
          <t xml:space="preserve">
Ingreso 13/04</t>
        </r>
      </text>
    </comment>
    <comment ref="I91" authorId="0" shapeId="0" xr:uid="{B4EC5E6E-4317-441B-BB33-E709AE3145E5}">
      <text>
        <r>
          <rPr>
            <b/>
            <sz val="9"/>
            <color indexed="81"/>
            <rFont val="Tahoma"/>
            <family val="2"/>
          </rPr>
          <t>MVILA:</t>
        </r>
        <r>
          <rPr>
            <sz val="9"/>
            <color indexed="81"/>
            <rFont val="Tahoma"/>
            <family val="2"/>
          </rPr>
          <t xml:space="preserve">
Ingreso 16/04</t>
        </r>
      </text>
    </comment>
    <comment ref="I95" authorId="0" shapeId="0" xr:uid="{4156234F-EA70-4C39-948B-33EC77E5C399}">
      <text>
        <r>
          <rPr>
            <b/>
            <sz val="9"/>
            <color indexed="81"/>
            <rFont val="Tahoma"/>
            <family val="2"/>
          </rPr>
          <t>MVILA:</t>
        </r>
        <r>
          <rPr>
            <sz val="9"/>
            <color indexed="81"/>
            <rFont val="Tahoma"/>
            <family val="2"/>
          </rPr>
          <t xml:space="preserve">
Ingreso 26/04</t>
        </r>
      </text>
    </comment>
    <comment ref="I99" authorId="0" shapeId="0" xr:uid="{A57D4D5A-7E55-4A62-A5AE-AC7DC114D314}">
      <text>
        <r>
          <rPr>
            <b/>
            <sz val="9"/>
            <color indexed="81"/>
            <rFont val="Tahoma"/>
            <family val="2"/>
          </rPr>
          <t>MVILA:</t>
        </r>
        <r>
          <rPr>
            <sz val="9"/>
            <color indexed="81"/>
            <rFont val="Tahoma"/>
            <family val="2"/>
          </rPr>
          <t xml:space="preserve">
Ingreso 03/04</t>
        </r>
      </text>
    </comment>
    <comment ref="I100" authorId="0" shapeId="0" xr:uid="{0BB8CF0C-ECF3-4599-852B-E8A01C0F041D}">
      <text>
        <r>
          <rPr>
            <b/>
            <sz val="9"/>
            <color indexed="81"/>
            <rFont val="Tahoma"/>
            <family val="2"/>
          </rPr>
          <t>MVILA:</t>
        </r>
        <r>
          <rPr>
            <sz val="9"/>
            <color indexed="81"/>
            <rFont val="Tahoma"/>
            <family val="2"/>
          </rPr>
          <t xml:space="preserve">
Ingreso 05/04</t>
        </r>
      </text>
    </comment>
    <comment ref="I102" authorId="0" shapeId="0" xr:uid="{5589BF88-D76A-43CB-9AEA-6FEB80D2E415}">
      <text>
        <r>
          <rPr>
            <b/>
            <sz val="9"/>
            <color indexed="81"/>
            <rFont val="Tahoma"/>
            <family val="2"/>
          </rPr>
          <t>MVILA:</t>
        </r>
        <r>
          <rPr>
            <sz val="9"/>
            <color indexed="81"/>
            <rFont val="Tahoma"/>
            <family val="2"/>
          </rPr>
          <t xml:space="preserve">
Ingreso 09/04</t>
        </r>
      </text>
    </comment>
    <comment ref="I104" authorId="0" shapeId="0" xr:uid="{1DFD24BB-0D5E-4A6C-80C8-D83AB4BC5ECC}">
      <text>
        <r>
          <rPr>
            <b/>
            <sz val="9"/>
            <color indexed="81"/>
            <rFont val="Tahoma"/>
            <family val="2"/>
          </rPr>
          <t>MVILA:</t>
        </r>
        <r>
          <rPr>
            <sz val="9"/>
            <color indexed="81"/>
            <rFont val="Tahoma"/>
            <family val="2"/>
          </rPr>
          <t xml:space="preserve">
Ingreso 13/04</t>
        </r>
      </text>
    </comment>
    <comment ref="I106" authorId="0" shapeId="0" xr:uid="{163E7BFB-46FB-4414-BCB5-8AFC0AD5D3C8}">
      <text>
        <r>
          <rPr>
            <b/>
            <sz val="9"/>
            <color indexed="81"/>
            <rFont val="Tahoma"/>
            <family val="2"/>
          </rPr>
          <t>MVILA:</t>
        </r>
        <r>
          <rPr>
            <sz val="9"/>
            <color indexed="81"/>
            <rFont val="Tahoma"/>
            <family val="2"/>
          </rPr>
          <t xml:space="preserve">
Ingreso 16/04</t>
        </r>
      </text>
    </comment>
  </commentList>
</comments>
</file>

<file path=xl/sharedStrings.xml><?xml version="1.0" encoding="utf-8"?>
<sst xmlns="http://schemas.openxmlformats.org/spreadsheetml/2006/main" count="783" uniqueCount="121">
  <si>
    <t>Tipo Doc.</t>
  </si>
  <si>
    <t>Serie</t>
  </si>
  <si>
    <t>Nro.Documento</t>
  </si>
  <si>
    <t>Fecha</t>
  </si>
  <si>
    <t>Almacen Descripcion</t>
  </si>
  <si>
    <t>Articulo Descripcion</t>
  </si>
  <si>
    <t>Cantidad
Facturada</t>
  </si>
  <si>
    <t>PRECIO</t>
  </si>
  <si>
    <t>BI</t>
  </si>
  <si>
    <t>IGV</t>
  </si>
  <si>
    <t>Total</t>
  </si>
  <si>
    <t>PER</t>
  </si>
  <si>
    <t>P X GALON</t>
  </si>
  <si>
    <t>FAC</t>
  </si>
  <si>
    <t>0016</t>
  </si>
  <si>
    <t>00091434</t>
  </si>
  <si>
    <t>01 EE.SS. PASO DE LOS ANDES S.A.C. - PUENTE PIEDRA</t>
  </si>
  <si>
    <t>CREDITO 7 DIAS</t>
  </si>
  <si>
    <t>PAMPILLA - REFINERIA LA PAMPILLA S.A.A</t>
  </si>
  <si>
    <t>GASOHOL REGULAR</t>
  </si>
  <si>
    <t>00091834</t>
  </si>
  <si>
    <t>0005</t>
  </si>
  <si>
    <t>00013727</t>
  </si>
  <si>
    <t>PETROPERU-CONCHAN</t>
  </si>
  <si>
    <t>00091663</t>
  </si>
  <si>
    <t>GASOHOL PREMIUM</t>
  </si>
  <si>
    <t>00091654</t>
  </si>
  <si>
    <t>DIESEL B5-S50 UV</t>
  </si>
  <si>
    <t>00091723</t>
  </si>
  <si>
    <t>00091985</t>
  </si>
  <si>
    <t>00092111</t>
  </si>
  <si>
    <t>00092199</t>
  </si>
  <si>
    <t>00092408</t>
  </si>
  <si>
    <t>00092601</t>
  </si>
  <si>
    <t>00092634</t>
  </si>
  <si>
    <t>0014</t>
  </si>
  <si>
    <t>00051769</t>
  </si>
  <si>
    <t>PLUSPETROL PERU - CALLAO</t>
  </si>
  <si>
    <t>00092749</t>
  </si>
  <si>
    <t>00051771</t>
  </si>
  <si>
    <t>00093003</t>
  </si>
  <si>
    <t>0017</t>
  </si>
  <si>
    <t>00021908</t>
  </si>
  <si>
    <t>VALERO</t>
  </si>
  <si>
    <t>00093327</t>
  </si>
  <si>
    <t>00093653</t>
  </si>
  <si>
    <t>00093809</t>
  </si>
  <si>
    <t>00094083</t>
  </si>
  <si>
    <t>00094273</t>
  </si>
  <si>
    <t>00022100</t>
  </si>
  <si>
    <t>00094649</t>
  </si>
  <si>
    <t>00022121</t>
  </si>
  <si>
    <t>00052424</t>
  </si>
  <si>
    <t>MARATHON - CALLAO</t>
  </si>
  <si>
    <t>00022129</t>
  </si>
  <si>
    <t>00022179</t>
  </si>
  <si>
    <t>00095239</t>
  </si>
  <si>
    <t>00095291</t>
  </si>
  <si>
    <t>00095433</t>
  </si>
  <si>
    <t>00052879</t>
  </si>
  <si>
    <t>CALLAO - REFINERIA LA PAMPILLA S.A.A</t>
  </si>
  <si>
    <t>00095640</t>
  </si>
  <si>
    <t>00092187</t>
  </si>
  <si>
    <t>00092390</t>
  </si>
  <si>
    <t>00092750</t>
  </si>
  <si>
    <t>00093002</t>
  </si>
  <si>
    <t>00093193</t>
  </si>
  <si>
    <t>00094272</t>
  </si>
  <si>
    <t>00094650</t>
  </si>
  <si>
    <t>00094906</t>
  </si>
  <si>
    <t>00092200</t>
  </si>
  <si>
    <t>00092635</t>
  </si>
  <si>
    <t>00092867</t>
  </si>
  <si>
    <t>00092871</t>
  </si>
  <si>
    <t>00093328</t>
  </si>
  <si>
    <t>00093654</t>
  </si>
  <si>
    <t>00093808</t>
  </si>
  <si>
    <t>00094069</t>
  </si>
  <si>
    <t>00022119</t>
  </si>
  <si>
    <t>00095290</t>
  </si>
  <si>
    <t>00095641</t>
  </si>
  <si>
    <t>00053073</t>
  </si>
  <si>
    <t>00053103</t>
  </si>
  <si>
    <t>00095780</t>
  </si>
  <si>
    <t>00096039</t>
  </si>
  <si>
    <t>00096190</t>
  </si>
  <si>
    <t>00096203</t>
  </si>
  <si>
    <t>00096332</t>
  </si>
  <si>
    <t>00022427</t>
  </si>
  <si>
    <t>00022439</t>
  </si>
  <si>
    <t>00053655</t>
  </si>
  <si>
    <t>00096641</t>
  </si>
  <si>
    <t>00053820</t>
  </si>
  <si>
    <t>00097035</t>
  </si>
  <si>
    <t>00097148</t>
  </si>
  <si>
    <t>00097244</t>
  </si>
  <si>
    <t>00097315</t>
  </si>
  <si>
    <t>00097464</t>
  </si>
  <si>
    <t>00097873</t>
  </si>
  <si>
    <t>00098028</t>
  </si>
  <si>
    <t>00098411</t>
  </si>
  <si>
    <t>00098634</t>
  </si>
  <si>
    <t>00098903</t>
  </si>
  <si>
    <t>00055010</t>
  </si>
  <si>
    <t>00095781</t>
  </si>
  <si>
    <t>00096038</t>
  </si>
  <si>
    <t>00096204</t>
  </si>
  <si>
    <t>00022437</t>
  </si>
  <si>
    <t>00096642</t>
  </si>
  <si>
    <t>00096954</t>
  </si>
  <si>
    <t>00097034</t>
  </si>
  <si>
    <t>00097243</t>
  </si>
  <si>
    <t>00097465</t>
  </si>
  <si>
    <t>00097603</t>
  </si>
  <si>
    <t>00098027</t>
  </si>
  <si>
    <t>00098412</t>
  </si>
  <si>
    <t>00098900</t>
  </si>
  <si>
    <t>00055009</t>
  </si>
  <si>
    <t>00096191</t>
  </si>
  <si>
    <t>00096331</t>
  </si>
  <si>
    <t>00098635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</si>
</sst>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Arial"/>
      <family val="2"/>
    </font>
    <font>
      <sz val="8"/>
      <color rgb="FF000000"/>
      <name val="Arial"/>
      <family val="2"/>
    </font>
    <font>
      <b/>
      <sz val="11"/>
      <name val="Calibri"/>
      <family val="2"/>
      <scheme val="minor"/>
    </font>
    <font>
      <sz val="8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</borders>
  <cellStyleXfs count="2">
    <xf numFmtId="0" fontId="0" fillId="0" borderId="0"/>
    <xf numFmtId="0" fontId="1" fillId="0" borderId="0"/>
  </cellStyleXfs>
  <cellXfs count="5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49" fontId="2" fillId="2" borderId="1" xfId="1" applyNumberFormat="1" applyFont="1" applyFill="1" applyBorder="1" applyAlignment="1">
      <alignment horizontal="center" vertical="center"/>
    </xf>
    <xf numFmtId="49" fontId="2" fillId="2" borderId="1" xfId="1" applyNumberFormat="1" applyFont="1" applyFill="1" applyBorder="1" applyAlignment="1">
      <alignment horizontal="left" vertical="center"/>
    </xf>
    <xf numFmtId="49" fontId="2" fillId="2" borderId="1" xfId="1" applyNumberFormat="1" applyFont="1" applyFill="1" applyBorder="1" applyAlignment="1">
      <alignment vertical="center" wrapText="1"/>
    </xf>
    <xf numFmtId="49" fontId="2" fillId="2" borderId="1" xfId="1" applyNumberFormat="1" applyFont="1" applyFill="1" applyBorder="1" applyAlignment="1">
      <alignment horizontal="center" vertical="center" wrapText="1"/>
    </xf>
    <xf numFmtId="49" fontId="2" fillId="3" borderId="1" xfId="1" applyNumberFormat="1" applyFont="1" applyFill="1" applyBorder="1" applyAlignment="1">
      <alignment horizontal="center" vertical="center"/>
    </xf>
    <xf numFmtId="49" fontId="3" fillId="0" borderId="2" xfId="0" applyNumberFormat="1" applyFont="1" applyBorder="1" applyAlignment="1">
      <alignment horizontal="left" vertical="top"/>
    </xf>
    <xf numFmtId="14" fontId="3" fillId="0" borderId="2" xfId="0" applyNumberFormat="1" applyFont="1" applyBorder="1" applyAlignment="1">
      <alignment horizontal="center" vertical="top"/>
    </xf>
    <xf numFmtId="49" fontId="3" fillId="0" borderId="2" xfId="0" applyNumberFormat="1" applyFont="1" applyBorder="1" applyAlignment="1">
      <alignment horizontal="center" vertical="top"/>
    </xf>
    <xf numFmtId="3" fontId="3" fillId="4" borderId="2" xfId="0" applyNumberFormat="1" applyFont="1" applyFill="1" applyBorder="1" applyAlignment="1">
      <alignment horizontal="right" vertical="top"/>
    </xf>
    <xf numFmtId="0" fontId="3" fillId="0" borderId="2" xfId="0" applyFont="1" applyBorder="1" applyAlignment="1">
      <alignment horizontal="right" vertical="top"/>
    </xf>
    <xf numFmtId="4" fontId="3" fillId="0" borderId="2" xfId="0" applyNumberFormat="1" applyFont="1" applyBorder="1" applyAlignment="1">
      <alignment horizontal="right" vertical="top"/>
    </xf>
    <xf numFmtId="164" fontId="4" fillId="0" borderId="0" xfId="0" applyNumberFormat="1" applyFont="1" applyAlignment="1">
      <alignment horizontal="center"/>
    </xf>
    <xf numFmtId="49" fontId="5" fillId="0" borderId="3" xfId="0" applyNumberFormat="1" applyFont="1" applyBorder="1" applyAlignment="1">
      <alignment horizontal="left" vertical="top"/>
    </xf>
    <xf numFmtId="14" fontId="5" fillId="0" borderId="3" xfId="0" applyNumberFormat="1" applyFont="1" applyBorder="1" applyAlignment="1">
      <alignment horizontal="center" vertical="top"/>
    </xf>
    <xf numFmtId="49" fontId="5" fillId="0" borderId="3" xfId="0" applyNumberFormat="1" applyFont="1" applyBorder="1" applyAlignment="1">
      <alignment horizontal="center" vertical="top"/>
    </xf>
    <xf numFmtId="3" fontId="5" fillId="4" borderId="3" xfId="0" applyNumberFormat="1" applyFont="1" applyFill="1" applyBorder="1" applyAlignment="1">
      <alignment horizontal="right" vertical="top"/>
    </xf>
    <xf numFmtId="0" fontId="5" fillId="0" borderId="3" xfId="0" applyFont="1" applyBorder="1" applyAlignment="1">
      <alignment horizontal="right" vertical="top"/>
    </xf>
    <xf numFmtId="4" fontId="5" fillId="0" borderId="3" xfId="0" applyNumberFormat="1" applyFont="1" applyBorder="1" applyAlignment="1">
      <alignment horizontal="right" vertical="top"/>
    </xf>
    <xf numFmtId="49" fontId="3" fillId="0" borderId="3" xfId="0" applyNumberFormat="1" applyFont="1" applyBorder="1" applyAlignment="1">
      <alignment horizontal="left" vertical="top"/>
    </xf>
    <xf numFmtId="14" fontId="3" fillId="0" borderId="3" xfId="0" applyNumberFormat="1" applyFont="1" applyBorder="1" applyAlignment="1">
      <alignment horizontal="center" vertical="top"/>
    </xf>
    <xf numFmtId="49" fontId="3" fillId="0" borderId="3" xfId="0" applyNumberFormat="1" applyFont="1" applyBorder="1" applyAlignment="1">
      <alignment horizontal="center" vertical="top"/>
    </xf>
    <xf numFmtId="3" fontId="3" fillId="4" borderId="3" xfId="0" applyNumberFormat="1" applyFont="1" applyFill="1" applyBorder="1" applyAlignment="1">
      <alignment horizontal="right" vertical="top"/>
    </xf>
    <xf numFmtId="0" fontId="3" fillId="0" borderId="3" xfId="0" applyFont="1" applyBorder="1" applyAlignment="1">
      <alignment horizontal="right" vertical="top"/>
    </xf>
    <xf numFmtId="4" fontId="3" fillId="0" borderId="3" xfId="0" applyNumberFormat="1" applyFont="1" applyBorder="1" applyAlignment="1">
      <alignment horizontal="right" vertical="top"/>
    </xf>
    <xf numFmtId="49" fontId="5" fillId="0" borderId="2" xfId="0" applyNumberFormat="1" applyFont="1" applyBorder="1" applyAlignment="1">
      <alignment horizontal="left" vertical="top"/>
    </xf>
    <xf numFmtId="14" fontId="5" fillId="0" borderId="2" xfId="0" applyNumberFormat="1" applyFont="1" applyBorder="1" applyAlignment="1">
      <alignment horizontal="center" vertical="top"/>
    </xf>
    <xf numFmtId="49" fontId="5" fillId="0" borderId="2" xfId="0" applyNumberFormat="1" applyFont="1" applyBorder="1" applyAlignment="1">
      <alignment horizontal="center" vertical="top"/>
    </xf>
    <xf numFmtId="3" fontId="5" fillId="4" borderId="2" xfId="0" applyNumberFormat="1" applyFont="1" applyFill="1" applyBorder="1" applyAlignment="1">
      <alignment horizontal="right" vertical="top"/>
    </xf>
    <xf numFmtId="0" fontId="5" fillId="0" borderId="2" xfId="0" applyFont="1" applyBorder="1" applyAlignment="1">
      <alignment horizontal="right" vertical="top"/>
    </xf>
    <xf numFmtId="4" fontId="5" fillId="0" borderId="2" xfId="0" applyNumberFormat="1" applyFont="1" applyBorder="1" applyAlignment="1">
      <alignment horizontal="right" vertical="top"/>
    </xf>
    <xf numFmtId="164" fontId="4" fillId="5" borderId="0" xfId="0" applyNumberFormat="1" applyFont="1" applyFill="1" applyAlignment="1">
      <alignment horizontal="center"/>
    </xf>
    <xf numFmtId="3" fontId="0" fillId="0" borderId="0" xfId="0" applyNumberFormat="1"/>
    <xf numFmtId="49" fontId="3" fillId="6" borderId="2" xfId="0" applyNumberFormat="1" applyFont="1" applyFill="1" applyBorder="1" applyAlignment="1">
      <alignment horizontal="left" vertical="top"/>
    </xf>
    <xf numFmtId="14" fontId="3" fillId="6" borderId="2" xfId="0" applyNumberFormat="1" applyFont="1" applyFill="1" applyBorder="1" applyAlignment="1">
      <alignment horizontal="center" vertical="top"/>
    </xf>
    <xf numFmtId="49" fontId="3" fillId="6" borderId="2" xfId="0" applyNumberFormat="1" applyFont="1" applyFill="1" applyBorder="1" applyAlignment="1">
      <alignment horizontal="center" vertical="top"/>
    </xf>
    <xf numFmtId="3" fontId="3" fillId="6" borderId="2" xfId="0" applyNumberFormat="1" applyFont="1" applyFill="1" applyBorder="1" applyAlignment="1">
      <alignment horizontal="right" vertical="top"/>
    </xf>
    <xf numFmtId="0" fontId="3" fillId="6" borderId="2" xfId="0" applyFont="1" applyFill="1" applyBorder="1" applyAlignment="1">
      <alignment horizontal="right" vertical="top"/>
    </xf>
    <xf numFmtId="4" fontId="3" fillId="6" borderId="2" xfId="0" applyNumberFormat="1" applyFont="1" applyFill="1" applyBorder="1" applyAlignment="1">
      <alignment horizontal="right" vertical="top"/>
    </xf>
    <xf numFmtId="164" fontId="4" fillId="6" borderId="0" xfId="0" applyNumberFormat="1" applyFont="1" applyFill="1" applyAlignment="1">
      <alignment horizontal="center"/>
    </xf>
    <xf numFmtId="0" fontId="0" fillId="6" borderId="0" xfId="0" applyFill="1" applyAlignment="1">
      <alignment horizontal="center"/>
    </xf>
    <xf numFmtId="0" fontId="0" fillId="6" borderId="0" xfId="0" applyFill="1"/>
    <xf numFmtId="3" fontId="3" fillId="7" borderId="2" xfId="0" applyNumberFormat="1" applyFont="1" applyFill="1" applyBorder="1" applyAlignment="1">
      <alignment horizontal="right" vertical="top"/>
    </xf>
    <xf numFmtId="0" fontId="3" fillId="4" borderId="2" xfId="0" applyFont="1" applyFill="1" applyBorder="1" applyAlignment="1">
      <alignment horizontal="right" vertical="top"/>
    </xf>
    <xf numFmtId="0" fontId="3" fillId="7" borderId="2" xfId="0" applyFont="1" applyFill="1" applyBorder="1" applyAlignment="1">
      <alignment horizontal="right" vertical="top"/>
    </xf>
    <xf numFmtId="3" fontId="3" fillId="7" borderId="3" xfId="0" applyNumberFormat="1" applyFont="1" applyFill="1" applyBorder="1" applyAlignment="1">
      <alignment horizontal="right" vertical="top"/>
    </xf>
    <xf numFmtId="3" fontId="5" fillId="7" borderId="2" xfId="0" applyNumberFormat="1" applyFont="1" applyFill="1" applyBorder="1" applyAlignment="1">
      <alignment horizontal="right" vertical="top"/>
    </xf>
    <xf numFmtId="0" fontId="5" fillId="7" borderId="2" xfId="0" applyFont="1" applyFill="1" applyBorder="1" applyAlignment="1">
      <alignment horizontal="right" vertical="top"/>
    </xf>
  </cellXfs>
  <cellStyles count="2">
    <cellStyle name="Normal" xfId="0" builtinId="0"/>
    <cellStyle name="Normal_Hoja1" xfId="1" xr:uid="{2578A370-2331-49F6-B750-D7C2D78D0D6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1A4B0-232E-405A-B9FF-95C3FC07240A}">
  <dimension ref="A1:R113"/>
  <sheetViews>
    <sheetView tabSelected="1" zoomScaleNormal="100" workbookViewId="0">
      <selection activeCell="O2" sqref="O2"/>
    </sheetView>
  </sheetViews>
  <sheetFormatPr baseColWidth="10" defaultColWidth="11.42578125" defaultRowHeight="15" x14ac:dyDescent="0.25"/>
  <cols>
    <col min="1" max="1" width="7.42578125" bestFit="1" customWidth="1"/>
    <col min="2" max="2" width="4" customWidth="1"/>
    <col min="3" max="3" width="7.85546875" customWidth="1"/>
    <col min="4" max="4" width="9.140625" customWidth="1"/>
    <col min="5" max="5" width="41.42578125" bestFit="1" customWidth="1"/>
    <col min="6" max="6" width="1.42578125" customWidth="1"/>
    <col min="7" max="7" width="1.140625" style="1" customWidth="1"/>
    <col min="8" max="8" width="18.28515625" style="1" customWidth="1"/>
    <col min="9" max="9" width="9.7109375" style="2" customWidth="1"/>
    <col min="10" max="12" width="0.85546875" customWidth="1"/>
    <col min="13" max="13" width="10.28515625" style="2" customWidth="1"/>
    <col min="14" max="14" width="1.28515625" customWidth="1"/>
    <col min="16" max="16" width="9.7109375" style="1" customWidth="1"/>
    <col min="17" max="17" width="16.42578125" customWidth="1"/>
  </cols>
  <sheetData>
    <row r="1" spans="1:17" ht="25.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4"/>
      <c r="F1" s="3"/>
      <c r="G1" s="3" t="s">
        <v>4</v>
      </c>
      <c r="H1" s="3" t="s">
        <v>5</v>
      </c>
      <c r="I1" s="5" t="s">
        <v>6</v>
      </c>
      <c r="J1" s="6" t="s">
        <v>7</v>
      </c>
      <c r="K1" s="6" t="s">
        <v>8</v>
      </c>
      <c r="L1" s="7" t="s">
        <v>9</v>
      </c>
      <c r="M1" s="3" t="s">
        <v>10</v>
      </c>
      <c r="N1" s="3" t="s">
        <v>11</v>
      </c>
      <c r="O1" s="3" t="s">
        <v>12</v>
      </c>
    </row>
    <row r="2" spans="1:17" x14ac:dyDescent="0.25">
      <c r="A2" s="8" t="s">
        <v>13</v>
      </c>
      <c r="B2" s="8" t="s">
        <v>14</v>
      </c>
      <c r="C2" s="8" t="s">
        <v>15</v>
      </c>
      <c r="D2" s="9">
        <v>46074</v>
      </c>
      <c r="E2" s="8" t="s">
        <v>16</v>
      </c>
      <c r="F2" s="8" t="s">
        <v>17</v>
      </c>
      <c r="G2" s="8" t="s">
        <v>18</v>
      </c>
      <c r="H2" s="10" t="s">
        <v>19</v>
      </c>
      <c r="I2" s="11">
        <v>27</v>
      </c>
      <c r="J2" s="12">
        <v>9.0983999999999998</v>
      </c>
      <c r="K2" s="13">
        <v>22473.040000000001</v>
      </c>
      <c r="L2" s="13">
        <v>4045.15</v>
      </c>
      <c r="M2" s="13">
        <v>26518.19</v>
      </c>
      <c r="N2" s="12">
        <v>265.18</v>
      </c>
      <c r="O2" s="14">
        <v>10.73610931174089</v>
      </c>
    </row>
    <row r="3" spans="1:17" x14ac:dyDescent="0.25">
      <c r="A3" s="15" t="s">
        <v>13</v>
      </c>
      <c r="B3" s="15" t="s">
        <v>14</v>
      </c>
      <c r="C3" s="15" t="s">
        <v>20</v>
      </c>
      <c r="D3" s="16">
        <v>46079</v>
      </c>
      <c r="E3" s="15" t="s">
        <v>16</v>
      </c>
      <c r="F3" s="15" t="s">
        <v>17</v>
      </c>
      <c r="G3" s="15" t="s">
        <v>18</v>
      </c>
      <c r="H3" s="17" t="s">
        <v>19</v>
      </c>
      <c r="I3" s="18">
        <v>1010</v>
      </c>
      <c r="J3" s="19">
        <v>9.1071000000000009</v>
      </c>
      <c r="K3" s="20">
        <v>9198.17</v>
      </c>
      <c r="L3" s="20">
        <v>1655.67</v>
      </c>
      <c r="M3" s="20">
        <v>10853.84</v>
      </c>
      <c r="N3" s="19">
        <v>108.54</v>
      </c>
      <c r="O3" s="14">
        <v>10.746376237623762</v>
      </c>
    </row>
    <row r="4" spans="1:17" x14ac:dyDescent="0.25">
      <c r="A4" s="8" t="s">
        <v>13</v>
      </c>
      <c r="B4" s="8" t="s">
        <v>21</v>
      </c>
      <c r="C4" s="8" t="s">
        <v>22</v>
      </c>
      <c r="D4" s="9">
        <v>46080</v>
      </c>
      <c r="E4" s="8" t="s">
        <v>16</v>
      </c>
      <c r="F4" s="8" t="s">
        <v>17</v>
      </c>
      <c r="G4" s="8" t="s">
        <v>23</v>
      </c>
      <c r="H4" s="10" t="s">
        <v>19</v>
      </c>
      <c r="I4" s="11">
        <v>1000</v>
      </c>
      <c r="J4" s="12">
        <v>10.071</v>
      </c>
      <c r="K4" s="13">
        <v>10071</v>
      </c>
      <c r="L4" s="13">
        <v>1812.78</v>
      </c>
      <c r="M4" s="13">
        <v>11883.78</v>
      </c>
      <c r="N4" s="12">
        <v>118.84</v>
      </c>
      <c r="O4" s="14">
        <v>11.88378</v>
      </c>
      <c r="P4" s="1">
        <v>2037</v>
      </c>
    </row>
    <row r="5" spans="1:17" x14ac:dyDescent="0.25">
      <c r="A5" s="21" t="s">
        <v>13</v>
      </c>
      <c r="B5" s="21" t="s">
        <v>14</v>
      </c>
      <c r="C5" s="21" t="s">
        <v>24</v>
      </c>
      <c r="D5" s="22">
        <v>46077</v>
      </c>
      <c r="E5" s="21" t="s">
        <v>16</v>
      </c>
      <c r="F5" s="21" t="s">
        <v>17</v>
      </c>
      <c r="G5" s="21" t="s">
        <v>18</v>
      </c>
      <c r="H5" s="23" t="s">
        <v>25</v>
      </c>
      <c r="I5" s="24">
        <f>2000-1133</f>
        <v>867</v>
      </c>
      <c r="J5" s="25">
        <v>9.6860999999999997</v>
      </c>
      <c r="K5" s="26">
        <v>19372.2</v>
      </c>
      <c r="L5" s="26">
        <v>3487</v>
      </c>
      <c r="M5" s="26">
        <v>22859.200000000001</v>
      </c>
      <c r="N5" s="25">
        <v>228.59</v>
      </c>
      <c r="O5" s="14">
        <v>11.429600000000001</v>
      </c>
    </row>
    <row r="6" spans="1:17" x14ac:dyDescent="0.25">
      <c r="A6" s="27" t="s">
        <v>13</v>
      </c>
      <c r="B6" s="27" t="s">
        <v>14</v>
      </c>
      <c r="C6" s="27" t="s">
        <v>20</v>
      </c>
      <c r="D6" s="28">
        <v>46079</v>
      </c>
      <c r="E6" s="27" t="s">
        <v>16</v>
      </c>
      <c r="F6" s="27" t="s">
        <v>17</v>
      </c>
      <c r="G6" s="27" t="s">
        <v>18</v>
      </c>
      <c r="H6" s="29" t="s">
        <v>25</v>
      </c>
      <c r="I6" s="30">
        <v>2920</v>
      </c>
      <c r="J6" s="31">
        <v>9.6775000000000002</v>
      </c>
      <c r="K6" s="32">
        <v>28258.3</v>
      </c>
      <c r="L6" s="32">
        <v>5086.49</v>
      </c>
      <c r="M6" s="32">
        <v>33344.79</v>
      </c>
      <c r="N6" s="31">
        <v>333.45</v>
      </c>
      <c r="O6" s="33">
        <v>11.419448630136987</v>
      </c>
      <c r="P6" s="1">
        <v>3787</v>
      </c>
      <c r="Q6" s="34"/>
    </row>
    <row r="7" spans="1:17" x14ac:dyDescent="0.25">
      <c r="A7" s="8" t="s">
        <v>13</v>
      </c>
      <c r="B7" s="8" t="s">
        <v>14</v>
      </c>
      <c r="C7" s="8" t="s">
        <v>26</v>
      </c>
      <c r="D7" s="9">
        <v>46077</v>
      </c>
      <c r="E7" s="8" t="s">
        <v>16</v>
      </c>
      <c r="F7" s="8" t="s">
        <v>17</v>
      </c>
      <c r="G7" s="8" t="s">
        <v>18</v>
      </c>
      <c r="H7" s="10" t="s">
        <v>27</v>
      </c>
      <c r="I7" s="11">
        <v>2300</v>
      </c>
      <c r="J7" s="12">
        <v>10.0382</v>
      </c>
      <c r="K7" s="13">
        <v>30114.6</v>
      </c>
      <c r="L7" s="13">
        <v>5420.63</v>
      </c>
      <c r="M7" s="13">
        <v>35535.230000000003</v>
      </c>
      <c r="N7" s="12">
        <v>355.35</v>
      </c>
      <c r="O7" s="14">
        <v>11.845076666666667</v>
      </c>
    </row>
    <row r="8" spans="1:17" x14ac:dyDescent="0.25">
      <c r="A8" s="8" t="s">
        <v>13</v>
      </c>
      <c r="B8" s="8" t="s">
        <v>14</v>
      </c>
      <c r="C8" s="8" t="s">
        <v>28</v>
      </c>
      <c r="D8" s="9">
        <v>46077</v>
      </c>
      <c r="E8" s="8" t="s">
        <v>16</v>
      </c>
      <c r="F8" s="8" t="s">
        <v>17</v>
      </c>
      <c r="G8" s="8" t="s">
        <v>18</v>
      </c>
      <c r="H8" s="10" t="s">
        <v>27</v>
      </c>
      <c r="I8" s="11">
        <v>2900</v>
      </c>
      <c r="J8" s="12">
        <v>10.158099999999999</v>
      </c>
      <c r="K8" s="13">
        <v>29458.49</v>
      </c>
      <c r="L8" s="13">
        <v>5302.53</v>
      </c>
      <c r="M8" s="13">
        <v>34761.019999999997</v>
      </c>
      <c r="N8" s="12">
        <v>347.61</v>
      </c>
      <c r="O8" s="33">
        <v>11.986558620689655</v>
      </c>
    </row>
    <row r="9" spans="1:17" x14ac:dyDescent="0.25">
      <c r="A9" s="27" t="s">
        <v>13</v>
      </c>
      <c r="B9" s="27" t="s">
        <v>14</v>
      </c>
      <c r="C9" s="27" t="s">
        <v>29</v>
      </c>
      <c r="D9" s="9">
        <v>46079</v>
      </c>
      <c r="E9" s="8" t="s">
        <v>16</v>
      </c>
      <c r="F9" s="8" t="s">
        <v>17</v>
      </c>
      <c r="G9" s="8" t="s">
        <v>18</v>
      </c>
      <c r="H9" s="10" t="s">
        <v>27</v>
      </c>
      <c r="I9" s="11">
        <v>2850</v>
      </c>
      <c r="J9" s="12">
        <v>10.1327</v>
      </c>
      <c r="K9" s="13">
        <v>28878.19</v>
      </c>
      <c r="L9" s="13">
        <v>5198.07</v>
      </c>
      <c r="M9" s="13">
        <v>34076.26</v>
      </c>
      <c r="N9" s="12">
        <v>340.76</v>
      </c>
      <c r="O9" s="33">
        <v>11.956582456140351</v>
      </c>
    </row>
    <row r="10" spans="1:17" x14ac:dyDescent="0.25">
      <c r="A10" s="8" t="s">
        <v>13</v>
      </c>
      <c r="B10" s="8" t="s">
        <v>14</v>
      </c>
      <c r="C10" s="8" t="s">
        <v>30</v>
      </c>
      <c r="D10" s="9">
        <v>46080</v>
      </c>
      <c r="E10" s="8" t="s">
        <v>16</v>
      </c>
      <c r="F10" s="8" t="s">
        <v>17</v>
      </c>
      <c r="G10" s="8" t="s">
        <v>18</v>
      </c>
      <c r="H10" s="10" t="s">
        <v>27</v>
      </c>
      <c r="I10" s="11">
        <v>3300</v>
      </c>
      <c r="J10" s="12">
        <v>10.1327</v>
      </c>
      <c r="K10" s="13">
        <v>33437.910000000003</v>
      </c>
      <c r="L10" s="13">
        <v>6018.82</v>
      </c>
      <c r="M10" s="13">
        <v>39456.730000000003</v>
      </c>
      <c r="N10" s="12">
        <v>394.57</v>
      </c>
      <c r="O10" s="33">
        <v>11.95658484848485</v>
      </c>
    </row>
    <row r="11" spans="1:17" x14ac:dyDescent="0.25">
      <c r="A11" s="35" t="s">
        <v>13</v>
      </c>
      <c r="B11" s="35" t="s">
        <v>14</v>
      </c>
      <c r="C11" s="35" t="s">
        <v>31</v>
      </c>
      <c r="D11" s="36">
        <v>46083</v>
      </c>
      <c r="E11" s="35" t="s">
        <v>16</v>
      </c>
      <c r="F11" s="35" t="s">
        <v>17</v>
      </c>
      <c r="G11" s="35" t="s">
        <v>18</v>
      </c>
      <c r="H11" s="37" t="s">
        <v>27</v>
      </c>
      <c r="I11" s="38">
        <v>3300</v>
      </c>
      <c r="J11" s="39">
        <v>10.1327</v>
      </c>
      <c r="K11" s="40">
        <v>33437.910000000003</v>
      </c>
      <c r="L11" s="40">
        <v>6018.82</v>
      </c>
      <c r="M11" s="40">
        <v>39456.730000000003</v>
      </c>
      <c r="N11" s="39">
        <v>394.57</v>
      </c>
      <c r="O11" s="41">
        <v>11.95658484848485</v>
      </c>
      <c r="P11" s="42">
        <v>11349</v>
      </c>
      <c r="Q11" s="43"/>
    </row>
    <row r="12" spans="1:17" x14ac:dyDescent="0.25">
      <c r="A12" s="8" t="s">
        <v>13</v>
      </c>
      <c r="B12" s="8" t="s">
        <v>14</v>
      </c>
      <c r="C12" s="8" t="s">
        <v>32</v>
      </c>
      <c r="D12" s="9">
        <v>46083</v>
      </c>
      <c r="E12" s="8" t="s">
        <v>16</v>
      </c>
      <c r="F12" s="8" t="s">
        <v>17</v>
      </c>
      <c r="G12" s="8" t="s">
        <v>18</v>
      </c>
      <c r="H12" s="10" t="s">
        <v>27</v>
      </c>
      <c r="I12" s="11">
        <v>3000</v>
      </c>
      <c r="J12" s="12">
        <v>10.1327</v>
      </c>
      <c r="K12" s="13">
        <v>30398.1</v>
      </c>
      <c r="L12" s="13">
        <v>5471.66</v>
      </c>
      <c r="M12" s="13">
        <v>35869.760000000002</v>
      </c>
      <c r="N12" s="12">
        <v>358.7</v>
      </c>
      <c r="O12" s="14">
        <v>11.956586666666666</v>
      </c>
      <c r="Q12" s="34">
        <f>+P12-I7</f>
        <v>-2300</v>
      </c>
    </row>
    <row r="13" spans="1:17" x14ac:dyDescent="0.25">
      <c r="A13" s="8" t="s">
        <v>13</v>
      </c>
      <c r="B13" s="8" t="s">
        <v>14</v>
      </c>
      <c r="C13" s="8" t="s">
        <v>33</v>
      </c>
      <c r="D13" s="9">
        <v>46085</v>
      </c>
      <c r="E13" s="8" t="s">
        <v>16</v>
      </c>
      <c r="F13" s="8" t="s">
        <v>17</v>
      </c>
      <c r="G13" s="8" t="s">
        <v>18</v>
      </c>
      <c r="H13" s="10" t="s">
        <v>27</v>
      </c>
      <c r="I13" s="11">
        <v>3300</v>
      </c>
      <c r="J13" s="12">
        <v>10.420999999999999</v>
      </c>
      <c r="K13" s="13">
        <v>34389.300000000003</v>
      </c>
      <c r="L13" s="13">
        <v>6190.07</v>
      </c>
      <c r="M13" s="13">
        <v>40579.370000000003</v>
      </c>
      <c r="N13" s="12">
        <v>405.79</v>
      </c>
      <c r="O13" s="14">
        <v>12.29677878787879</v>
      </c>
      <c r="Q13">
        <f>+P13-9050</f>
        <v>-9050</v>
      </c>
    </row>
    <row r="14" spans="1:17" x14ac:dyDescent="0.25">
      <c r="A14" s="8" t="s">
        <v>13</v>
      </c>
      <c r="B14" s="8" t="s">
        <v>14</v>
      </c>
      <c r="C14" s="8" t="s">
        <v>34</v>
      </c>
      <c r="D14" s="9">
        <v>46086</v>
      </c>
      <c r="E14" s="8" t="s">
        <v>16</v>
      </c>
      <c r="F14" s="8" t="s">
        <v>17</v>
      </c>
      <c r="G14" s="8" t="s">
        <v>18</v>
      </c>
      <c r="H14" s="10" t="s">
        <v>27</v>
      </c>
      <c r="I14" s="11">
        <v>3300</v>
      </c>
      <c r="J14" s="12">
        <v>10.420999999999999</v>
      </c>
      <c r="K14" s="13">
        <v>34389.300000000003</v>
      </c>
      <c r="L14" s="13">
        <v>6190.07</v>
      </c>
      <c r="M14" s="13">
        <v>40579.370000000003</v>
      </c>
      <c r="N14" s="12">
        <v>405.79</v>
      </c>
      <c r="O14" s="14">
        <v>12.29677878787879</v>
      </c>
    </row>
    <row r="15" spans="1:17" x14ac:dyDescent="0.25">
      <c r="A15" s="8" t="s">
        <v>13</v>
      </c>
      <c r="B15" s="8" t="s">
        <v>35</v>
      </c>
      <c r="C15" s="8" t="s">
        <v>36</v>
      </c>
      <c r="D15" s="9">
        <v>46087</v>
      </c>
      <c r="E15" s="8" t="s">
        <v>16</v>
      </c>
      <c r="F15" s="8" t="s">
        <v>17</v>
      </c>
      <c r="G15" s="8" t="s">
        <v>37</v>
      </c>
      <c r="H15" s="10" t="s">
        <v>27</v>
      </c>
      <c r="I15" s="11">
        <v>4000</v>
      </c>
      <c r="J15" s="12">
        <v>10.2392</v>
      </c>
      <c r="K15" s="13">
        <v>40956.800000000003</v>
      </c>
      <c r="L15" s="13">
        <v>7372.22</v>
      </c>
      <c r="M15" s="13">
        <v>48329.02</v>
      </c>
      <c r="N15" s="12">
        <v>483.29</v>
      </c>
      <c r="O15" s="14">
        <v>12.082255</v>
      </c>
    </row>
    <row r="16" spans="1:17" x14ac:dyDescent="0.25">
      <c r="A16" s="8" t="s">
        <v>13</v>
      </c>
      <c r="B16" s="8" t="s">
        <v>14</v>
      </c>
      <c r="C16" s="8" t="s">
        <v>38</v>
      </c>
      <c r="D16" s="9">
        <v>46087</v>
      </c>
      <c r="E16" s="8" t="s">
        <v>16</v>
      </c>
      <c r="F16" s="8" t="s">
        <v>17</v>
      </c>
      <c r="G16" s="8" t="s">
        <v>18</v>
      </c>
      <c r="H16" s="10" t="s">
        <v>27</v>
      </c>
      <c r="I16" s="11">
        <v>3300</v>
      </c>
      <c r="J16" s="12">
        <v>10.4252</v>
      </c>
      <c r="K16" s="13">
        <v>34403.160000000003</v>
      </c>
      <c r="L16" s="13">
        <v>6192.57</v>
      </c>
      <c r="M16" s="13">
        <v>40595.730000000003</v>
      </c>
      <c r="N16" s="12">
        <v>405.96</v>
      </c>
      <c r="O16" s="14">
        <v>12.301736363636365</v>
      </c>
    </row>
    <row r="17" spans="1:15" x14ac:dyDescent="0.25">
      <c r="A17" s="8" t="s">
        <v>13</v>
      </c>
      <c r="B17" s="8" t="s">
        <v>35</v>
      </c>
      <c r="C17" s="8" t="s">
        <v>39</v>
      </c>
      <c r="D17" s="9">
        <v>46088</v>
      </c>
      <c r="E17" s="8" t="s">
        <v>16</v>
      </c>
      <c r="F17" s="8" t="s">
        <v>17</v>
      </c>
      <c r="G17" s="8" t="s">
        <v>37</v>
      </c>
      <c r="H17" s="10" t="s">
        <v>27</v>
      </c>
      <c r="I17" s="11">
        <v>4200</v>
      </c>
      <c r="J17" s="12">
        <v>10.2392</v>
      </c>
      <c r="K17" s="13">
        <v>43004.639999999999</v>
      </c>
      <c r="L17" s="13">
        <v>7740.84</v>
      </c>
      <c r="M17" s="13">
        <v>50745.48</v>
      </c>
      <c r="N17" s="12">
        <v>507.45</v>
      </c>
      <c r="O17" s="14">
        <v>12.082257142857143</v>
      </c>
    </row>
    <row r="18" spans="1:15" x14ac:dyDescent="0.25">
      <c r="A18" s="8" t="s">
        <v>13</v>
      </c>
      <c r="B18" s="8" t="s">
        <v>14</v>
      </c>
      <c r="C18" s="8" t="s">
        <v>40</v>
      </c>
      <c r="D18" s="9">
        <v>46089</v>
      </c>
      <c r="E18" s="8" t="s">
        <v>16</v>
      </c>
      <c r="F18" s="8" t="s">
        <v>17</v>
      </c>
      <c r="G18" s="8" t="s">
        <v>18</v>
      </c>
      <c r="H18" s="10" t="s">
        <v>27</v>
      </c>
      <c r="I18" s="11">
        <v>3000</v>
      </c>
      <c r="J18" s="12">
        <v>10.4171</v>
      </c>
      <c r="K18" s="13">
        <v>31251.3</v>
      </c>
      <c r="L18" s="13">
        <v>5625.23</v>
      </c>
      <c r="M18" s="13">
        <v>36876.53</v>
      </c>
      <c r="N18" s="12">
        <v>368.77</v>
      </c>
      <c r="O18" s="14">
        <v>12.292176666666666</v>
      </c>
    </row>
    <row r="19" spans="1:15" x14ac:dyDescent="0.25">
      <c r="A19" s="8" t="s">
        <v>13</v>
      </c>
      <c r="B19" s="8" t="s">
        <v>41</v>
      </c>
      <c r="C19" s="8" t="s">
        <v>42</v>
      </c>
      <c r="D19" s="9">
        <v>46091</v>
      </c>
      <c r="E19" s="8" t="s">
        <v>16</v>
      </c>
      <c r="F19" s="8" t="s">
        <v>17</v>
      </c>
      <c r="G19" s="8" t="s">
        <v>43</v>
      </c>
      <c r="H19" s="10" t="s">
        <v>27</v>
      </c>
      <c r="I19" s="44">
        <v>4000</v>
      </c>
      <c r="J19" s="12">
        <v>14.849299999999999</v>
      </c>
      <c r="K19" s="13">
        <v>59397.2</v>
      </c>
      <c r="L19" s="13">
        <v>10691.5</v>
      </c>
      <c r="M19" s="13">
        <v>70088.7</v>
      </c>
      <c r="N19" s="12">
        <v>700.89</v>
      </c>
      <c r="O19" s="14">
        <v>17.522175000000001</v>
      </c>
    </row>
    <row r="20" spans="1:15" x14ac:dyDescent="0.25">
      <c r="A20" s="8" t="s">
        <v>13</v>
      </c>
      <c r="B20" s="8" t="s">
        <v>14</v>
      </c>
      <c r="C20" s="8" t="s">
        <v>44</v>
      </c>
      <c r="D20" s="9">
        <v>46092</v>
      </c>
      <c r="E20" s="8" t="s">
        <v>16</v>
      </c>
      <c r="F20" s="8" t="s">
        <v>17</v>
      </c>
      <c r="G20" s="8" t="s">
        <v>18</v>
      </c>
      <c r="H20" s="10" t="s">
        <v>27</v>
      </c>
      <c r="I20" s="44">
        <v>3000</v>
      </c>
      <c r="J20" s="12">
        <v>12.202199999999999</v>
      </c>
      <c r="K20" s="13">
        <v>36606.6</v>
      </c>
      <c r="L20" s="13">
        <v>6589.19</v>
      </c>
      <c r="M20" s="13">
        <v>43195.79</v>
      </c>
      <c r="N20" s="12">
        <v>431.96</v>
      </c>
      <c r="O20" s="14">
        <v>14.398596666666666</v>
      </c>
    </row>
    <row r="21" spans="1:15" x14ac:dyDescent="0.25">
      <c r="A21" s="8" t="s">
        <v>13</v>
      </c>
      <c r="B21" s="8" t="s">
        <v>14</v>
      </c>
      <c r="C21" s="8" t="s">
        <v>45</v>
      </c>
      <c r="D21" s="9">
        <v>46094</v>
      </c>
      <c r="E21" s="8" t="s">
        <v>16</v>
      </c>
      <c r="F21" s="8" t="s">
        <v>17</v>
      </c>
      <c r="G21" s="8" t="s">
        <v>18</v>
      </c>
      <c r="H21" s="10" t="s">
        <v>27</v>
      </c>
      <c r="I21" s="44">
        <v>2900</v>
      </c>
      <c r="J21" s="12">
        <v>12.2012</v>
      </c>
      <c r="K21" s="13">
        <v>35383.480000000003</v>
      </c>
      <c r="L21" s="13">
        <v>6369.03</v>
      </c>
      <c r="M21" s="13">
        <v>41752.51</v>
      </c>
      <c r="N21" s="12">
        <v>417.53</v>
      </c>
      <c r="O21" s="14">
        <v>14.39741724137931</v>
      </c>
    </row>
    <row r="22" spans="1:15" x14ac:dyDescent="0.25">
      <c r="A22" s="8" t="s">
        <v>13</v>
      </c>
      <c r="B22" s="8" t="s">
        <v>14</v>
      </c>
      <c r="C22" s="8" t="s">
        <v>46</v>
      </c>
      <c r="D22" s="9">
        <v>46095</v>
      </c>
      <c r="E22" s="8" t="s">
        <v>16</v>
      </c>
      <c r="F22" s="8" t="s">
        <v>17</v>
      </c>
      <c r="G22" s="8" t="s">
        <v>18</v>
      </c>
      <c r="H22" s="10" t="s">
        <v>27</v>
      </c>
      <c r="I22" s="44">
        <v>3000</v>
      </c>
      <c r="J22" s="12">
        <v>12.2012</v>
      </c>
      <c r="K22" s="13">
        <v>36603.599999999999</v>
      </c>
      <c r="L22" s="13">
        <v>6588.65</v>
      </c>
      <c r="M22" s="13">
        <v>43192.25</v>
      </c>
      <c r="N22" s="12">
        <v>431.92</v>
      </c>
      <c r="O22" s="14">
        <v>14.397416666666667</v>
      </c>
    </row>
    <row r="23" spans="1:15" x14ac:dyDescent="0.25">
      <c r="A23" s="8" t="s">
        <v>13</v>
      </c>
      <c r="B23" s="8" t="s">
        <v>14</v>
      </c>
      <c r="C23" s="8" t="s">
        <v>47</v>
      </c>
      <c r="D23" s="9">
        <v>46098</v>
      </c>
      <c r="E23" s="8" t="s">
        <v>16</v>
      </c>
      <c r="F23" s="8" t="s">
        <v>17</v>
      </c>
      <c r="G23" s="8" t="s">
        <v>18</v>
      </c>
      <c r="H23" s="10" t="s">
        <v>27</v>
      </c>
      <c r="I23" s="44">
        <v>3000</v>
      </c>
      <c r="J23" s="12">
        <v>12.2012</v>
      </c>
      <c r="K23" s="13">
        <v>36603.599999999999</v>
      </c>
      <c r="L23" s="13">
        <v>6588.65</v>
      </c>
      <c r="M23" s="13">
        <v>43192.25</v>
      </c>
      <c r="N23" s="12">
        <v>431.92</v>
      </c>
      <c r="O23" s="14">
        <v>14.397416666666667</v>
      </c>
    </row>
    <row r="24" spans="1:15" x14ac:dyDescent="0.25">
      <c r="A24" s="8" t="s">
        <v>13</v>
      </c>
      <c r="B24" s="8" t="s">
        <v>14</v>
      </c>
      <c r="C24" s="8" t="s">
        <v>48</v>
      </c>
      <c r="D24" s="9">
        <v>46099</v>
      </c>
      <c r="E24" s="8" t="s">
        <v>16</v>
      </c>
      <c r="F24" s="8" t="s">
        <v>17</v>
      </c>
      <c r="G24" s="8" t="s">
        <v>18</v>
      </c>
      <c r="H24" s="10" t="s">
        <v>27</v>
      </c>
      <c r="I24" s="44">
        <v>3000</v>
      </c>
      <c r="J24" s="12">
        <v>14.4885</v>
      </c>
      <c r="K24" s="13">
        <v>43465.5</v>
      </c>
      <c r="L24" s="13">
        <v>7823.79</v>
      </c>
      <c r="M24" s="13">
        <v>51289.29</v>
      </c>
      <c r="N24" s="12">
        <v>512.89</v>
      </c>
      <c r="O24" s="14">
        <v>17.096430000000002</v>
      </c>
    </row>
    <row r="25" spans="1:15" x14ac:dyDescent="0.25">
      <c r="A25" s="8" t="s">
        <v>13</v>
      </c>
      <c r="B25" s="8" t="s">
        <v>41</v>
      </c>
      <c r="C25" s="8" t="s">
        <v>49</v>
      </c>
      <c r="D25" s="9">
        <v>46099</v>
      </c>
      <c r="E25" s="8" t="s">
        <v>16</v>
      </c>
      <c r="F25" s="8" t="s">
        <v>17</v>
      </c>
      <c r="G25" s="8" t="s">
        <v>43</v>
      </c>
      <c r="H25" s="10" t="s">
        <v>27</v>
      </c>
      <c r="I25" s="44">
        <v>5390</v>
      </c>
      <c r="J25" s="12">
        <v>15.7597</v>
      </c>
      <c r="K25" s="13">
        <v>84944.78</v>
      </c>
      <c r="L25" s="13">
        <v>15290.06</v>
      </c>
      <c r="M25" s="13">
        <v>100234.84</v>
      </c>
      <c r="N25" s="13">
        <v>1002.35</v>
      </c>
      <c r="O25" s="14">
        <v>18.596445269016698</v>
      </c>
    </row>
    <row r="26" spans="1:15" x14ac:dyDescent="0.25">
      <c r="A26" s="8" t="s">
        <v>13</v>
      </c>
      <c r="B26" s="8" t="s">
        <v>14</v>
      </c>
      <c r="C26" s="8" t="s">
        <v>50</v>
      </c>
      <c r="D26" s="9">
        <v>46101</v>
      </c>
      <c r="E26" s="8" t="s">
        <v>16</v>
      </c>
      <c r="F26" s="8" t="s">
        <v>17</v>
      </c>
      <c r="G26" s="8" t="s">
        <v>18</v>
      </c>
      <c r="H26" s="10" t="s">
        <v>27</v>
      </c>
      <c r="I26" s="44">
        <v>3000</v>
      </c>
      <c r="J26" s="12">
        <v>14.4885</v>
      </c>
      <c r="K26" s="13">
        <v>43465.5</v>
      </c>
      <c r="L26" s="13">
        <v>7823.79</v>
      </c>
      <c r="M26" s="13">
        <v>51289.29</v>
      </c>
      <c r="N26" s="12">
        <v>512.89</v>
      </c>
      <c r="O26" s="14">
        <v>17.096430000000002</v>
      </c>
    </row>
    <row r="27" spans="1:15" x14ac:dyDescent="0.25">
      <c r="A27" s="8" t="s">
        <v>13</v>
      </c>
      <c r="B27" s="8" t="s">
        <v>41</v>
      </c>
      <c r="C27" s="8" t="s">
        <v>51</v>
      </c>
      <c r="D27" s="9">
        <v>46102</v>
      </c>
      <c r="E27" s="8" t="s">
        <v>16</v>
      </c>
      <c r="F27" s="8" t="s">
        <v>17</v>
      </c>
      <c r="G27" s="8" t="s">
        <v>43</v>
      </c>
      <c r="H27" s="10" t="s">
        <v>27</v>
      </c>
      <c r="I27" s="44">
        <v>2920</v>
      </c>
      <c r="J27" s="12">
        <v>17.3444</v>
      </c>
      <c r="K27" s="13">
        <v>50645.65</v>
      </c>
      <c r="L27" s="13">
        <v>9116.2199999999993</v>
      </c>
      <c r="M27" s="13">
        <v>59761.87</v>
      </c>
      <c r="N27" s="12">
        <v>597.62</v>
      </c>
      <c r="O27" s="14">
        <v>20.46639383561644</v>
      </c>
    </row>
    <row r="28" spans="1:15" x14ac:dyDescent="0.25">
      <c r="A28" s="8" t="s">
        <v>13</v>
      </c>
      <c r="B28" s="8" t="s">
        <v>35</v>
      </c>
      <c r="C28" s="8" t="s">
        <v>52</v>
      </c>
      <c r="D28" s="9">
        <v>46104</v>
      </c>
      <c r="E28" s="8" t="s">
        <v>16</v>
      </c>
      <c r="F28" s="8" t="s">
        <v>17</v>
      </c>
      <c r="G28" s="8" t="s">
        <v>53</v>
      </c>
      <c r="H28" s="10" t="s">
        <v>27</v>
      </c>
      <c r="I28" s="44">
        <v>3000</v>
      </c>
      <c r="J28" s="12">
        <v>14.6411</v>
      </c>
      <c r="K28" s="13">
        <v>43923.3</v>
      </c>
      <c r="L28" s="13">
        <v>7906.19</v>
      </c>
      <c r="M28" s="13">
        <v>51829.49</v>
      </c>
      <c r="N28" s="12">
        <v>518.29</v>
      </c>
      <c r="O28" s="14">
        <v>17.276496666666667</v>
      </c>
    </row>
    <row r="29" spans="1:15" x14ac:dyDescent="0.25">
      <c r="A29" s="8" t="s">
        <v>13</v>
      </c>
      <c r="B29" s="8" t="s">
        <v>41</v>
      </c>
      <c r="C29" s="8" t="s">
        <v>54</v>
      </c>
      <c r="D29" s="9">
        <v>46105</v>
      </c>
      <c r="E29" s="8" t="s">
        <v>16</v>
      </c>
      <c r="F29" s="8" t="s">
        <v>17</v>
      </c>
      <c r="G29" s="8" t="s">
        <v>43</v>
      </c>
      <c r="H29" s="10" t="s">
        <v>27</v>
      </c>
      <c r="I29" s="44">
        <v>2920</v>
      </c>
      <c r="J29" s="12">
        <v>17.3444</v>
      </c>
      <c r="K29" s="13">
        <v>50645.65</v>
      </c>
      <c r="L29" s="13">
        <v>9116.2199999999993</v>
      </c>
      <c r="M29" s="13">
        <v>59761.87</v>
      </c>
      <c r="N29" s="12">
        <v>597.62</v>
      </c>
      <c r="O29" s="14">
        <v>20.46639383561644</v>
      </c>
    </row>
    <row r="30" spans="1:15" x14ac:dyDescent="0.25">
      <c r="A30" s="8" t="s">
        <v>13</v>
      </c>
      <c r="B30" s="8" t="s">
        <v>41</v>
      </c>
      <c r="C30" s="8" t="s">
        <v>55</v>
      </c>
      <c r="D30" s="9">
        <v>46106</v>
      </c>
      <c r="E30" s="8" t="s">
        <v>16</v>
      </c>
      <c r="F30" s="8" t="s">
        <v>17</v>
      </c>
      <c r="G30" s="8" t="s">
        <v>43</v>
      </c>
      <c r="H30" s="10" t="s">
        <v>27</v>
      </c>
      <c r="I30" s="44">
        <v>1150</v>
      </c>
      <c r="J30" s="12">
        <v>16.671900000000001</v>
      </c>
      <c r="K30" s="13">
        <v>19172.68</v>
      </c>
      <c r="L30" s="13">
        <v>3451.08</v>
      </c>
      <c r="M30" s="13">
        <v>22623.759999999998</v>
      </c>
      <c r="N30" s="12">
        <v>226.24</v>
      </c>
      <c r="O30" s="14">
        <v>19.672834782608696</v>
      </c>
    </row>
    <row r="31" spans="1:15" x14ac:dyDescent="0.25">
      <c r="A31" s="8" t="s">
        <v>13</v>
      </c>
      <c r="B31" s="8" t="s">
        <v>14</v>
      </c>
      <c r="C31" s="8" t="s">
        <v>56</v>
      </c>
      <c r="D31" s="9">
        <v>46107</v>
      </c>
      <c r="E31" s="8" t="s">
        <v>16</v>
      </c>
      <c r="F31" s="8" t="s">
        <v>17</v>
      </c>
      <c r="G31" s="8" t="s">
        <v>18</v>
      </c>
      <c r="H31" s="10" t="s">
        <v>27</v>
      </c>
      <c r="I31" s="44">
        <v>3000</v>
      </c>
      <c r="J31" s="12">
        <v>15.883800000000001</v>
      </c>
      <c r="K31" s="13">
        <v>47651.4</v>
      </c>
      <c r="L31" s="13">
        <v>8577.25</v>
      </c>
      <c r="M31" s="13">
        <v>56228.65</v>
      </c>
      <c r="N31" s="12">
        <v>562.29</v>
      </c>
      <c r="O31" s="14">
        <v>18.742883333333335</v>
      </c>
    </row>
    <row r="32" spans="1:15" x14ac:dyDescent="0.25">
      <c r="A32" s="8" t="s">
        <v>13</v>
      </c>
      <c r="B32" s="8" t="s">
        <v>14</v>
      </c>
      <c r="C32" s="8" t="s">
        <v>57</v>
      </c>
      <c r="D32" s="9">
        <v>46108</v>
      </c>
      <c r="E32" s="8" t="s">
        <v>16</v>
      </c>
      <c r="F32" s="8" t="s">
        <v>17</v>
      </c>
      <c r="G32" s="8" t="s">
        <v>18</v>
      </c>
      <c r="H32" s="10" t="s">
        <v>27</v>
      </c>
      <c r="I32" s="44">
        <v>2900</v>
      </c>
      <c r="J32" s="12">
        <v>15.883800000000001</v>
      </c>
      <c r="K32" s="13">
        <v>46063.02</v>
      </c>
      <c r="L32" s="13">
        <v>8291.34</v>
      </c>
      <c r="M32" s="13">
        <v>54354.36</v>
      </c>
      <c r="N32" s="12">
        <v>543.54</v>
      </c>
      <c r="O32" s="14">
        <v>18.742882758620691</v>
      </c>
    </row>
    <row r="33" spans="1:18" x14ac:dyDescent="0.25">
      <c r="A33" s="8" t="s">
        <v>13</v>
      </c>
      <c r="B33" s="8" t="s">
        <v>14</v>
      </c>
      <c r="C33" s="8" t="s">
        <v>58</v>
      </c>
      <c r="D33" s="9">
        <v>46108</v>
      </c>
      <c r="E33" s="8" t="s">
        <v>16</v>
      </c>
      <c r="F33" s="8" t="s">
        <v>17</v>
      </c>
      <c r="G33" s="8" t="s">
        <v>18</v>
      </c>
      <c r="H33" s="10" t="s">
        <v>27</v>
      </c>
      <c r="I33" s="44">
        <v>2920</v>
      </c>
      <c r="J33" s="12">
        <v>15.883699999999999</v>
      </c>
      <c r="K33" s="13">
        <v>46380.4</v>
      </c>
      <c r="L33" s="13">
        <v>8348.4699999999993</v>
      </c>
      <c r="M33" s="13">
        <v>54728.87</v>
      </c>
      <c r="N33" s="12">
        <v>547.29</v>
      </c>
      <c r="O33" s="14">
        <v>18.742763698630139</v>
      </c>
    </row>
    <row r="34" spans="1:18" x14ac:dyDescent="0.25">
      <c r="A34" s="8" t="s">
        <v>13</v>
      </c>
      <c r="B34" s="8" t="s">
        <v>35</v>
      </c>
      <c r="C34" s="8" t="s">
        <v>59</v>
      </c>
      <c r="D34" s="9">
        <v>46111</v>
      </c>
      <c r="E34" s="8" t="s">
        <v>16</v>
      </c>
      <c r="F34" s="8" t="s">
        <v>17</v>
      </c>
      <c r="G34" s="8" t="s">
        <v>60</v>
      </c>
      <c r="H34" s="10" t="s">
        <v>27</v>
      </c>
      <c r="I34" s="44">
        <v>5000</v>
      </c>
      <c r="J34" s="12">
        <v>16.519300000000001</v>
      </c>
      <c r="K34" s="13">
        <v>82596.5</v>
      </c>
      <c r="L34" s="13">
        <v>14867.37</v>
      </c>
      <c r="M34" s="13">
        <v>97463.87</v>
      </c>
      <c r="N34" s="12">
        <v>974.64</v>
      </c>
      <c r="O34" s="14">
        <v>19.492774000000001</v>
      </c>
    </row>
    <row r="35" spans="1:18" x14ac:dyDescent="0.25">
      <c r="A35" s="8" t="s">
        <v>13</v>
      </c>
      <c r="B35" s="8" t="s">
        <v>14</v>
      </c>
      <c r="C35" s="8" t="s">
        <v>61</v>
      </c>
      <c r="D35" s="9">
        <v>46112</v>
      </c>
      <c r="E35" s="8" t="s">
        <v>16</v>
      </c>
      <c r="F35" s="8" t="s">
        <v>17</v>
      </c>
      <c r="G35" s="8" t="s">
        <v>18</v>
      </c>
      <c r="H35" s="10" t="s">
        <v>27</v>
      </c>
      <c r="I35" s="44">
        <v>7000</v>
      </c>
      <c r="J35" s="12">
        <v>15.883699999999999</v>
      </c>
      <c r="K35" s="13">
        <v>111185.9</v>
      </c>
      <c r="L35" s="13">
        <v>20013.46</v>
      </c>
      <c r="M35" s="13">
        <v>131199.35999999999</v>
      </c>
      <c r="N35" s="13">
        <v>1311.99</v>
      </c>
      <c r="O35" s="14">
        <v>18.742765714285714</v>
      </c>
      <c r="R35">
        <f>1.5/7</f>
        <v>0.21428571428571427</v>
      </c>
    </row>
    <row r="36" spans="1:18" x14ac:dyDescent="0.25">
      <c r="A36" s="8" t="s">
        <v>13</v>
      </c>
      <c r="B36" s="8" t="s">
        <v>14</v>
      </c>
      <c r="C36" s="8" t="s">
        <v>62</v>
      </c>
      <c r="D36" s="9">
        <v>46083</v>
      </c>
      <c r="E36" s="8" t="s">
        <v>16</v>
      </c>
      <c r="F36" s="8" t="s">
        <v>17</v>
      </c>
      <c r="G36" s="8" t="s">
        <v>18</v>
      </c>
      <c r="H36" s="10" t="s">
        <v>25</v>
      </c>
      <c r="I36" s="11">
        <v>1000</v>
      </c>
      <c r="J36" s="12">
        <v>9.6775000000000002</v>
      </c>
      <c r="K36" s="13">
        <v>9677.5</v>
      </c>
      <c r="L36" s="13">
        <v>1741.95</v>
      </c>
      <c r="M36" s="13">
        <v>11419.45</v>
      </c>
      <c r="N36" s="12">
        <v>114.19</v>
      </c>
      <c r="O36" s="14">
        <v>11.419450000000001</v>
      </c>
      <c r="P36" s="1">
        <v>3787</v>
      </c>
    </row>
    <row r="37" spans="1:18" x14ac:dyDescent="0.25">
      <c r="A37" s="8" t="s">
        <v>13</v>
      </c>
      <c r="B37" s="8" t="s">
        <v>14</v>
      </c>
      <c r="C37" s="8" t="s">
        <v>63</v>
      </c>
      <c r="D37" s="9">
        <v>46083</v>
      </c>
      <c r="E37" s="8" t="s">
        <v>16</v>
      </c>
      <c r="F37" s="8" t="s">
        <v>17</v>
      </c>
      <c r="G37" s="8" t="s">
        <v>18</v>
      </c>
      <c r="H37" s="10" t="s">
        <v>25</v>
      </c>
      <c r="I37" s="45">
        <v>500</v>
      </c>
      <c r="J37" s="12">
        <v>9.6775000000000002</v>
      </c>
      <c r="K37" s="13">
        <v>4838.75</v>
      </c>
      <c r="L37" s="12">
        <v>870.98</v>
      </c>
      <c r="M37" s="13">
        <v>5709.73</v>
      </c>
      <c r="N37" s="12">
        <v>57.1</v>
      </c>
      <c r="O37" s="14">
        <v>11.419459999999999</v>
      </c>
    </row>
    <row r="38" spans="1:18" x14ac:dyDescent="0.25">
      <c r="A38" s="8" t="s">
        <v>13</v>
      </c>
      <c r="B38" s="8" t="s">
        <v>14</v>
      </c>
      <c r="C38" s="8" t="s">
        <v>64</v>
      </c>
      <c r="D38" s="9">
        <v>46087</v>
      </c>
      <c r="E38" s="8" t="s">
        <v>16</v>
      </c>
      <c r="F38" s="8" t="s">
        <v>17</v>
      </c>
      <c r="G38" s="8" t="s">
        <v>18</v>
      </c>
      <c r="H38" s="10" t="s">
        <v>25</v>
      </c>
      <c r="I38" s="11">
        <v>2850</v>
      </c>
      <c r="J38" s="12">
        <v>9.8463999999999992</v>
      </c>
      <c r="K38" s="13">
        <v>28062.240000000002</v>
      </c>
      <c r="L38" s="13">
        <v>5051.2</v>
      </c>
      <c r="M38" s="13">
        <v>33113.440000000002</v>
      </c>
      <c r="N38" s="12">
        <v>331.13</v>
      </c>
      <c r="O38" s="14">
        <v>11.618750877192983</v>
      </c>
      <c r="R38">
        <f>+R35*584</f>
        <v>125.14285714285714</v>
      </c>
    </row>
    <row r="39" spans="1:18" x14ac:dyDescent="0.25">
      <c r="A39" s="8" t="s">
        <v>13</v>
      </c>
      <c r="B39" s="8" t="s">
        <v>14</v>
      </c>
      <c r="C39" s="8" t="s">
        <v>65</v>
      </c>
      <c r="D39" s="9">
        <v>46089</v>
      </c>
      <c r="E39" s="8" t="s">
        <v>16</v>
      </c>
      <c r="F39" s="8" t="s">
        <v>17</v>
      </c>
      <c r="G39" s="8" t="s">
        <v>18</v>
      </c>
      <c r="H39" s="10" t="s">
        <v>25</v>
      </c>
      <c r="I39" s="11">
        <v>2000</v>
      </c>
      <c r="J39" s="12">
        <v>9.8468</v>
      </c>
      <c r="K39" s="13">
        <v>19693.599999999999</v>
      </c>
      <c r="L39" s="13">
        <v>3544.85</v>
      </c>
      <c r="M39" s="13">
        <v>23238.45</v>
      </c>
      <c r="N39" s="12">
        <v>232.38</v>
      </c>
      <c r="O39" s="14">
        <v>11.619225</v>
      </c>
    </row>
    <row r="40" spans="1:18" x14ac:dyDescent="0.25">
      <c r="A40" s="8" t="s">
        <v>13</v>
      </c>
      <c r="B40" s="8" t="s">
        <v>14</v>
      </c>
      <c r="C40" s="8" t="s">
        <v>66</v>
      </c>
      <c r="D40" s="9">
        <v>46091</v>
      </c>
      <c r="E40" s="8" t="s">
        <v>16</v>
      </c>
      <c r="F40" s="8" t="s">
        <v>17</v>
      </c>
      <c r="G40" s="8" t="s">
        <v>18</v>
      </c>
      <c r="H40" s="10" t="s">
        <v>25</v>
      </c>
      <c r="I40" s="44">
        <v>3000</v>
      </c>
      <c r="J40" s="12">
        <v>9.8468</v>
      </c>
      <c r="K40" s="13">
        <v>29540.400000000001</v>
      </c>
      <c r="L40" s="13">
        <v>5317.27</v>
      </c>
      <c r="M40" s="13">
        <v>34857.67</v>
      </c>
      <c r="N40" s="12">
        <v>348.58</v>
      </c>
      <c r="O40" s="14">
        <v>11.619223333333332</v>
      </c>
    </row>
    <row r="41" spans="1:18" x14ac:dyDescent="0.25">
      <c r="A41" s="8" t="s">
        <v>13</v>
      </c>
      <c r="B41" s="8" t="s">
        <v>14</v>
      </c>
      <c r="C41" s="8" t="s">
        <v>67</v>
      </c>
      <c r="D41" s="9">
        <v>46099</v>
      </c>
      <c r="E41" s="8" t="s">
        <v>16</v>
      </c>
      <c r="F41" s="8" t="s">
        <v>17</v>
      </c>
      <c r="G41" s="8" t="s">
        <v>18</v>
      </c>
      <c r="H41" s="10" t="s">
        <v>25</v>
      </c>
      <c r="I41" s="44">
        <v>1000</v>
      </c>
      <c r="J41" s="12">
        <v>12.1692</v>
      </c>
      <c r="K41" s="13">
        <v>12169.2</v>
      </c>
      <c r="L41" s="13">
        <v>2190.46</v>
      </c>
      <c r="M41" s="13">
        <v>14359.66</v>
      </c>
      <c r="N41" s="12">
        <v>143.6</v>
      </c>
      <c r="O41" s="14">
        <v>14.35966</v>
      </c>
    </row>
    <row r="42" spans="1:18" x14ac:dyDescent="0.25">
      <c r="A42" s="8" t="s">
        <v>13</v>
      </c>
      <c r="B42" s="8" t="s">
        <v>14</v>
      </c>
      <c r="C42" s="8" t="s">
        <v>68</v>
      </c>
      <c r="D42" s="9">
        <v>46101</v>
      </c>
      <c r="E42" s="8" t="s">
        <v>16</v>
      </c>
      <c r="F42" s="8" t="s">
        <v>17</v>
      </c>
      <c r="G42" s="8" t="s">
        <v>18</v>
      </c>
      <c r="H42" s="10" t="s">
        <v>25</v>
      </c>
      <c r="I42" s="44">
        <v>1500</v>
      </c>
      <c r="J42" s="12">
        <v>12.1692</v>
      </c>
      <c r="K42" s="13">
        <v>18253.8</v>
      </c>
      <c r="L42" s="13">
        <v>3285.68</v>
      </c>
      <c r="M42" s="13">
        <v>21539.48</v>
      </c>
      <c r="N42" s="12">
        <v>215.39</v>
      </c>
      <c r="O42" s="14">
        <v>14.359653333333332</v>
      </c>
    </row>
    <row r="43" spans="1:18" x14ac:dyDescent="0.25">
      <c r="A43" s="8" t="s">
        <v>13</v>
      </c>
      <c r="B43" s="8" t="s">
        <v>14</v>
      </c>
      <c r="C43" s="8" t="s">
        <v>69</v>
      </c>
      <c r="D43" s="9">
        <v>46104</v>
      </c>
      <c r="E43" s="8" t="s">
        <v>16</v>
      </c>
      <c r="F43" s="8" t="s">
        <v>17</v>
      </c>
      <c r="G43" s="8" t="s">
        <v>18</v>
      </c>
      <c r="H43" s="10" t="s">
        <v>25</v>
      </c>
      <c r="I43" s="44">
        <v>1500</v>
      </c>
      <c r="J43" s="12">
        <v>12.203099999999999</v>
      </c>
      <c r="K43" s="13">
        <v>18304.650000000001</v>
      </c>
      <c r="L43" s="13">
        <v>3294.84</v>
      </c>
      <c r="M43" s="13">
        <v>21599.49</v>
      </c>
      <c r="N43" s="12">
        <v>215.99</v>
      </c>
      <c r="O43" s="14">
        <v>14.399660000000001</v>
      </c>
    </row>
    <row r="44" spans="1:18" x14ac:dyDescent="0.25">
      <c r="A44" s="8" t="s">
        <v>13</v>
      </c>
      <c r="B44" s="8" t="s">
        <v>14</v>
      </c>
      <c r="C44" s="8" t="s">
        <v>62</v>
      </c>
      <c r="D44" s="9">
        <v>46083</v>
      </c>
      <c r="E44" s="8" t="s">
        <v>16</v>
      </c>
      <c r="F44" s="8" t="s">
        <v>17</v>
      </c>
      <c r="G44" s="8" t="s">
        <v>18</v>
      </c>
      <c r="H44" s="10" t="s">
        <v>19</v>
      </c>
      <c r="I44" s="11">
        <v>1000</v>
      </c>
      <c r="J44" s="12">
        <v>9.1071000000000009</v>
      </c>
      <c r="K44" s="13">
        <v>9107.1</v>
      </c>
      <c r="L44" s="13">
        <v>1639.28</v>
      </c>
      <c r="M44" s="13">
        <v>10746.38</v>
      </c>
      <c r="N44" s="12">
        <v>107.46</v>
      </c>
      <c r="O44" s="14">
        <v>10.746379999999998</v>
      </c>
      <c r="P44" s="1">
        <v>2037</v>
      </c>
    </row>
    <row r="45" spans="1:18" x14ac:dyDescent="0.25">
      <c r="A45" s="8" t="s">
        <v>13</v>
      </c>
      <c r="B45" s="8" t="s">
        <v>14</v>
      </c>
      <c r="C45" s="8" t="s">
        <v>70</v>
      </c>
      <c r="D45" s="9">
        <v>46083</v>
      </c>
      <c r="E45" s="8" t="s">
        <v>16</v>
      </c>
      <c r="F45" s="8" t="s">
        <v>17</v>
      </c>
      <c r="G45" s="8" t="s">
        <v>18</v>
      </c>
      <c r="H45" s="10" t="s">
        <v>19</v>
      </c>
      <c r="I45" s="11">
        <v>1150</v>
      </c>
      <c r="J45" s="12">
        <v>9.1071000000000009</v>
      </c>
      <c r="K45" s="13">
        <v>10473.16</v>
      </c>
      <c r="L45" s="13">
        <v>1885.17</v>
      </c>
      <c r="M45" s="13">
        <v>12358.33</v>
      </c>
      <c r="N45" s="12">
        <v>123.58</v>
      </c>
      <c r="O45" s="14">
        <v>10.746373913043477</v>
      </c>
    </row>
    <row r="46" spans="1:18" x14ac:dyDescent="0.25">
      <c r="A46" s="8" t="s">
        <v>13</v>
      </c>
      <c r="B46" s="8" t="s">
        <v>14</v>
      </c>
      <c r="C46" s="8" t="s">
        <v>71</v>
      </c>
      <c r="D46" s="9">
        <v>46086</v>
      </c>
      <c r="E46" s="8" t="s">
        <v>16</v>
      </c>
      <c r="F46" s="8" t="s">
        <v>17</v>
      </c>
      <c r="G46" s="8" t="s">
        <v>18</v>
      </c>
      <c r="H46" s="10" t="s">
        <v>19</v>
      </c>
      <c r="I46" s="11">
        <v>1150</v>
      </c>
      <c r="J46" s="12">
        <v>9.2872000000000003</v>
      </c>
      <c r="K46" s="13">
        <v>10680.28</v>
      </c>
      <c r="L46" s="13">
        <v>1922.45</v>
      </c>
      <c r="M46" s="13">
        <v>12602.73</v>
      </c>
      <c r="N46" s="12">
        <v>126.03</v>
      </c>
      <c r="O46" s="14">
        <v>10.958895652173913</v>
      </c>
    </row>
    <row r="47" spans="1:18" x14ac:dyDescent="0.25">
      <c r="A47" s="8" t="s">
        <v>13</v>
      </c>
      <c r="B47" s="8" t="s">
        <v>14</v>
      </c>
      <c r="C47" s="8" t="s">
        <v>64</v>
      </c>
      <c r="D47" s="9">
        <v>46087</v>
      </c>
      <c r="E47" s="8" t="s">
        <v>16</v>
      </c>
      <c r="F47" s="8" t="s">
        <v>17</v>
      </c>
      <c r="G47" s="8" t="s">
        <v>18</v>
      </c>
      <c r="H47" s="10" t="s">
        <v>19</v>
      </c>
      <c r="I47" s="11">
        <v>1150</v>
      </c>
      <c r="J47" s="12">
        <v>9.2860999999999994</v>
      </c>
      <c r="K47" s="13">
        <v>10679.02</v>
      </c>
      <c r="L47" s="13">
        <v>1922.22</v>
      </c>
      <c r="M47" s="13">
        <v>12601.24</v>
      </c>
      <c r="N47" s="12">
        <v>126.01</v>
      </c>
      <c r="O47" s="14">
        <v>10.957599999999999</v>
      </c>
    </row>
    <row r="48" spans="1:18" x14ac:dyDescent="0.25">
      <c r="A48" s="8" t="s">
        <v>13</v>
      </c>
      <c r="B48" s="8" t="s">
        <v>14</v>
      </c>
      <c r="C48" s="8" t="s">
        <v>72</v>
      </c>
      <c r="D48" s="9">
        <v>46087</v>
      </c>
      <c r="E48" s="8" t="s">
        <v>16</v>
      </c>
      <c r="F48" s="8" t="s">
        <v>17</v>
      </c>
      <c r="G48" s="8" t="s">
        <v>18</v>
      </c>
      <c r="H48" s="10" t="s">
        <v>19</v>
      </c>
      <c r="I48" s="11">
        <v>1150</v>
      </c>
      <c r="J48" s="12">
        <v>9.2865000000000002</v>
      </c>
      <c r="K48" s="13">
        <v>10679.48</v>
      </c>
      <c r="L48" s="13">
        <v>1922.31</v>
      </c>
      <c r="M48" s="13">
        <v>12601.79</v>
      </c>
      <c r="N48" s="12">
        <v>126.02</v>
      </c>
      <c r="O48" s="14">
        <v>10.958078260869566</v>
      </c>
    </row>
    <row r="49" spans="1:17" x14ac:dyDescent="0.25">
      <c r="A49" s="21" t="s">
        <v>13</v>
      </c>
      <c r="B49" s="21" t="s">
        <v>14</v>
      </c>
      <c r="C49" s="21" t="s">
        <v>73</v>
      </c>
      <c r="D49" s="22">
        <v>46087</v>
      </c>
      <c r="E49" s="21" t="s">
        <v>16</v>
      </c>
      <c r="F49" s="21" t="s">
        <v>17</v>
      </c>
      <c r="G49" s="21" t="s">
        <v>18</v>
      </c>
      <c r="H49" s="23" t="s">
        <v>19</v>
      </c>
      <c r="I49" s="24">
        <v>1050</v>
      </c>
      <c r="J49" s="25">
        <v>9.2865000000000002</v>
      </c>
      <c r="K49" s="26">
        <v>9750.83</v>
      </c>
      <c r="L49" s="26">
        <v>1755.15</v>
      </c>
      <c r="M49" s="26">
        <v>11505.98</v>
      </c>
      <c r="N49" s="25">
        <v>115.06</v>
      </c>
      <c r="O49" s="14">
        <v>10.95807619047619</v>
      </c>
    </row>
    <row r="50" spans="1:17" x14ac:dyDescent="0.25">
      <c r="A50" s="8" t="s">
        <v>13</v>
      </c>
      <c r="B50" s="8" t="s">
        <v>14</v>
      </c>
      <c r="C50" s="8" t="s">
        <v>65</v>
      </c>
      <c r="D50" s="9">
        <v>46089</v>
      </c>
      <c r="E50" s="8" t="s">
        <v>16</v>
      </c>
      <c r="F50" s="8" t="s">
        <v>17</v>
      </c>
      <c r="G50" s="8" t="s">
        <v>18</v>
      </c>
      <c r="H50" s="10" t="s">
        <v>19</v>
      </c>
      <c r="I50" s="11">
        <v>1500</v>
      </c>
      <c r="J50" s="12">
        <v>9.2865000000000002</v>
      </c>
      <c r="K50" s="13">
        <v>13929.75</v>
      </c>
      <c r="L50" s="13">
        <v>2507.36</v>
      </c>
      <c r="M50" s="13">
        <v>16437.11</v>
      </c>
      <c r="N50" s="12">
        <v>164.37</v>
      </c>
      <c r="O50" s="14">
        <v>10.958073333333333</v>
      </c>
    </row>
    <row r="51" spans="1:17" x14ac:dyDescent="0.25">
      <c r="A51" s="8" t="s">
        <v>13</v>
      </c>
      <c r="B51" s="8" t="s">
        <v>14</v>
      </c>
      <c r="C51" s="8" t="s">
        <v>66</v>
      </c>
      <c r="D51" s="9">
        <v>46091</v>
      </c>
      <c r="E51" s="8" t="s">
        <v>16</v>
      </c>
      <c r="F51" s="8" t="s">
        <v>17</v>
      </c>
      <c r="G51" s="8" t="s">
        <v>18</v>
      </c>
      <c r="H51" s="10" t="s">
        <v>19</v>
      </c>
      <c r="I51" s="44">
        <v>2000</v>
      </c>
      <c r="J51" s="12">
        <v>9.2865000000000002</v>
      </c>
      <c r="K51" s="13">
        <v>18573</v>
      </c>
      <c r="L51" s="13">
        <v>3343.14</v>
      </c>
      <c r="M51" s="13">
        <v>21916.14</v>
      </c>
      <c r="N51" s="12">
        <v>219.16</v>
      </c>
      <c r="O51" s="14">
        <v>10.958069999999999</v>
      </c>
    </row>
    <row r="52" spans="1:17" x14ac:dyDescent="0.25">
      <c r="A52" s="8" t="s">
        <v>13</v>
      </c>
      <c r="B52" s="8" t="s">
        <v>14</v>
      </c>
      <c r="C52" s="8" t="s">
        <v>74</v>
      </c>
      <c r="D52" s="9">
        <v>46092</v>
      </c>
      <c r="E52" s="8" t="s">
        <v>16</v>
      </c>
      <c r="F52" s="8" t="s">
        <v>17</v>
      </c>
      <c r="G52" s="8" t="s">
        <v>18</v>
      </c>
      <c r="H52" s="10" t="s">
        <v>19</v>
      </c>
      <c r="I52" s="44">
        <v>2000</v>
      </c>
      <c r="J52" s="12">
        <v>10.142300000000001</v>
      </c>
      <c r="K52" s="13">
        <v>20284.599999999999</v>
      </c>
      <c r="L52" s="13">
        <v>3651.23</v>
      </c>
      <c r="M52" s="13">
        <v>23935.83</v>
      </c>
      <c r="N52" s="12">
        <v>239.36</v>
      </c>
      <c r="O52" s="14">
        <v>11.967915000000001</v>
      </c>
    </row>
    <row r="53" spans="1:17" x14ac:dyDescent="0.25">
      <c r="A53" s="8" t="s">
        <v>13</v>
      </c>
      <c r="B53" s="8" t="s">
        <v>14</v>
      </c>
      <c r="C53" s="8" t="s">
        <v>75</v>
      </c>
      <c r="D53" s="9">
        <v>46094</v>
      </c>
      <c r="E53" s="8" t="s">
        <v>16</v>
      </c>
      <c r="F53" s="8" t="s">
        <v>17</v>
      </c>
      <c r="G53" s="8" t="s">
        <v>18</v>
      </c>
      <c r="H53" s="10" t="s">
        <v>19</v>
      </c>
      <c r="I53" s="44">
        <v>2050</v>
      </c>
      <c r="J53" s="12">
        <v>10.141299999999999</v>
      </c>
      <c r="K53" s="13">
        <v>20789.66</v>
      </c>
      <c r="L53" s="13">
        <v>3742.14</v>
      </c>
      <c r="M53" s="13">
        <v>24531.8</v>
      </c>
      <c r="N53" s="12">
        <v>245.32</v>
      </c>
      <c r="O53" s="14">
        <v>11.966731707317074</v>
      </c>
    </row>
    <row r="54" spans="1:17" x14ac:dyDescent="0.25">
      <c r="A54" s="8" t="s">
        <v>13</v>
      </c>
      <c r="B54" s="8" t="s">
        <v>14</v>
      </c>
      <c r="C54" s="8" t="s">
        <v>76</v>
      </c>
      <c r="D54" s="9">
        <v>46095</v>
      </c>
      <c r="E54" s="8" t="s">
        <v>16</v>
      </c>
      <c r="F54" s="8" t="s">
        <v>17</v>
      </c>
      <c r="G54" s="8" t="s">
        <v>18</v>
      </c>
      <c r="H54" s="10" t="s">
        <v>19</v>
      </c>
      <c r="I54" s="46">
        <v>950</v>
      </c>
      <c r="J54" s="12">
        <v>10.141299999999999</v>
      </c>
      <c r="K54" s="13">
        <v>9634.23</v>
      </c>
      <c r="L54" s="13">
        <v>1734.16</v>
      </c>
      <c r="M54" s="13">
        <v>11368.39</v>
      </c>
      <c r="N54" s="12">
        <v>113.68</v>
      </c>
      <c r="O54" s="14">
        <v>11.966726315789472</v>
      </c>
    </row>
    <row r="55" spans="1:17" x14ac:dyDescent="0.25">
      <c r="A55" s="8" t="s">
        <v>13</v>
      </c>
      <c r="B55" s="8" t="s">
        <v>14</v>
      </c>
      <c r="C55" s="8" t="s">
        <v>77</v>
      </c>
      <c r="D55" s="9">
        <v>46098</v>
      </c>
      <c r="E55" s="8" t="s">
        <v>16</v>
      </c>
      <c r="F55" s="8" t="s">
        <v>17</v>
      </c>
      <c r="G55" s="8" t="s">
        <v>18</v>
      </c>
      <c r="H55" s="10" t="s">
        <v>19</v>
      </c>
      <c r="I55" s="44">
        <v>1500</v>
      </c>
      <c r="J55" s="12">
        <v>10.141299999999999</v>
      </c>
      <c r="K55" s="13">
        <v>15211.95</v>
      </c>
      <c r="L55" s="13">
        <v>2738.15</v>
      </c>
      <c r="M55" s="13">
        <v>17950.099999999999</v>
      </c>
      <c r="N55" s="12">
        <v>179.5</v>
      </c>
      <c r="O55" s="14">
        <v>11.966733333333332</v>
      </c>
    </row>
    <row r="56" spans="1:17" x14ac:dyDescent="0.25">
      <c r="A56" s="8" t="s">
        <v>13</v>
      </c>
      <c r="B56" s="8" t="s">
        <v>14</v>
      </c>
      <c r="C56" s="8" t="s">
        <v>67</v>
      </c>
      <c r="D56" s="9">
        <v>46099</v>
      </c>
      <c r="E56" s="8" t="s">
        <v>16</v>
      </c>
      <c r="F56" s="8" t="s">
        <v>17</v>
      </c>
      <c r="G56" s="8" t="s">
        <v>18</v>
      </c>
      <c r="H56" s="10" t="s">
        <v>19</v>
      </c>
      <c r="I56" s="44">
        <v>1000</v>
      </c>
      <c r="J56" s="12">
        <v>11.4701</v>
      </c>
      <c r="K56" s="13">
        <v>11470.1</v>
      </c>
      <c r="L56" s="13">
        <v>2064.62</v>
      </c>
      <c r="M56" s="13">
        <v>13534.72</v>
      </c>
      <c r="N56" s="12">
        <v>135.35</v>
      </c>
      <c r="O56" s="14">
        <v>13.53472</v>
      </c>
    </row>
    <row r="57" spans="1:17" x14ac:dyDescent="0.25">
      <c r="A57" s="8" t="s">
        <v>13</v>
      </c>
      <c r="B57" s="8" t="s">
        <v>41</v>
      </c>
      <c r="C57" s="8" t="s">
        <v>78</v>
      </c>
      <c r="D57" s="9">
        <v>46102</v>
      </c>
      <c r="E57" s="8" t="s">
        <v>16</v>
      </c>
      <c r="F57" s="8" t="s">
        <v>17</v>
      </c>
      <c r="G57" s="8" t="s">
        <v>43</v>
      </c>
      <c r="H57" s="10" t="s">
        <v>19</v>
      </c>
      <c r="I57" s="44">
        <v>1010</v>
      </c>
      <c r="J57" s="12">
        <v>13.9786</v>
      </c>
      <c r="K57" s="13">
        <v>14118.39</v>
      </c>
      <c r="L57" s="13">
        <v>2541.31</v>
      </c>
      <c r="M57" s="13">
        <v>16659.7</v>
      </c>
      <c r="N57" s="12">
        <v>166.6</v>
      </c>
      <c r="O57" s="14">
        <v>16.494752475247527</v>
      </c>
    </row>
    <row r="58" spans="1:17" x14ac:dyDescent="0.25">
      <c r="A58" s="21" t="s">
        <v>13</v>
      </c>
      <c r="B58" s="21" t="s">
        <v>14</v>
      </c>
      <c r="C58" s="21" t="s">
        <v>69</v>
      </c>
      <c r="D58" s="22">
        <v>46104</v>
      </c>
      <c r="E58" s="21" t="s">
        <v>16</v>
      </c>
      <c r="F58" s="21" t="s">
        <v>17</v>
      </c>
      <c r="G58" s="21" t="s">
        <v>18</v>
      </c>
      <c r="H58" s="23" t="s">
        <v>19</v>
      </c>
      <c r="I58" s="47">
        <v>2000</v>
      </c>
      <c r="J58" s="25">
        <v>11.4956</v>
      </c>
      <c r="K58" s="26">
        <v>22991.200000000001</v>
      </c>
      <c r="L58" s="26">
        <v>4138.42</v>
      </c>
      <c r="M58" s="26">
        <v>27129.62</v>
      </c>
      <c r="N58" s="25">
        <v>271.3</v>
      </c>
      <c r="O58" s="14">
        <v>13.56481</v>
      </c>
    </row>
    <row r="59" spans="1:17" x14ac:dyDescent="0.25">
      <c r="A59" s="8" t="s">
        <v>13</v>
      </c>
      <c r="B59" s="8" t="s">
        <v>14</v>
      </c>
      <c r="C59" s="8" t="s">
        <v>79</v>
      </c>
      <c r="D59" s="9">
        <v>46108</v>
      </c>
      <c r="E59" s="8" t="s">
        <v>16</v>
      </c>
      <c r="F59" s="8" t="s">
        <v>17</v>
      </c>
      <c r="G59" s="8" t="s">
        <v>18</v>
      </c>
      <c r="H59" s="10" t="s">
        <v>19</v>
      </c>
      <c r="I59" s="44">
        <v>1300</v>
      </c>
      <c r="J59" s="12">
        <v>12.677300000000001</v>
      </c>
      <c r="K59" s="13">
        <v>16480.490000000002</v>
      </c>
      <c r="L59" s="13">
        <v>2966.49</v>
      </c>
      <c r="M59" s="13">
        <v>19446.98</v>
      </c>
      <c r="N59" s="12">
        <v>194.47</v>
      </c>
      <c r="O59" s="14">
        <v>14.959215384615383</v>
      </c>
    </row>
    <row r="60" spans="1:17" x14ac:dyDescent="0.25">
      <c r="A60" s="35" t="s">
        <v>13</v>
      </c>
      <c r="B60" s="35" t="s">
        <v>14</v>
      </c>
      <c r="C60" s="35" t="s">
        <v>80</v>
      </c>
      <c r="D60" s="36">
        <v>46112</v>
      </c>
      <c r="E60" s="35" t="s">
        <v>16</v>
      </c>
      <c r="F60" s="35" t="s">
        <v>17</v>
      </c>
      <c r="G60" s="35" t="s">
        <v>18</v>
      </c>
      <c r="H60" s="37" t="s">
        <v>19</v>
      </c>
      <c r="I60" s="38">
        <v>2000</v>
      </c>
      <c r="J60" s="39">
        <v>12.677199999999999</v>
      </c>
      <c r="K60" s="40">
        <v>25354.400000000001</v>
      </c>
      <c r="L60" s="40">
        <v>4563.79</v>
      </c>
      <c r="M60" s="40">
        <v>29918.19</v>
      </c>
      <c r="N60" s="39">
        <v>299.18</v>
      </c>
      <c r="O60" s="41">
        <v>14.959095</v>
      </c>
      <c r="P60" s="42"/>
      <c r="Q60" s="43"/>
    </row>
    <row r="61" spans="1:17" x14ac:dyDescent="0.25">
      <c r="A61" s="8" t="s">
        <v>13</v>
      </c>
      <c r="B61" s="8" t="s">
        <v>35</v>
      </c>
      <c r="C61" s="8" t="s">
        <v>81</v>
      </c>
      <c r="D61" s="9">
        <v>46113</v>
      </c>
      <c r="E61" s="8" t="s">
        <v>16</v>
      </c>
      <c r="F61" s="8" t="s">
        <v>17</v>
      </c>
      <c r="G61" s="8" t="s">
        <v>53</v>
      </c>
      <c r="H61" s="10" t="s">
        <v>27</v>
      </c>
      <c r="I61" s="44">
        <v>2900</v>
      </c>
      <c r="J61" s="12">
        <v>16.754200000000001</v>
      </c>
      <c r="K61" s="13">
        <v>48587.18</v>
      </c>
      <c r="L61" s="13">
        <v>8745.69</v>
      </c>
      <c r="M61" s="13">
        <v>57332.87</v>
      </c>
      <c r="N61" s="12">
        <v>573.33000000000004</v>
      </c>
      <c r="O61" s="14">
        <v>19.769955172413795</v>
      </c>
      <c r="P61" s="1">
        <v>6976</v>
      </c>
    </row>
    <row r="62" spans="1:17" x14ac:dyDescent="0.25">
      <c r="A62" s="8" t="s">
        <v>13</v>
      </c>
      <c r="B62" s="8" t="s">
        <v>35</v>
      </c>
      <c r="C62" s="8" t="s">
        <v>82</v>
      </c>
      <c r="D62" s="9">
        <v>46113</v>
      </c>
      <c r="E62" s="8" t="s">
        <v>16</v>
      </c>
      <c r="F62" s="8" t="s">
        <v>17</v>
      </c>
      <c r="G62" s="8" t="s">
        <v>53</v>
      </c>
      <c r="H62" s="10" t="s">
        <v>27</v>
      </c>
      <c r="I62" s="44">
        <v>7000</v>
      </c>
      <c r="J62" s="12">
        <v>16.754200000000001</v>
      </c>
      <c r="K62" s="13">
        <v>117279.4</v>
      </c>
      <c r="L62" s="13">
        <v>21110.29</v>
      </c>
      <c r="M62" s="13">
        <v>138389.69</v>
      </c>
      <c r="N62" s="13">
        <v>1383.9</v>
      </c>
      <c r="O62" s="14">
        <v>19.769955714285715</v>
      </c>
    </row>
    <row r="63" spans="1:17" x14ac:dyDescent="0.25">
      <c r="A63" s="8" t="s">
        <v>13</v>
      </c>
      <c r="B63" s="8" t="s">
        <v>14</v>
      </c>
      <c r="C63" s="8" t="s">
        <v>83</v>
      </c>
      <c r="D63" s="9">
        <v>46113</v>
      </c>
      <c r="E63" s="8" t="s">
        <v>16</v>
      </c>
      <c r="F63" s="8" t="s">
        <v>17</v>
      </c>
      <c r="G63" s="8" t="s">
        <v>18</v>
      </c>
      <c r="H63" s="10" t="s">
        <v>27</v>
      </c>
      <c r="I63" s="44">
        <v>7840</v>
      </c>
      <c r="J63" s="12">
        <v>16.762699999999999</v>
      </c>
      <c r="K63" s="13">
        <v>131419.57</v>
      </c>
      <c r="L63" s="13">
        <v>23655.52</v>
      </c>
      <c r="M63" s="13">
        <v>155075.09</v>
      </c>
      <c r="N63" s="13">
        <v>1550.75</v>
      </c>
      <c r="O63" s="14">
        <v>19.779985969387756</v>
      </c>
    </row>
    <row r="64" spans="1:17" x14ac:dyDescent="0.25">
      <c r="A64" s="8" t="s">
        <v>13</v>
      </c>
      <c r="B64" s="8" t="s">
        <v>14</v>
      </c>
      <c r="C64" s="8" t="s">
        <v>84</v>
      </c>
      <c r="D64" s="9">
        <v>46116</v>
      </c>
      <c r="E64" s="8" t="s">
        <v>16</v>
      </c>
      <c r="F64" s="8" t="s">
        <v>17</v>
      </c>
      <c r="G64" s="8" t="s">
        <v>18</v>
      </c>
      <c r="H64" s="10" t="s">
        <v>27</v>
      </c>
      <c r="I64" s="44">
        <v>6150</v>
      </c>
      <c r="J64" s="12">
        <v>16.762699999999999</v>
      </c>
      <c r="K64" s="13">
        <v>103090.6</v>
      </c>
      <c r="L64" s="13">
        <v>18556.310000000001</v>
      </c>
      <c r="M64" s="13">
        <v>121646.91</v>
      </c>
      <c r="N64" s="13">
        <v>1216.47</v>
      </c>
      <c r="O64" s="14">
        <v>19.779985365853658</v>
      </c>
    </row>
    <row r="65" spans="1:15" x14ac:dyDescent="0.25">
      <c r="A65" s="8" t="s">
        <v>13</v>
      </c>
      <c r="B65" s="8" t="s">
        <v>14</v>
      </c>
      <c r="C65" s="8" t="s">
        <v>85</v>
      </c>
      <c r="D65" s="9">
        <v>46118</v>
      </c>
      <c r="E65" s="8" t="s">
        <v>16</v>
      </c>
      <c r="F65" s="8" t="s">
        <v>17</v>
      </c>
      <c r="G65" s="8" t="s">
        <v>18</v>
      </c>
      <c r="H65" s="10" t="s">
        <v>27</v>
      </c>
      <c r="I65" s="44">
        <v>7200</v>
      </c>
      <c r="J65" s="12">
        <v>16.762699999999999</v>
      </c>
      <c r="K65" s="13">
        <v>120691.44</v>
      </c>
      <c r="L65" s="13">
        <v>21724.46</v>
      </c>
      <c r="M65" s="13">
        <v>142415.9</v>
      </c>
      <c r="N65" s="13">
        <v>1424.16</v>
      </c>
      <c r="O65" s="14">
        <v>19.779986111111111</v>
      </c>
    </row>
    <row r="66" spans="1:15" x14ac:dyDescent="0.25">
      <c r="A66" s="8" t="s">
        <v>13</v>
      </c>
      <c r="B66" s="8" t="s">
        <v>14</v>
      </c>
      <c r="C66" s="8" t="s">
        <v>86</v>
      </c>
      <c r="D66" s="9">
        <v>46119</v>
      </c>
      <c r="E66" s="8" t="s">
        <v>16</v>
      </c>
      <c r="F66" s="8" t="s">
        <v>17</v>
      </c>
      <c r="G66" s="8" t="s">
        <v>18</v>
      </c>
      <c r="H66" s="10" t="s">
        <v>27</v>
      </c>
      <c r="I66" s="44">
        <v>2900</v>
      </c>
      <c r="J66" s="12">
        <v>16.762699999999999</v>
      </c>
      <c r="K66" s="13">
        <v>48611.83</v>
      </c>
      <c r="L66" s="13">
        <v>8750.1299999999992</v>
      </c>
      <c r="M66" s="13">
        <v>57361.96</v>
      </c>
      <c r="N66" s="12">
        <v>573.62</v>
      </c>
      <c r="O66" s="14">
        <v>19.779986206896552</v>
      </c>
    </row>
    <row r="67" spans="1:15" x14ac:dyDescent="0.25">
      <c r="A67" s="8" t="s">
        <v>13</v>
      </c>
      <c r="B67" s="8" t="s">
        <v>14</v>
      </c>
      <c r="C67" s="8" t="s">
        <v>87</v>
      </c>
      <c r="D67" s="9">
        <v>46119</v>
      </c>
      <c r="E67" s="8" t="s">
        <v>16</v>
      </c>
      <c r="F67" s="8" t="s">
        <v>17</v>
      </c>
      <c r="G67" s="8" t="s">
        <v>18</v>
      </c>
      <c r="H67" s="10" t="s">
        <v>27</v>
      </c>
      <c r="I67" s="44">
        <v>2900</v>
      </c>
      <c r="J67" s="12">
        <v>17.199200000000001</v>
      </c>
      <c r="K67" s="13">
        <v>49877.68</v>
      </c>
      <c r="L67" s="13">
        <v>8977.98</v>
      </c>
      <c r="M67" s="13">
        <v>58855.66</v>
      </c>
      <c r="N67" s="12">
        <v>588.55999999999995</v>
      </c>
      <c r="O67" s="14">
        <v>20.295055172413793</v>
      </c>
    </row>
    <row r="68" spans="1:15" x14ac:dyDescent="0.25">
      <c r="A68" s="8" t="s">
        <v>13</v>
      </c>
      <c r="B68" s="8" t="s">
        <v>41</v>
      </c>
      <c r="C68" s="8" t="s">
        <v>88</v>
      </c>
      <c r="D68" s="9">
        <v>46120</v>
      </c>
      <c r="E68" s="8" t="s">
        <v>16</v>
      </c>
      <c r="F68" s="8" t="s">
        <v>17</v>
      </c>
      <c r="G68" s="8" t="s">
        <v>43</v>
      </c>
      <c r="H68" s="10" t="s">
        <v>27</v>
      </c>
      <c r="I68" s="44">
        <v>9000</v>
      </c>
      <c r="J68" s="12">
        <v>18.648399999999999</v>
      </c>
      <c r="K68" s="13">
        <v>167835.6</v>
      </c>
      <c r="L68" s="13">
        <v>30210.41</v>
      </c>
      <c r="M68" s="13">
        <v>198046.01</v>
      </c>
      <c r="N68" s="12">
        <v>1980.46</v>
      </c>
      <c r="O68" s="14">
        <v>22.005112222222223</v>
      </c>
    </row>
    <row r="69" spans="1:15" x14ac:dyDescent="0.25">
      <c r="A69" s="8" t="s">
        <v>13</v>
      </c>
      <c r="B69" s="8" t="s">
        <v>41</v>
      </c>
      <c r="C69" s="8" t="s">
        <v>89</v>
      </c>
      <c r="D69" s="9">
        <v>46120</v>
      </c>
      <c r="E69" s="8" t="s">
        <v>16</v>
      </c>
      <c r="F69" s="8" t="s">
        <v>17</v>
      </c>
      <c r="G69" s="8" t="s">
        <v>43</v>
      </c>
      <c r="H69" s="10" t="s">
        <v>27</v>
      </c>
      <c r="I69" s="44">
        <v>1500</v>
      </c>
      <c r="J69" s="12">
        <v>18.648399999999999</v>
      </c>
      <c r="K69" s="13">
        <v>27972.6</v>
      </c>
      <c r="L69" s="13">
        <v>5035.07</v>
      </c>
      <c r="M69" s="13">
        <v>33007.67</v>
      </c>
      <c r="N69" s="12">
        <v>330.08</v>
      </c>
      <c r="O69" s="14">
        <v>22.00511333333333</v>
      </c>
    </row>
    <row r="70" spans="1:15" x14ac:dyDescent="0.25">
      <c r="A70" s="8" t="s">
        <v>13</v>
      </c>
      <c r="B70" s="8" t="s">
        <v>35</v>
      </c>
      <c r="C70" s="8" t="s">
        <v>90</v>
      </c>
      <c r="D70" s="9">
        <v>46122</v>
      </c>
      <c r="E70" s="8" t="s">
        <v>16</v>
      </c>
      <c r="F70" s="8" t="s">
        <v>17</v>
      </c>
      <c r="G70" s="8" t="s">
        <v>60</v>
      </c>
      <c r="H70" s="10" t="s">
        <v>27</v>
      </c>
      <c r="I70" s="44">
        <v>4000</v>
      </c>
      <c r="J70" s="12">
        <v>18.138400000000001</v>
      </c>
      <c r="K70" s="13">
        <v>72553.600000000006</v>
      </c>
      <c r="L70" s="13">
        <v>13059.65</v>
      </c>
      <c r="M70" s="13">
        <v>85613.25</v>
      </c>
      <c r="N70" s="12">
        <v>856.13</v>
      </c>
      <c r="O70" s="14">
        <v>21.403312499999998</v>
      </c>
    </row>
    <row r="71" spans="1:15" x14ac:dyDescent="0.25">
      <c r="A71" s="8" t="s">
        <v>13</v>
      </c>
      <c r="B71" s="8" t="s">
        <v>14</v>
      </c>
      <c r="C71" s="8" t="s">
        <v>91</v>
      </c>
      <c r="D71" s="9">
        <v>46122</v>
      </c>
      <c r="E71" s="8" t="s">
        <v>16</v>
      </c>
      <c r="F71" s="8" t="s">
        <v>17</v>
      </c>
      <c r="G71" s="8" t="s">
        <v>18</v>
      </c>
      <c r="H71" s="10" t="s">
        <v>27</v>
      </c>
      <c r="I71" s="44">
        <v>6150</v>
      </c>
      <c r="J71" s="12">
        <v>17.197700000000001</v>
      </c>
      <c r="K71" s="13">
        <v>105765.85</v>
      </c>
      <c r="L71" s="13">
        <v>19037.849999999999</v>
      </c>
      <c r="M71" s="13">
        <v>124803.7</v>
      </c>
      <c r="N71" s="12">
        <v>1248.04</v>
      </c>
      <c r="O71" s="14">
        <v>20.293284552845527</v>
      </c>
    </row>
    <row r="72" spans="1:15" x14ac:dyDescent="0.25">
      <c r="A72" s="8" t="s">
        <v>13</v>
      </c>
      <c r="B72" s="8" t="s">
        <v>35</v>
      </c>
      <c r="C72" s="8" t="s">
        <v>92</v>
      </c>
      <c r="D72" s="9">
        <v>46125</v>
      </c>
      <c r="E72" s="8" t="s">
        <v>16</v>
      </c>
      <c r="F72" s="8" t="s">
        <v>17</v>
      </c>
      <c r="G72" s="8" t="s">
        <v>60</v>
      </c>
      <c r="H72" s="10" t="s">
        <v>27</v>
      </c>
      <c r="I72" s="44">
        <v>9500</v>
      </c>
      <c r="J72" s="12">
        <v>18.138400000000001</v>
      </c>
      <c r="K72" s="13">
        <v>172314.8</v>
      </c>
      <c r="L72" s="13">
        <v>31016.66</v>
      </c>
      <c r="M72" s="13">
        <v>203331.46</v>
      </c>
      <c r="N72" s="12">
        <v>2033.31</v>
      </c>
      <c r="O72" s="14">
        <v>21.403311578947367</v>
      </c>
    </row>
    <row r="73" spans="1:15" x14ac:dyDescent="0.25">
      <c r="A73" s="8" t="s">
        <v>13</v>
      </c>
      <c r="B73" s="8" t="s">
        <v>14</v>
      </c>
      <c r="C73" s="8" t="s">
        <v>93</v>
      </c>
      <c r="D73" s="9">
        <v>46126</v>
      </c>
      <c r="E73" s="8" t="s">
        <v>16</v>
      </c>
      <c r="F73" s="8" t="s">
        <v>17</v>
      </c>
      <c r="G73" s="8" t="s">
        <v>18</v>
      </c>
      <c r="H73" s="10" t="s">
        <v>27</v>
      </c>
      <c r="I73" s="44">
        <v>6150</v>
      </c>
      <c r="J73" s="12">
        <v>17.3307</v>
      </c>
      <c r="K73" s="13">
        <v>106583.81</v>
      </c>
      <c r="L73" s="13">
        <v>19185.09</v>
      </c>
      <c r="M73" s="13">
        <v>125768.9</v>
      </c>
      <c r="N73" s="12">
        <v>1257.69</v>
      </c>
      <c r="O73" s="14">
        <v>20.45022764227642</v>
      </c>
    </row>
    <row r="74" spans="1:15" x14ac:dyDescent="0.25">
      <c r="A74" s="8" t="s">
        <v>13</v>
      </c>
      <c r="B74" s="8" t="s">
        <v>14</v>
      </c>
      <c r="C74" s="8" t="s">
        <v>94</v>
      </c>
      <c r="D74" s="9">
        <v>46127</v>
      </c>
      <c r="E74" s="8" t="s">
        <v>16</v>
      </c>
      <c r="F74" s="8" t="s">
        <v>17</v>
      </c>
      <c r="G74" s="8" t="s">
        <v>18</v>
      </c>
      <c r="H74" s="10" t="s">
        <v>27</v>
      </c>
      <c r="I74" s="44">
        <v>3300</v>
      </c>
      <c r="J74" s="12">
        <v>17.3307</v>
      </c>
      <c r="K74" s="13">
        <v>57191.31</v>
      </c>
      <c r="L74" s="13">
        <v>10294.44</v>
      </c>
      <c r="M74" s="13">
        <v>67485.75</v>
      </c>
      <c r="N74" s="12">
        <v>674.86</v>
      </c>
      <c r="O74" s="14">
        <v>20.450227272727272</v>
      </c>
    </row>
    <row r="75" spans="1:15" x14ac:dyDescent="0.25">
      <c r="A75" s="8" t="s">
        <v>13</v>
      </c>
      <c r="B75" s="8" t="s">
        <v>14</v>
      </c>
      <c r="C75" s="8" t="s">
        <v>95</v>
      </c>
      <c r="D75" s="9">
        <v>46129</v>
      </c>
      <c r="E75" s="8" t="s">
        <v>16</v>
      </c>
      <c r="F75" s="8" t="s">
        <v>17</v>
      </c>
      <c r="G75" s="8" t="s">
        <v>18</v>
      </c>
      <c r="H75" s="10" t="s">
        <v>27</v>
      </c>
      <c r="I75" s="44">
        <v>3000</v>
      </c>
      <c r="J75" s="12">
        <v>17.3307</v>
      </c>
      <c r="K75" s="13">
        <v>51992.1</v>
      </c>
      <c r="L75" s="13">
        <v>9358.58</v>
      </c>
      <c r="M75" s="13">
        <v>61350.68</v>
      </c>
      <c r="N75" s="12">
        <v>613.51</v>
      </c>
      <c r="O75" s="14">
        <v>20.450226666666666</v>
      </c>
    </row>
    <row r="76" spans="1:15" x14ac:dyDescent="0.25">
      <c r="A76" s="8" t="s">
        <v>13</v>
      </c>
      <c r="B76" s="8" t="s">
        <v>14</v>
      </c>
      <c r="C76" s="8" t="s">
        <v>96</v>
      </c>
      <c r="D76" s="9">
        <v>46129</v>
      </c>
      <c r="E76" s="8" t="s">
        <v>16</v>
      </c>
      <c r="F76" s="8" t="s">
        <v>17</v>
      </c>
      <c r="G76" s="8" t="s">
        <v>18</v>
      </c>
      <c r="H76" s="10" t="s">
        <v>27</v>
      </c>
      <c r="I76" s="44">
        <v>2900</v>
      </c>
      <c r="J76" s="12">
        <v>17.3307</v>
      </c>
      <c r="K76" s="13">
        <v>50259.03</v>
      </c>
      <c r="L76" s="13">
        <v>9046.6299999999992</v>
      </c>
      <c r="M76" s="13">
        <v>59305.66</v>
      </c>
      <c r="N76" s="12">
        <v>593.05999999999995</v>
      </c>
      <c r="O76" s="14">
        <v>20.450227586206896</v>
      </c>
    </row>
    <row r="77" spans="1:15" x14ac:dyDescent="0.25">
      <c r="A77" s="8" t="s">
        <v>13</v>
      </c>
      <c r="B77" s="8" t="s">
        <v>14</v>
      </c>
      <c r="C77" s="8" t="s">
        <v>97</v>
      </c>
      <c r="D77" s="9">
        <v>46132</v>
      </c>
      <c r="E77" s="8" t="s">
        <v>16</v>
      </c>
      <c r="F77" s="8" t="s">
        <v>17</v>
      </c>
      <c r="G77" s="8" t="s">
        <v>18</v>
      </c>
      <c r="H77" s="10" t="s">
        <v>27</v>
      </c>
      <c r="I77" s="44">
        <v>6150</v>
      </c>
      <c r="J77" s="12">
        <v>17.3322</v>
      </c>
      <c r="K77" s="13">
        <v>106593.03</v>
      </c>
      <c r="L77" s="13">
        <v>19186.75</v>
      </c>
      <c r="M77" s="13">
        <v>125779.78</v>
      </c>
      <c r="N77" s="13">
        <v>1257.8</v>
      </c>
      <c r="O77" s="14">
        <v>20.451996747967481</v>
      </c>
    </row>
    <row r="78" spans="1:15" x14ac:dyDescent="0.25">
      <c r="A78" s="8" t="s">
        <v>13</v>
      </c>
      <c r="B78" s="8" t="s">
        <v>14</v>
      </c>
      <c r="C78" s="8" t="s">
        <v>98</v>
      </c>
      <c r="D78" s="9">
        <v>46134</v>
      </c>
      <c r="E78" s="8" t="s">
        <v>16</v>
      </c>
      <c r="F78" s="8" t="s">
        <v>17</v>
      </c>
      <c r="G78" s="8" t="s">
        <v>18</v>
      </c>
      <c r="H78" s="10" t="s">
        <v>27</v>
      </c>
      <c r="I78" s="44">
        <v>3300</v>
      </c>
      <c r="J78" s="12">
        <v>16.3261</v>
      </c>
      <c r="K78" s="13">
        <v>53876.13</v>
      </c>
      <c r="L78" s="13">
        <v>9697.7000000000007</v>
      </c>
      <c r="M78" s="13">
        <v>63573.83</v>
      </c>
      <c r="N78" s="12">
        <v>635.74</v>
      </c>
      <c r="O78" s="14">
        <v>19.26479696969697</v>
      </c>
    </row>
    <row r="79" spans="1:15" x14ac:dyDescent="0.25">
      <c r="A79" s="8" t="s">
        <v>13</v>
      </c>
      <c r="B79" s="8" t="s">
        <v>14</v>
      </c>
      <c r="C79" s="8" t="s">
        <v>99</v>
      </c>
      <c r="D79" s="9">
        <v>46135</v>
      </c>
      <c r="E79" s="8" t="s">
        <v>16</v>
      </c>
      <c r="F79" s="8" t="s">
        <v>17</v>
      </c>
      <c r="G79" s="8" t="s">
        <v>18</v>
      </c>
      <c r="H79" s="10" t="s">
        <v>27</v>
      </c>
      <c r="I79" s="44">
        <v>3000</v>
      </c>
      <c r="J79" s="12">
        <v>16.3261</v>
      </c>
      <c r="K79" s="13">
        <v>48978.3</v>
      </c>
      <c r="L79" s="13">
        <v>8816.09</v>
      </c>
      <c r="M79" s="13">
        <v>57794.39</v>
      </c>
      <c r="N79" s="12">
        <v>577.94000000000005</v>
      </c>
      <c r="O79" s="14">
        <v>19.264796666666665</v>
      </c>
    </row>
    <row r="80" spans="1:15" x14ac:dyDescent="0.25">
      <c r="A80" s="8" t="s">
        <v>13</v>
      </c>
      <c r="B80" s="8" t="s">
        <v>14</v>
      </c>
      <c r="C80" s="8" t="s">
        <v>100</v>
      </c>
      <c r="D80" s="9">
        <v>46139</v>
      </c>
      <c r="E80" s="8" t="s">
        <v>16</v>
      </c>
      <c r="F80" s="8" t="s">
        <v>17</v>
      </c>
      <c r="G80" s="8" t="s">
        <v>18</v>
      </c>
      <c r="H80" s="10" t="s">
        <v>27</v>
      </c>
      <c r="I80" s="48">
        <v>6150</v>
      </c>
      <c r="J80" s="12">
        <v>16.326899999999998</v>
      </c>
      <c r="K80" s="13">
        <v>100410.43</v>
      </c>
      <c r="L80" s="13">
        <v>18073.88</v>
      </c>
      <c r="M80" s="13">
        <v>118484.31</v>
      </c>
      <c r="N80" s="13">
        <v>1184.8399999999999</v>
      </c>
      <c r="O80" s="33">
        <v>19.265741463414635</v>
      </c>
    </row>
    <row r="81" spans="1:16" x14ac:dyDescent="0.25">
      <c r="A81" s="8" t="s">
        <v>13</v>
      </c>
      <c r="B81" s="8" t="s">
        <v>14</v>
      </c>
      <c r="C81" s="8" t="s">
        <v>101</v>
      </c>
      <c r="D81" s="9">
        <v>46139</v>
      </c>
      <c r="E81" s="8" t="s">
        <v>16</v>
      </c>
      <c r="F81" s="8" t="s">
        <v>17</v>
      </c>
      <c r="G81" s="8" t="s">
        <v>18</v>
      </c>
      <c r="H81" s="10" t="s">
        <v>27</v>
      </c>
      <c r="I81" s="48">
        <v>2000</v>
      </c>
      <c r="J81" s="12">
        <v>16.326899999999998</v>
      </c>
      <c r="K81" s="13">
        <v>32653.8</v>
      </c>
      <c r="L81" s="13">
        <v>5877.68</v>
      </c>
      <c r="M81" s="13">
        <v>38531.480000000003</v>
      </c>
      <c r="N81" s="12">
        <v>385.31</v>
      </c>
      <c r="O81" s="33">
        <v>19.265740000000001</v>
      </c>
    </row>
    <row r="82" spans="1:16" x14ac:dyDescent="0.25">
      <c r="A82" s="8" t="s">
        <v>13</v>
      </c>
      <c r="B82" s="8" t="s">
        <v>14</v>
      </c>
      <c r="C82" s="8" t="s">
        <v>102</v>
      </c>
      <c r="D82" s="9">
        <v>46140</v>
      </c>
      <c r="E82" s="8" t="s">
        <v>16</v>
      </c>
      <c r="F82" s="8" t="s">
        <v>17</v>
      </c>
      <c r="G82" s="8" t="s">
        <v>18</v>
      </c>
      <c r="H82" s="10" t="s">
        <v>27</v>
      </c>
      <c r="I82" s="48">
        <v>3300</v>
      </c>
      <c r="J82" s="12">
        <v>15.69</v>
      </c>
      <c r="K82" s="13">
        <v>51777</v>
      </c>
      <c r="L82" s="13">
        <v>9319.86</v>
      </c>
      <c r="M82" s="13">
        <v>61096.86</v>
      </c>
      <c r="N82" s="12">
        <v>610.97</v>
      </c>
      <c r="O82" s="33">
        <v>18.514199999999999</v>
      </c>
    </row>
    <row r="83" spans="1:16" x14ac:dyDescent="0.25">
      <c r="A83" s="8" t="s">
        <v>13</v>
      </c>
      <c r="B83" s="8" t="s">
        <v>35</v>
      </c>
      <c r="C83" s="8" t="s">
        <v>103</v>
      </c>
      <c r="D83" s="9">
        <v>46142</v>
      </c>
      <c r="E83" s="8" t="s">
        <v>16</v>
      </c>
      <c r="F83" s="8" t="s">
        <v>17</v>
      </c>
      <c r="G83" s="8" t="s">
        <v>60</v>
      </c>
      <c r="H83" s="10" t="s">
        <v>27</v>
      </c>
      <c r="I83" s="48">
        <v>3000</v>
      </c>
      <c r="J83" s="12">
        <v>17.2409</v>
      </c>
      <c r="K83" s="13">
        <v>51722.7</v>
      </c>
      <c r="L83" s="13">
        <v>9310.09</v>
      </c>
      <c r="M83" s="13">
        <v>61032.79</v>
      </c>
      <c r="N83" s="12">
        <v>610.33000000000004</v>
      </c>
      <c r="O83" s="33">
        <v>20.344263333333334</v>
      </c>
    </row>
    <row r="84" spans="1:16" x14ac:dyDescent="0.25">
      <c r="A84" s="8" t="s">
        <v>13</v>
      </c>
      <c r="B84" s="8" t="s">
        <v>14</v>
      </c>
      <c r="C84" s="8" t="s">
        <v>104</v>
      </c>
      <c r="D84" s="9">
        <v>46113</v>
      </c>
      <c r="E84" s="8" t="s">
        <v>16</v>
      </c>
      <c r="F84" s="8" t="s">
        <v>17</v>
      </c>
      <c r="G84" s="8" t="s">
        <v>18</v>
      </c>
      <c r="H84" s="10" t="s">
        <v>25</v>
      </c>
      <c r="I84" s="44">
        <v>1980</v>
      </c>
      <c r="J84" s="12">
        <v>14.0623</v>
      </c>
      <c r="K84" s="13">
        <v>27843.35</v>
      </c>
      <c r="L84" s="13">
        <v>5011.8</v>
      </c>
      <c r="M84" s="13">
        <v>32855.15</v>
      </c>
      <c r="N84" s="12">
        <v>328.55</v>
      </c>
      <c r="O84" s="14">
        <v>16.5935101010101</v>
      </c>
      <c r="P84" s="1">
        <v>2840</v>
      </c>
    </row>
    <row r="85" spans="1:16" x14ac:dyDescent="0.25">
      <c r="A85" s="8" t="s">
        <v>13</v>
      </c>
      <c r="B85" s="8" t="s">
        <v>14</v>
      </c>
      <c r="C85" s="8" t="s">
        <v>105</v>
      </c>
      <c r="D85" s="9">
        <v>46116</v>
      </c>
      <c r="E85" s="8" t="s">
        <v>16</v>
      </c>
      <c r="F85" s="8" t="s">
        <v>17</v>
      </c>
      <c r="G85" s="8" t="s">
        <v>18</v>
      </c>
      <c r="H85" s="10" t="s">
        <v>25</v>
      </c>
      <c r="I85" s="44">
        <v>1050</v>
      </c>
      <c r="J85" s="12">
        <v>14.0623</v>
      </c>
      <c r="K85" s="13">
        <v>14765.41</v>
      </c>
      <c r="L85" s="13">
        <v>2657.77</v>
      </c>
      <c r="M85" s="13">
        <v>17423.18</v>
      </c>
      <c r="N85" s="12">
        <v>174.23</v>
      </c>
      <c r="O85" s="14">
        <v>16.593504761904761</v>
      </c>
    </row>
    <row r="86" spans="1:16" x14ac:dyDescent="0.25">
      <c r="A86" s="8" t="s">
        <v>13</v>
      </c>
      <c r="B86" s="8" t="s">
        <v>14</v>
      </c>
      <c r="C86" s="8" t="s">
        <v>106</v>
      </c>
      <c r="D86" s="9">
        <v>46119</v>
      </c>
      <c r="E86" s="8" t="s">
        <v>16</v>
      </c>
      <c r="F86" s="8" t="s">
        <v>17</v>
      </c>
      <c r="G86" s="8" t="s">
        <v>18</v>
      </c>
      <c r="H86" s="10" t="s">
        <v>25</v>
      </c>
      <c r="I86" s="44">
        <v>1300</v>
      </c>
      <c r="J86" s="12">
        <v>14.0623</v>
      </c>
      <c r="K86" s="13">
        <v>18280.990000000002</v>
      </c>
      <c r="L86" s="13">
        <v>3290.58</v>
      </c>
      <c r="M86" s="13">
        <v>21571.57</v>
      </c>
      <c r="N86" s="12">
        <v>215.72</v>
      </c>
      <c r="O86" s="14">
        <v>16.593515384615383</v>
      </c>
    </row>
    <row r="87" spans="1:16" x14ac:dyDescent="0.25">
      <c r="A87" s="8" t="s">
        <v>13</v>
      </c>
      <c r="B87" s="8" t="s">
        <v>41</v>
      </c>
      <c r="C87" s="8" t="s">
        <v>107</v>
      </c>
      <c r="D87" s="9">
        <v>46120</v>
      </c>
      <c r="E87" s="8" t="s">
        <v>16</v>
      </c>
      <c r="F87" s="8" t="s">
        <v>17</v>
      </c>
      <c r="G87" s="8" t="s">
        <v>43</v>
      </c>
      <c r="H87" s="10" t="s">
        <v>25</v>
      </c>
      <c r="I87" s="44">
        <v>1000</v>
      </c>
      <c r="J87" s="12">
        <v>15.2789</v>
      </c>
      <c r="K87" s="13">
        <v>15278.9</v>
      </c>
      <c r="L87" s="13">
        <v>2750.2</v>
      </c>
      <c r="M87" s="13">
        <v>18029.099999999999</v>
      </c>
      <c r="N87" s="12">
        <v>180.29</v>
      </c>
      <c r="O87" s="14">
        <v>18.0291</v>
      </c>
    </row>
    <row r="88" spans="1:16" x14ac:dyDescent="0.25">
      <c r="A88" s="8" t="s">
        <v>13</v>
      </c>
      <c r="B88" s="8" t="s">
        <v>14</v>
      </c>
      <c r="C88" s="8" t="s">
        <v>108</v>
      </c>
      <c r="D88" s="9">
        <v>46122</v>
      </c>
      <c r="E88" s="8" t="s">
        <v>16</v>
      </c>
      <c r="F88" s="8" t="s">
        <v>17</v>
      </c>
      <c r="G88" s="8" t="s">
        <v>18</v>
      </c>
      <c r="H88" s="10" t="s">
        <v>25</v>
      </c>
      <c r="I88" s="44">
        <v>1150</v>
      </c>
      <c r="J88" s="12">
        <v>14.292999999999999</v>
      </c>
      <c r="K88" s="13">
        <v>16436.95</v>
      </c>
      <c r="L88" s="13">
        <v>2958.65</v>
      </c>
      <c r="M88" s="13">
        <v>19395.599999999999</v>
      </c>
      <c r="N88" s="12">
        <v>193.96</v>
      </c>
      <c r="O88" s="14">
        <v>16.865739130434783</v>
      </c>
    </row>
    <row r="89" spans="1:16" x14ac:dyDescent="0.25">
      <c r="A89" s="8" t="s">
        <v>13</v>
      </c>
      <c r="B89" s="8" t="s">
        <v>14</v>
      </c>
      <c r="C89" s="8" t="s">
        <v>109</v>
      </c>
      <c r="D89" s="9">
        <v>46126</v>
      </c>
      <c r="E89" s="8" t="s">
        <v>16</v>
      </c>
      <c r="F89" s="8" t="s">
        <v>17</v>
      </c>
      <c r="G89" s="8" t="s">
        <v>18</v>
      </c>
      <c r="H89" s="10" t="s">
        <v>25</v>
      </c>
      <c r="I89" s="46">
        <v>500</v>
      </c>
      <c r="J89" s="12">
        <v>14.292999999999999</v>
      </c>
      <c r="K89" s="13">
        <v>7146.5</v>
      </c>
      <c r="L89" s="13">
        <v>1286.3699999999999</v>
      </c>
      <c r="M89" s="13">
        <v>8432.8700000000008</v>
      </c>
      <c r="N89" s="12">
        <v>84.33</v>
      </c>
      <c r="O89" s="14">
        <v>16.865740000000002</v>
      </c>
    </row>
    <row r="90" spans="1:16" x14ac:dyDescent="0.25">
      <c r="A90" s="8" t="s">
        <v>13</v>
      </c>
      <c r="B90" s="8" t="s">
        <v>14</v>
      </c>
      <c r="C90" s="8" t="s">
        <v>110</v>
      </c>
      <c r="D90" s="9">
        <v>46126</v>
      </c>
      <c r="E90" s="8" t="s">
        <v>16</v>
      </c>
      <c r="F90" s="8" t="s">
        <v>17</v>
      </c>
      <c r="G90" s="8" t="s">
        <v>18</v>
      </c>
      <c r="H90" s="10" t="s">
        <v>25</v>
      </c>
      <c r="I90" s="44">
        <v>1050</v>
      </c>
      <c r="J90" s="12">
        <v>14.12</v>
      </c>
      <c r="K90" s="13">
        <v>14826</v>
      </c>
      <c r="L90" s="13">
        <v>2668.68</v>
      </c>
      <c r="M90" s="13">
        <v>17494.68</v>
      </c>
      <c r="N90" s="12">
        <v>174.95</v>
      </c>
      <c r="O90" s="14">
        <v>16.6616</v>
      </c>
    </row>
    <row r="91" spans="1:16" x14ac:dyDescent="0.25">
      <c r="A91" s="8" t="s">
        <v>13</v>
      </c>
      <c r="B91" s="8" t="s">
        <v>14</v>
      </c>
      <c r="C91" s="8" t="s">
        <v>111</v>
      </c>
      <c r="D91" s="9">
        <v>46129</v>
      </c>
      <c r="E91" s="8" t="s">
        <v>16</v>
      </c>
      <c r="F91" s="8" t="s">
        <v>17</v>
      </c>
      <c r="G91" s="8" t="s">
        <v>18</v>
      </c>
      <c r="H91" s="10" t="s">
        <v>25</v>
      </c>
      <c r="I91" s="44">
        <v>1000</v>
      </c>
      <c r="J91" s="12">
        <v>14.12</v>
      </c>
      <c r="K91" s="13">
        <v>14120</v>
      </c>
      <c r="L91" s="13">
        <v>2541.6</v>
      </c>
      <c r="M91" s="13">
        <v>16661.599999999999</v>
      </c>
      <c r="N91" s="12">
        <v>166.62</v>
      </c>
      <c r="O91" s="14">
        <v>16.6616</v>
      </c>
    </row>
    <row r="92" spans="1:16" x14ac:dyDescent="0.25">
      <c r="A92" s="8" t="s">
        <v>13</v>
      </c>
      <c r="B92" s="8" t="s">
        <v>14</v>
      </c>
      <c r="C92" s="8" t="s">
        <v>112</v>
      </c>
      <c r="D92" s="9">
        <v>46132</v>
      </c>
      <c r="E92" s="8" t="s">
        <v>16</v>
      </c>
      <c r="F92" s="8" t="s">
        <v>17</v>
      </c>
      <c r="G92" s="8" t="s">
        <v>18</v>
      </c>
      <c r="H92" s="10" t="s">
        <v>25</v>
      </c>
      <c r="I92" s="44">
        <v>1050</v>
      </c>
      <c r="J92" s="12">
        <v>14.121499999999999</v>
      </c>
      <c r="K92" s="13">
        <v>14827.57</v>
      </c>
      <c r="L92" s="13">
        <v>2668.96</v>
      </c>
      <c r="M92" s="13">
        <v>17496.53</v>
      </c>
      <c r="N92" s="12">
        <v>174.97</v>
      </c>
      <c r="O92" s="14">
        <v>16.663361904761903</v>
      </c>
    </row>
    <row r="93" spans="1:16" x14ac:dyDescent="0.25">
      <c r="A93" s="8" t="s">
        <v>13</v>
      </c>
      <c r="B93" s="8" t="s">
        <v>14</v>
      </c>
      <c r="C93" s="8" t="s">
        <v>113</v>
      </c>
      <c r="D93" s="9">
        <v>46133</v>
      </c>
      <c r="E93" s="8" t="s">
        <v>16</v>
      </c>
      <c r="F93" s="8" t="s">
        <v>17</v>
      </c>
      <c r="G93" s="8" t="s">
        <v>18</v>
      </c>
      <c r="H93" s="10" t="s">
        <v>25</v>
      </c>
      <c r="I93" s="44">
        <v>1150</v>
      </c>
      <c r="J93" s="12">
        <v>13.6516</v>
      </c>
      <c r="K93" s="13">
        <v>15699.34</v>
      </c>
      <c r="L93" s="13">
        <v>2825.88</v>
      </c>
      <c r="M93" s="13">
        <v>18525.22</v>
      </c>
      <c r="N93" s="12">
        <v>185.25</v>
      </c>
      <c r="O93" s="14">
        <v>16.10888695652174</v>
      </c>
    </row>
    <row r="94" spans="1:16" x14ac:dyDescent="0.25">
      <c r="A94" s="8" t="s">
        <v>13</v>
      </c>
      <c r="B94" s="8" t="s">
        <v>14</v>
      </c>
      <c r="C94" s="8" t="s">
        <v>114</v>
      </c>
      <c r="D94" s="9">
        <v>46135</v>
      </c>
      <c r="E94" s="8" t="s">
        <v>16</v>
      </c>
      <c r="F94" s="8" t="s">
        <v>17</v>
      </c>
      <c r="G94" s="8" t="s">
        <v>18</v>
      </c>
      <c r="H94" s="10" t="s">
        <v>25</v>
      </c>
      <c r="I94" s="44">
        <v>1500</v>
      </c>
      <c r="J94" s="12">
        <v>13.6516</v>
      </c>
      <c r="K94" s="13">
        <v>20477.400000000001</v>
      </c>
      <c r="L94" s="13">
        <v>3685.93</v>
      </c>
      <c r="M94" s="13">
        <v>24163.33</v>
      </c>
      <c r="N94" s="12">
        <v>241.63</v>
      </c>
      <c r="O94" s="14">
        <v>16.108886666666667</v>
      </c>
    </row>
    <row r="95" spans="1:16" x14ac:dyDescent="0.25">
      <c r="A95" s="8" t="s">
        <v>13</v>
      </c>
      <c r="B95" s="8" t="s">
        <v>14</v>
      </c>
      <c r="C95" s="8" t="s">
        <v>115</v>
      </c>
      <c r="D95" s="9">
        <v>46139</v>
      </c>
      <c r="E95" s="8" t="s">
        <v>16</v>
      </c>
      <c r="F95" s="8" t="s">
        <v>17</v>
      </c>
      <c r="G95" s="8" t="s">
        <v>18</v>
      </c>
      <c r="H95" s="10" t="s">
        <v>25</v>
      </c>
      <c r="I95" s="48">
        <v>1150</v>
      </c>
      <c r="J95" s="12">
        <v>13.6524</v>
      </c>
      <c r="K95" s="13">
        <v>15700.26</v>
      </c>
      <c r="L95" s="13">
        <v>2826.05</v>
      </c>
      <c r="M95" s="13">
        <v>18526.310000000001</v>
      </c>
      <c r="N95" s="12">
        <v>185.26</v>
      </c>
      <c r="O95" s="33">
        <v>16.109834782608697</v>
      </c>
    </row>
    <row r="96" spans="1:16" x14ac:dyDescent="0.25">
      <c r="A96" s="8" t="s">
        <v>13</v>
      </c>
      <c r="B96" s="8" t="s">
        <v>14</v>
      </c>
      <c r="C96" s="8" t="s">
        <v>116</v>
      </c>
      <c r="D96" s="9">
        <v>46140</v>
      </c>
      <c r="E96" s="8" t="s">
        <v>16</v>
      </c>
      <c r="F96" s="8" t="s">
        <v>17</v>
      </c>
      <c r="G96" s="8" t="s">
        <v>18</v>
      </c>
      <c r="H96" s="10" t="s">
        <v>25</v>
      </c>
      <c r="I96" s="48">
        <v>1150</v>
      </c>
      <c r="J96" s="12">
        <v>13.937900000000001</v>
      </c>
      <c r="K96" s="13">
        <v>16028.58</v>
      </c>
      <c r="L96" s="13">
        <v>2885.14</v>
      </c>
      <c r="M96" s="13">
        <v>18913.72</v>
      </c>
      <c r="N96" s="12">
        <v>189.14</v>
      </c>
      <c r="O96" s="33">
        <v>16.446713043478262</v>
      </c>
    </row>
    <row r="97" spans="1:16" x14ac:dyDescent="0.25">
      <c r="A97" s="8" t="s">
        <v>13</v>
      </c>
      <c r="B97" s="8" t="s">
        <v>35</v>
      </c>
      <c r="C97" s="8" t="s">
        <v>117</v>
      </c>
      <c r="D97" s="9">
        <v>46142</v>
      </c>
      <c r="E97" s="8" t="s">
        <v>16</v>
      </c>
      <c r="F97" s="8" t="s">
        <v>17</v>
      </c>
      <c r="G97" s="8" t="s">
        <v>60</v>
      </c>
      <c r="H97" s="10" t="s">
        <v>25</v>
      </c>
      <c r="I97" s="49">
        <v>500</v>
      </c>
      <c r="J97" s="12">
        <v>15.293799999999999</v>
      </c>
      <c r="K97" s="13">
        <v>7646.9</v>
      </c>
      <c r="L97" s="13">
        <v>1376.44</v>
      </c>
      <c r="M97" s="13">
        <v>9023.34</v>
      </c>
      <c r="N97" s="12">
        <v>90.23</v>
      </c>
      <c r="O97" s="33">
        <v>18.046680000000002</v>
      </c>
    </row>
    <row r="98" spans="1:16" x14ac:dyDescent="0.25">
      <c r="A98" s="8" t="s">
        <v>13</v>
      </c>
      <c r="B98" s="8" t="s">
        <v>14</v>
      </c>
      <c r="C98" s="8" t="s">
        <v>104</v>
      </c>
      <c r="D98" s="9">
        <v>46113</v>
      </c>
      <c r="E98" s="8" t="s">
        <v>16</v>
      </c>
      <c r="F98" s="8" t="s">
        <v>17</v>
      </c>
      <c r="G98" s="8" t="s">
        <v>18</v>
      </c>
      <c r="H98" s="10" t="s">
        <v>19</v>
      </c>
      <c r="I98" s="46">
        <v>980</v>
      </c>
      <c r="J98" s="12">
        <v>13.185600000000001</v>
      </c>
      <c r="K98" s="13">
        <v>12921.89</v>
      </c>
      <c r="L98" s="13">
        <v>2325.94</v>
      </c>
      <c r="M98" s="13">
        <v>15247.83</v>
      </c>
      <c r="N98" s="12">
        <v>152.47999999999999</v>
      </c>
      <c r="O98" s="14">
        <v>15.559010204081632</v>
      </c>
      <c r="P98" s="1">
        <v>2908</v>
      </c>
    </row>
    <row r="99" spans="1:16" x14ac:dyDescent="0.25">
      <c r="A99" s="8" t="s">
        <v>13</v>
      </c>
      <c r="B99" s="8" t="s">
        <v>14</v>
      </c>
      <c r="C99" s="8" t="s">
        <v>105</v>
      </c>
      <c r="D99" s="9">
        <v>46116</v>
      </c>
      <c r="E99" s="8" t="s">
        <v>16</v>
      </c>
      <c r="F99" s="8" t="s">
        <v>17</v>
      </c>
      <c r="G99" s="8" t="s">
        <v>18</v>
      </c>
      <c r="H99" s="10" t="s">
        <v>19</v>
      </c>
      <c r="I99" s="44">
        <v>1050</v>
      </c>
      <c r="J99" s="12">
        <v>13.185600000000001</v>
      </c>
      <c r="K99" s="13">
        <v>13844.88</v>
      </c>
      <c r="L99" s="13">
        <v>2492.08</v>
      </c>
      <c r="M99" s="13">
        <v>16336.96</v>
      </c>
      <c r="N99" s="12">
        <v>163.37</v>
      </c>
      <c r="O99" s="14">
        <v>15.559009523809523</v>
      </c>
    </row>
    <row r="100" spans="1:16" x14ac:dyDescent="0.25">
      <c r="A100" s="8" t="s">
        <v>13</v>
      </c>
      <c r="B100" s="8" t="s">
        <v>14</v>
      </c>
      <c r="C100" s="8" t="s">
        <v>118</v>
      </c>
      <c r="D100" s="9">
        <v>46118</v>
      </c>
      <c r="E100" s="8" t="s">
        <v>16</v>
      </c>
      <c r="F100" s="8" t="s">
        <v>17</v>
      </c>
      <c r="G100" s="8" t="s">
        <v>18</v>
      </c>
      <c r="H100" s="10" t="s">
        <v>19</v>
      </c>
      <c r="I100" s="44">
        <v>1050</v>
      </c>
      <c r="J100" s="12">
        <v>13.185600000000001</v>
      </c>
      <c r="K100" s="13">
        <v>13844.88</v>
      </c>
      <c r="L100" s="13">
        <v>2492.08</v>
      </c>
      <c r="M100" s="13">
        <v>16336.96</v>
      </c>
      <c r="N100" s="12">
        <v>163.37</v>
      </c>
      <c r="O100" s="14">
        <v>15.559009523809523</v>
      </c>
    </row>
    <row r="101" spans="1:16" x14ac:dyDescent="0.25">
      <c r="A101" s="8" t="s">
        <v>13</v>
      </c>
      <c r="B101" s="8" t="s">
        <v>14</v>
      </c>
      <c r="C101" s="8" t="s">
        <v>119</v>
      </c>
      <c r="D101" s="9">
        <v>46119</v>
      </c>
      <c r="E101" s="8" t="s">
        <v>16</v>
      </c>
      <c r="F101" s="8" t="s">
        <v>17</v>
      </c>
      <c r="G101" s="8" t="s">
        <v>18</v>
      </c>
      <c r="H101" s="10" t="s">
        <v>19</v>
      </c>
      <c r="I101" s="46">
        <v>970</v>
      </c>
      <c r="J101" s="12">
        <v>13.4092</v>
      </c>
      <c r="K101" s="13">
        <v>13006.92</v>
      </c>
      <c r="L101" s="13">
        <v>2341.25</v>
      </c>
      <c r="M101" s="13">
        <v>15348.17</v>
      </c>
      <c r="N101" s="12">
        <v>153.47999999999999</v>
      </c>
      <c r="O101" s="14">
        <v>15.822855670103094</v>
      </c>
    </row>
    <row r="102" spans="1:16" x14ac:dyDescent="0.25">
      <c r="A102" s="8" t="s">
        <v>13</v>
      </c>
      <c r="B102" s="8" t="s">
        <v>41</v>
      </c>
      <c r="C102" s="8" t="s">
        <v>107</v>
      </c>
      <c r="D102" s="9">
        <v>46120</v>
      </c>
      <c r="E102" s="8" t="s">
        <v>16</v>
      </c>
      <c r="F102" s="8" t="s">
        <v>17</v>
      </c>
      <c r="G102" s="8" t="s">
        <v>43</v>
      </c>
      <c r="H102" s="10" t="s">
        <v>19</v>
      </c>
      <c r="I102" s="44">
        <v>1000</v>
      </c>
      <c r="J102" s="12">
        <v>14.6465</v>
      </c>
      <c r="K102" s="13">
        <v>14646.5</v>
      </c>
      <c r="L102" s="13">
        <v>2636.37</v>
      </c>
      <c r="M102" s="13">
        <v>17282.87</v>
      </c>
      <c r="N102" s="12">
        <v>172.83</v>
      </c>
      <c r="O102" s="14">
        <v>17.282869999999999</v>
      </c>
    </row>
    <row r="103" spans="1:16" x14ac:dyDescent="0.25">
      <c r="A103" s="21" t="s">
        <v>13</v>
      </c>
      <c r="B103" s="21" t="s">
        <v>14</v>
      </c>
      <c r="C103" s="21" t="s">
        <v>108</v>
      </c>
      <c r="D103" s="22">
        <v>46122</v>
      </c>
      <c r="E103" s="21" t="s">
        <v>16</v>
      </c>
      <c r="F103" s="21" t="s">
        <v>17</v>
      </c>
      <c r="G103" s="21" t="s">
        <v>18</v>
      </c>
      <c r="H103" s="23" t="s">
        <v>19</v>
      </c>
      <c r="I103" s="47">
        <v>1050</v>
      </c>
      <c r="J103" s="25">
        <v>13.4063</v>
      </c>
      <c r="K103" s="26">
        <v>14076.61</v>
      </c>
      <c r="L103" s="26">
        <v>2533.79</v>
      </c>
      <c r="M103" s="26">
        <v>16610.400000000001</v>
      </c>
      <c r="N103" s="25">
        <v>166.1</v>
      </c>
      <c r="O103" s="14">
        <v>15.819428571428572</v>
      </c>
    </row>
    <row r="104" spans="1:16" x14ac:dyDescent="0.25">
      <c r="A104" s="8" t="s">
        <v>13</v>
      </c>
      <c r="B104" s="8" t="s">
        <v>14</v>
      </c>
      <c r="C104" s="8" t="s">
        <v>109</v>
      </c>
      <c r="D104" s="9">
        <v>46126</v>
      </c>
      <c r="E104" s="8" t="s">
        <v>16</v>
      </c>
      <c r="F104" s="8" t="s">
        <v>17</v>
      </c>
      <c r="G104" s="8" t="s">
        <v>18</v>
      </c>
      <c r="H104" s="10" t="s">
        <v>19</v>
      </c>
      <c r="I104" s="46">
        <v>500</v>
      </c>
      <c r="J104" s="12">
        <v>13.4063</v>
      </c>
      <c r="K104" s="13">
        <v>6703.15</v>
      </c>
      <c r="L104" s="13">
        <v>1206.57</v>
      </c>
      <c r="M104" s="13">
        <v>7909.72</v>
      </c>
      <c r="N104" s="12">
        <v>79.099999999999994</v>
      </c>
      <c r="O104" s="14">
        <v>15.81944</v>
      </c>
    </row>
    <row r="105" spans="1:16" x14ac:dyDescent="0.25">
      <c r="A105" s="8" t="s">
        <v>13</v>
      </c>
      <c r="B105" s="8" t="s">
        <v>14</v>
      </c>
      <c r="C105" s="8" t="s">
        <v>110</v>
      </c>
      <c r="D105" s="9">
        <v>46126</v>
      </c>
      <c r="E105" s="8" t="s">
        <v>16</v>
      </c>
      <c r="F105" s="8" t="s">
        <v>17</v>
      </c>
      <c r="G105" s="8" t="s">
        <v>18</v>
      </c>
      <c r="H105" s="10" t="s">
        <v>19</v>
      </c>
      <c r="I105" s="44">
        <v>1050</v>
      </c>
      <c r="J105" s="12">
        <v>13.41</v>
      </c>
      <c r="K105" s="13">
        <v>14080.5</v>
      </c>
      <c r="L105" s="13">
        <v>2534.4899999999998</v>
      </c>
      <c r="M105" s="13">
        <v>16614.990000000002</v>
      </c>
      <c r="N105" s="12">
        <v>166.15</v>
      </c>
      <c r="O105" s="14">
        <v>15.823800000000002</v>
      </c>
    </row>
    <row r="106" spans="1:16" x14ac:dyDescent="0.25">
      <c r="A106" s="8" t="s">
        <v>13</v>
      </c>
      <c r="B106" s="8" t="s">
        <v>14</v>
      </c>
      <c r="C106" s="8" t="s">
        <v>111</v>
      </c>
      <c r="D106" s="9">
        <v>46129</v>
      </c>
      <c r="E106" s="8" t="s">
        <v>16</v>
      </c>
      <c r="F106" s="8" t="s">
        <v>17</v>
      </c>
      <c r="G106" s="8" t="s">
        <v>18</v>
      </c>
      <c r="H106" s="10" t="s">
        <v>19</v>
      </c>
      <c r="I106" s="44">
        <v>1500</v>
      </c>
      <c r="J106" s="12">
        <v>13.41</v>
      </c>
      <c r="K106" s="13">
        <v>20115</v>
      </c>
      <c r="L106" s="13">
        <v>3620.7</v>
      </c>
      <c r="M106" s="13">
        <v>23735.7</v>
      </c>
      <c r="N106" s="12">
        <v>237.36</v>
      </c>
      <c r="O106" s="14">
        <v>15.8238</v>
      </c>
    </row>
    <row r="107" spans="1:16" x14ac:dyDescent="0.25">
      <c r="A107" s="8" t="s">
        <v>13</v>
      </c>
      <c r="B107" s="8" t="s">
        <v>14</v>
      </c>
      <c r="C107" s="8" t="s">
        <v>112</v>
      </c>
      <c r="D107" s="9">
        <v>46132</v>
      </c>
      <c r="E107" s="8" t="s">
        <v>16</v>
      </c>
      <c r="F107" s="8" t="s">
        <v>17</v>
      </c>
      <c r="G107" s="8" t="s">
        <v>18</v>
      </c>
      <c r="H107" s="10" t="s">
        <v>19</v>
      </c>
      <c r="I107" s="44">
        <v>1050</v>
      </c>
      <c r="J107" s="12">
        <v>13.4115</v>
      </c>
      <c r="K107" s="13">
        <v>14082.07</v>
      </c>
      <c r="L107" s="13">
        <v>2534.77</v>
      </c>
      <c r="M107" s="13">
        <v>16616.84</v>
      </c>
      <c r="N107" s="12">
        <v>166.17</v>
      </c>
      <c r="O107" s="14">
        <v>15.825561904761905</v>
      </c>
    </row>
    <row r="108" spans="1:16" x14ac:dyDescent="0.25">
      <c r="A108" s="8" t="s">
        <v>13</v>
      </c>
      <c r="B108" s="8" t="s">
        <v>14</v>
      </c>
      <c r="C108" s="8" t="s">
        <v>113</v>
      </c>
      <c r="D108" s="9">
        <v>46133</v>
      </c>
      <c r="E108" s="8" t="s">
        <v>16</v>
      </c>
      <c r="F108" s="8" t="s">
        <v>17</v>
      </c>
      <c r="G108" s="8" t="s">
        <v>18</v>
      </c>
      <c r="H108" s="10" t="s">
        <v>19</v>
      </c>
      <c r="I108" s="44">
        <v>1050</v>
      </c>
      <c r="J108" s="12">
        <v>13.023400000000001</v>
      </c>
      <c r="K108" s="13">
        <v>13674.57</v>
      </c>
      <c r="L108" s="13">
        <v>2461.42</v>
      </c>
      <c r="M108" s="13">
        <v>16135.99</v>
      </c>
      <c r="N108" s="12">
        <v>161.36000000000001</v>
      </c>
      <c r="O108" s="14">
        <v>15.367609523809524</v>
      </c>
    </row>
    <row r="109" spans="1:16" x14ac:dyDescent="0.25">
      <c r="A109" s="8" t="s">
        <v>13</v>
      </c>
      <c r="B109" s="8" t="s">
        <v>14</v>
      </c>
      <c r="C109" s="8" t="s">
        <v>114</v>
      </c>
      <c r="D109" s="9">
        <v>46135</v>
      </c>
      <c r="E109" s="8" t="s">
        <v>16</v>
      </c>
      <c r="F109" s="8" t="s">
        <v>17</v>
      </c>
      <c r="G109" s="8" t="s">
        <v>18</v>
      </c>
      <c r="H109" s="10" t="s">
        <v>19</v>
      </c>
      <c r="I109" s="44">
        <v>1000</v>
      </c>
      <c r="J109" s="12">
        <v>13.023400000000001</v>
      </c>
      <c r="K109" s="13">
        <v>13023.4</v>
      </c>
      <c r="L109" s="13">
        <v>2344.21</v>
      </c>
      <c r="M109" s="13">
        <v>15367.61</v>
      </c>
      <c r="N109" s="12">
        <v>153.68</v>
      </c>
      <c r="O109" s="14">
        <v>15.367610000000001</v>
      </c>
    </row>
    <row r="110" spans="1:16" x14ac:dyDescent="0.25">
      <c r="A110" s="8" t="s">
        <v>13</v>
      </c>
      <c r="B110" s="8" t="s">
        <v>14</v>
      </c>
      <c r="C110" s="8" t="s">
        <v>120</v>
      </c>
      <c r="D110" s="9">
        <v>46139</v>
      </c>
      <c r="E110" s="8" t="s">
        <v>16</v>
      </c>
      <c r="F110" s="8" t="s">
        <v>17</v>
      </c>
      <c r="G110" s="8" t="s">
        <v>18</v>
      </c>
      <c r="H110" s="10" t="s">
        <v>19</v>
      </c>
      <c r="I110" s="48">
        <v>1000</v>
      </c>
      <c r="J110" s="12">
        <v>13.0242</v>
      </c>
      <c r="K110" s="13">
        <v>13024.2</v>
      </c>
      <c r="L110" s="13">
        <v>2344.36</v>
      </c>
      <c r="M110" s="13">
        <v>15368.56</v>
      </c>
      <c r="N110" s="12">
        <v>153.69</v>
      </c>
      <c r="O110" s="33">
        <v>15.368559999999999</v>
      </c>
    </row>
    <row r="111" spans="1:16" x14ac:dyDescent="0.25">
      <c r="A111" s="8" t="s">
        <v>13</v>
      </c>
      <c r="B111" s="8" t="s">
        <v>35</v>
      </c>
      <c r="C111" s="8" t="s">
        <v>117</v>
      </c>
      <c r="D111" s="9">
        <v>46142</v>
      </c>
      <c r="E111" s="8" t="s">
        <v>16</v>
      </c>
      <c r="F111" s="8" t="s">
        <v>17</v>
      </c>
      <c r="G111" s="8" t="s">
        <v>60</v>
      </c>
      <c r="H111" s="10" t="s">
        <v>19</v>
      </c>
      <c r="I111" s="48">
        <v>1500</v>
      </c>
      <c r="J111" s="12">
        <v>14.6753</v>
      </c>
      <c r="K111" s="13">
        <v>22012.95</v>
      </c>
      <c r="L111" s="13">
        <v>3962.33</v>
      </c>
      <c r="M111" s="13">
        <v>25975.279999999999</v>
      </c>
      <c r="N111" s="12">
        <v>259.75</v>
      </c>
      <c r="O111" s="33">
        <v>17.316853333333334</v>
      </c>
    </row>
    <row r="112" spans="1:16" x14ac:dyDescent="0.25">
      <c r="G112"/>
      <c r="H112"/>
      <c r="I112"/>
      <c r="M112"/>
    </row>
    <row r="113" spans="7:13" x14ac:dyDescent="0.25">
      <c r="G113"/>
      <c r="H113"/>
      <c r="I113"/>
      <c r="M113"/>
    </row>
  </sheetData>
  <pageMargins left="0.38" right="0.27" top="0.23622047244094491" bottom="0.15748031496062992" header="0.31496062992125984" footer="0.15748031496062992"/>
  <pageSetup paperSize="9" scale="9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EESS-PUENTE PIEDRA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Elizabeth Chavez Yucra</dc:creator>
  <cp:lastModifiedBy>Kevin Barreda Portillo</cp:lastModifiedBy>
  <dcterms:created xsi:type="dcterms:W3CDTF">2026-06-10T06:32:24Z</dcterms:created>
  <dcterms:modified xsi:type="dcterms:W3CDTF">2026-07-02T01:48:23Z</dcterms:modified>
</cp:coreProperties>
</file>