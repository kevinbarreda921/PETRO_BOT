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36317BC9-1AAD-40E7-8051-D80F40D6E960}" xr6:coauthVersionLast="47" xr6:coauthVersionMax="47" xr10:uidLastSave="{00000000-0000-0000-0000-000000000000}"/>
  <bookViews>
    <workbookView xWindow="38280" yWindow="-8475" windowWidth="21840" windowHeight="37920" xr2:uid="{00000000-000D-0000-FFFF-FFFF00000000}"/>
  </bookViews>
  <sheets>
    <sheet name="Lou" sheetId="1" r:id="rId1"/>
    <sheet name="Mavel" sheetId="2" r:id="rId2"/>
    <sheet name="Jeaneth" sheetId="3" r:id="rId3"/>
    <sheet name="Juan Carlos" sheetId="4" r:id="rId4"/>
    <sheet name="Jorg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Z48" i="1" l="1"/>
  <c r="CZ47" i="1"/>
  <c r="CZ46" i="1"/>
  <c r="CW75" i="1" l="1"/>
  <c r="CW37" i="1"/>
  <c r="AK37" i="1"/>
  <c r="CB228" i="5" l="1"/>
  <c r="CA228" i="5"/>
  <c r="BZ228" i="5"/>
  <c r="BX228" i="5"/>
  <c r="BW228" i="5"/>
  <c r="BS228" i="5"/>
  <c r="BR228" i="5"/>
  <c r="BQ228" i="5"/>
  <c r="BO228" i="5"/>
  <c r="BN228" i="5"/>
  <c r="BJ228" i="5"/>
  <c r="BI228" i="5"/>
  <c r="BH228" i="5"/>
  <c r="BF228" i="5"/>
  <c r="BE228" i="5"/>
  <c r="BA228" i="5"/>
  <c r="AZ228" i="5"/>
  <c r="AY228" i="5"/>
  <c r="AW228" i="5"/>
  <c r="AV228" i="5"/>
  <c r="AU228" i="5"/>
  <c r="AT228" i="5"/>
  <c r="AS228" i="5"/>
  <c r="AR228" i="5"/>
  <c r="AN228" i="5"/>
  <c r="AM228" i="5"/>
  <c r="AL228" i="5"/>
  <c r="AJ228" i="5"/>
  <c r="AI228" i="5"/>
  <c r="AE228" i="5"/>
  <c r="AD228" i="5"/>
  <c r="AC228" i="5"/>
  <c r="AA228" i="5"/>
  <c r="Z228" i="5"/>
  <c r="V228" i="5"/>
  <c r="U228" i="5"/>
  <c r="T228" i="5"/>
  <c r="R228" i="5"/>
  <c r="Q228" i="5"/>
  <c r="P228" i="5"/>
  <c r="O228" i="5"/>
  <c r="N228" i="5"/>
  <c r="J228" i="5"/>
  <c r="I228" i="5"/>
  <c r="H228" i="5"/>
  <c r="F228" i="5"/>
  <c r="E228" i="5"/>
  <c r="D228" i="5"/>
  <c r="C228" i="5"/>
  <c r="CC227" i="5"/>
  <c r="BT227" i="5"/>
  <c r="BK227" i="5"/>
  <c r="BB227" i="5"/>
  <c r="AO227" i="5"/>
  <c r="AF227" i="5"/>
  <c r="W227" i="5"/>
  <c r="M227" i="5"/>
  <c r="AH227" i="5" s="1"/>
  <c r="AQ227" i="5" s="1"/>
  <c r="BD227" i="5" s="1"/>
  <c r="BM227" i="5" s="1"/>
  <c r="BV227" i="5" s="1"/>
  <c r="K227" i="5"/>
  <c r="CC226" i="5"/>
  <c r="BT226" i="5"/>
  <c r="BK226" i="5"/>
  <c r="BB226" i="5"/>
  <c r="AO226" i="5"/>
  <c r="AF226" i="5"/>
  <c r="W226" i="5"/>
  <c r="M226" i="5"/>
  <c r="Y226" i="5" s="1"/>
  <c r="K226" i="5"/>
  <c r="CC225" i="5"/>
  <c r="BT225" i="5"/>
  <c r="BK225" i="5"/>
  <c r="BB225" i="5"/>
  <c r="AO225" i="5"/>
  <c r="AF225" i="5"/>
  <c r="W225" i="5"/>
  <c r="M225" i="5"/>
  <c r="AH225" i="5" s="1"/>
  <c r="AQ225" i="5" s="1"/>
  <c r="BD225" i="5" s="1"/>
  <c r="BM225" i="5" s="1"/>
  <c r="BV225" i="5" s="1"/>
  <c r="K225" i="5"/>
  <c r="CC224" i="5"/>
  <c r="BT224" i="5"/>
  <c r="BK224" i="5"/>
  <c r="BB224" i="5"/>
  <c r="AO224" i="5"/>
  <c r="AF224" i="5"/>
  <c r="W224" i="5"/>
  <c r="M224" i="5"/>
  <c r="Y224" i="5" s="1"/>
  <c r="K224" i="5"/>
  <c r="CC223" i="5"/>
  <c r="BT223" i="5"/>
  <c r="BK223" i="5"/>
  <c r="BB223" i="5"/>
  <c r="AO223" i="5"/>
  <c r="AF223" i="5"/>
  <c r="W223" i="5"/>
  <c r="M223" i="5"/>
  <c r="AH223" i="5" s="1"/>
  <c r="AQ223" i="5" s="1"/>
  <c r="BD223" i="5" s="1"/>
  <c r="BM223" i="5" s="1"/>
  <c r="BV223" i="5" s="1"/>
  <c r="K223" i="5"/>
  <c r="CC222" i="5"/>
  <c r="BT222" i="5"/>
  <c r="BK222" i="5"/>
  <c r="BB222" i="5"/>
  <c r="AO222" i="5"/>
  <c r="AF222" i="5"/>
  <c r="W222" i="5"/>
  <c r="M222" i="5"/>
  <c r="Y222" i="5" s="1"/>
  <c r="K222" i="5"/>
  <c r="CC221" i="5"/>
  <c r="BT221" i="5"/>
  <c r="BK221" i="5"/>
  <c r="BB221" i="5"/>
  <c r="AO221" i="5"/>
  <c r="AF221" i="5"/>
  <c r="W221" i="5"/>
  <c r="M221" i="5"/>
  <c r="AH221" i="5" s="1"/>
  <c r="AQ221" i="5" s="1"/>
  <c r="BD221" i="5" s="1"/>
  <c r="BM221" i="5" s="1"/>
  <c r="BV221" i="5" s="1"/>
  <c r="K221" i="5"/>
  <c r="CC220" i="5"/>
  <c r="BT220" i="5"/>
  <c r="BK220" i="5"/>
  <c r="BB220" i="5"/>
  <c r="AO220" i="5"/>
  <c r="AF220" i="5"/>
  <c r="W220" i="5"/>
  <c r="M220" i="5"/>
  <c r="Y220" i="5" s="1"/>
  <c r="K220" i="5"/>
  <c r="CC219" i="5"/>
  <c r="BT219" i="5"/>
  <c r="BK219" i="5"/>
  <c r="BB219" i="5"/>
  <c r="AO219" i="5"/>
  <c r="AF219" i="5"/>
  <c r="W219" i="5"/>
  <c r="M219" i="5"/>
  <c r="AH219" i="5" s="1"/>
  <c r="AQ219" i="5" s="1"/>
  <c r="BD219" i="5" s="1"/>
  <c r="BM219" i="5" s="1"/>
  <c r="BV219" i="5" s="1"/>
  <c r="K219" i="5"/>
  <c r="CC218" i="5"/>
  <c r="BT218" i="5"/>
  <c r="BK218" i="5"/>
  <c r="BB218" i="5"/>
  <c r="AO218" i="5"/>
  <c r="AF218" i="5"/>
  <c r="W218" i="5"/>
  <c r="M218" i="5"/>
  <c r="Y218" i="5" s="1"/>
  <c r="K218" i="5"/>
  <c r="CC217" i="5"/>
  <c r="BT217" i="5"/>
  <c r="BK217" i="5"/>
  <c r="BB217" i="5"/>
  <c r="AO217" i="5"/>
  <c r="AF217" i="5"/>
  <c r="W217" i="5"/>
  <c r="M217" i="5"/>
  <c r="AH217" i="5" s="1"/>
  <c r="AQ217" i="5" s="1"/>
  <c r="BD217" i="5" s="1"/>
  <c r="BM217" i="5" s="1"/>
  <c r="BV217" i="5" s="1"/>
  <c r="K217" i="5"/>
  <c r="CC216" i="5"/>
  <c r="BT216" i="5"/>
  <c r="BK216" i="5"/>
  <c r="BB216" i="5"/>
  <c r="AO216" i="5"/>
  <c r="AF216" i="5"/>
  <c r="W216" i="5"/>
  <c r="M216" i="5"/>
  <c r="Y216" i="5" s="1"/>
  <c r="K216" i="5"/>
  <c r="CC215" i="5"/>
  <c r="BT215" i="5"/>
  <c r="BK215" i="5"/>
  <c r="BB215" i="5"/>
  <c r="AO215" i="5"/>
  <c r="AF215" i="5"/>
  <c r="W215" i="5"/>
  <c r="M215" i="5"/>
  <c r="AH215" i="5" s="1"/>
  <c r="AQ215" i="5" s="1"/>
  <c r="BD215" i="5" s="1"/>
  <c r="BM215" i="5" s="1"/>
  <c r="BV215" i="5" s="1"/>
  <c r="K215" i="5"/>
  <c r="CC214" i="5"/>
  <c r="BT214" i="5"/>
  <c r="BK214" i="5"/>
  <c r="BB214" i="5"/>
  <c r="AO214" i="5"/>
  <c r="AF214" i="5"/>
  <c r="W214" i="5"/>
  <c r="M214" i="5"/>
  <c r="Y214" i="5" s="1"/>
  <c r="K214" i="5"/>
  <c r="CC213" i="5"/>
  <c r="BT213" i="5"/>
  <c r="BK213" i="5"/>
  <c r="BB213" i="5"/>
  <c r="AO213" i="5"/>
  <c r="AF213" i="5"/>
  <c r="W213" i="5"/>
  <c r="M213" i="5"/>
  <c r="AH213" i="5" s="1"/>
  <c r="AQ213" i="5" s="1"/>
  <c r="BD213" i="5" s="1"/>
  <c r="BM213" i="5" s="1"/>
  <c r="BV213" i="5" s="1"/>
  <c r="K213" i="5"/>
  <c r="CC212" i="5"/>
  <c r="BT212" i="5"/>
  <c r="BK212" i="5"/>
  <c r="BB212" i="5"/>
  <c r="AO212" i="5"/>
  <c r="AF212" i="5"/>
  <c r="W212" i="5"/>
  <c r="M212" i="5"/>
  <c r="Y212" i="5" s="1"/>
  <c r="K212" i="5"/>
  <c r="CC211" i="5"/>
  <c r="BT211" i="5"/>
  <c r="BK211" i="5"/>
  <c r="BB211" i="5"/>
  <c r="AO211" i="5"/>
  <c r="AF211" i="5"/>
  <c r="W211" i="5"/>
  <c r="M211" i="5"/>
  <c r="AH211" i="5" s="1"/>
  <c r="AQ211" i="5" s="1"/>
  <c r="BD211" i="5" s="1"/>
  <c r="BM211" i="5" s="1"/>
  <c r="BV211" i="5" s="1"/>
  <c r="K211" i="5"/>
  <c r="CC210" i="5"/>
  <c r="BT210" i="5"/>
  <c r="BK210" i="5"/>
  <c r="BB210" i="5"/>
  <c r="AO210" i="5"/>
  <c r="AF210" i="5"/>
  <c r="W210" i="5"/>
  <c r="M210" i="5"/>
  <c r="Y210" i="5" s="1"/>
  <c r="K210" i="5"/>
  <c r="CC209" i="5"/>
  <c r="BT209" i="5"/>
  <c r="BK209" i="5"/>
  <c r="BB209" i="5"/>
  <c r="AO209" i="5"/>
  <c r="AF209" i="5"/>
  <c r="W209" i="5"/>
  <c r="M209" i="5"/>
  <c r="AH209" i="5" s="1"/>
  <c r="AQ209" i="5" s="1"/>
  <c r="BD209" i="5" s="1"/>
  <c r="BM209" i="5" s="1"/>
  <c r="BV209" i="5" s="1"/>
  <c r="K209" i="5"/>
  <c r="CC208" i="5"/>
  <c r="BT208" i="5"/>
  <c r="BK208" i="5"/>
  <c r="BB208" i="5"/>
  <c r="AO208" i="5"/>
  <c r="AF208" i="5"/>
  <c r="W208" i="5"/>
  <c r="M208" i="5"/>
  <c r="Y208" i="5" s="1"/>
  <c r="K208" i="5"/>
  <c r="CC207" i="5"/>
  <c r="BT207" i="5"/>
  <c r="BK207" i="5"/>
  <c r="BB207" i="5"/>
  <c r="AO207" i="5"/>
  <c r="AF207" i="5"/>
  <c r="W207" i="5"/>
  <c r="M207" i="5"/>
  <c r="AH207" i="5" s="1"/>
  <c r="AQ207" i="5" s="1"/>
  <c r="BD207" i="5" s="1"/>
  <c r="BM207" i="5" s="1"/>
  <c r="BV207" i="5" s="1"/>
  <c r="K207" i="5"/>
  <c r="CC206" i="5"/>
  <c r="BT206" i="5"/>
  <c r="BK206" i="5"/>
  <c r="BB206" i="5"/>
  <c r="AO206" i="5"/>
  <c r="AF206" i="5"/>
  <c r="W206" i="5"/>
  <c r="M206" i="5"/>
  <c r="Y206" i="5" s="1"/>
  <c r="K206" i="5"/>
  <c r="CC205" i="5"/>
  <c r="BT205" i="5"/>
  <c r="BK205" i="5"/>
  <c r="BB205" i="5"/>
  <c r="AO205" i="5"/>
  <c r="AF205" i="5"/>
  <c r="W205" i="5"/>
  <c r="M205" i="5"/>
  <c r="Y205" i="5" s="1"/>
  <c r="K205" i="5"/>
  <c r="CC204" i="5"/>
  <c r="BT204" i="5"/>
  <c r="BK204" i="5"/>
  <c r="BB204" i="5"/>
  <c r="AO204" i="5"/>
  <c r="AH204" i="5"/>
  <c r="AQ204" i="5" s="1"/>
  <c r="BD204" i="5" s="1"/>
  <c r="BM204" i="5" s="1"/>
  <c r="BV204" i="5" s="1"/>
  <c r="AF204" i="5"/>
  <c r="Y204" i="5"/>
  <c r="W204" i="5"/>
  <c r="M204" i="5"/>
  <c r="K204" i="5"/>
  <c r="CC203" i="5"/>
  <c r="BT203" i="5"/>
  <c r="BK203" i="5"/>
  <c r="BB203" i="5"/>
  <c r="AO203" i="5"/>
  <c r="AF203" i="5"/>
  <c r="W203" i="5"/>
  <c r="M203" i="5"/>
  <c r="AH203" i="5" s="1"/>
  <c r="AQ203" i="5" s="1"/>
  <c r="BD203" i="5" s="1"/>
  <c r="BM203" i="5" s="1"/>
  <c r="BV203" i="5" s="1"/>
  <c r="K203" i="5"/>
  <c r="CC202" i="5"/>
  <c r="BT202" i="5"/>
  <c r="BK202" i="5"/>
  <c r="BB202" i="5"/>
  <c r="AO202" i="5"/>
  <c r="AH202" i="5"/>
  <c r="AQ202" i="5" s="1"/>
  <c r="BD202" i="5" s="1"/>
  <c r="BM202" i="5" s="1"/>
  <c r="BV202" i="5" s="1"/>
  <c r="AF202" i="5"/>
  <c r="Y202" i="5"/>
  <c r="W202" i="5"/>
  <c r="M202" i="5"/>
  <c r="K202" i="5"/>
  <c r="CC201" i="5"/>
  <c r="BT201" i="5"/>
  <c r="BK201" i="5"/>
  <c r="BB201" i="5"/>
  <c r="AO201" i="5"/>
  <c r="AH201" i="5"/>
  <c r="AQ201" i="5" s="1"/>
  <c r="BD201" i="5" s="1"/>
  <c r="BM201" i="5" s="1"/>
  <c r="BV201" i="5" s="1"/>
  <c r="AF201" i="5"/>
  <c r="W201" i="5"/>
  <c r="M201" i="5"/>
  <c r="Y201" i="5" s="1"/>
  <c r="K201" i="5"/>
  <c r="CC200" i="5"/>
  <c r="BT200" i="5"/>
  <c r="BK200" i="5"/>
  <c r="BB200" i="5"/>
  <c r="AO200" i="5"/>
  <c r="AH200" i="5"/>
  <c r="AQ200" i="5" s="1"/>
  <c r="BD200" i="5" s="1"/>
  <c r="BM200" i="5" s="1"/>
  <c r="BV200" i="5" s="1"/>
  <c r="AF200" i="5"/>
  <c r="W200" i="5"/>
  <c r="M200" i="5"/>
  <c r="Y200" i="5" s="1"/>
  <c r="K200" i="5"/>
  <c r="CC199" i="5"/>
  <c r="BT199" i="5"/>
  <c r="BK199" i="5"/>
  <c r="BB199" i="5"/>
  <c r="AO199" i="5"/>
  <c r="AF199" i="5"/>
  <c r="W199" i="5"/>
  <c r="M199" i="5"/>
  <c r="AH199" i="5" s="1"/>
  <c r="AQ199" i="5" s="1"/>
  <c r="BD199" i="5" s="1"/>
  <c r="BM199" i="5" s="1"/>
  <c r="BV199" i="5" s="1"/>
  <c r="K199" i="5"/>
  <c r="CC198" i="5"/>
  <c r="BT198" i="5"/>
  <c r="BK198" i="5"/>
  <c r="BB198" i="5"/>
  <c r="AO198" i="5"/>
  <c r="AH198" i="5"/>
  <c r="AQ198" i="5" s="1"/>
  <c r="BD198" i="5" s="1"/>
  <c r="BM198" i="5" s="1"/>
  <c r="BV198" i="5" s="1"/>
  <c r="AF198" i="5"/>
  <c r="W198" i="5"/>
  <c r="M198" i="5"/>
  <c r="Y198" i="5" s="1"/>
  <c r="K198" i="5"/>
  <c r="CC197" i="5"/>
  <c r="BT197" i="5"/>
  <c r="BK197" i="5"/>
  <c r="BK228" i="5" s="1"/>
  <c r="BB197" i="5"/>
  <c r="BB228" i="5" s="1"/>
  <c r="AO197" i="5"/>
  <c r="AF197" i="5"/>
  <c r="W197" i="5"/>
  <c r="M197" i="5"/>
  <c r="AH197" i="5" s="1"/>
  <c r="AQ197" i="5" s="1"/>
  <c r="BD197" i="5" s="1"/>
  <c r="BM197" i="5" s="1"/>
  <c r="BV197" i="5" s="1"/>
  <c r="K197" i="5"/>
  <c r="CB190" i="5"/>
  <c r="CA190" i="5"/>
  <c r="BZ190" i="5"/>
  <c r="BX190" i="5"/>
  <c r="BW190" i="5"/>
  <c r="BS190" i="5"/>
  <c r="BR190" i="5"/>
  <c r="BQ190" i="5"/>
  <c r="BO190" i="5"/>
  <c r="BN190" i="5"/>
  <c r="BJ190" i="5"/>
  <c r="BI190" i="5"/>
  <c r="BH190" i="5"/>
  <c r="BF190" i="5"/>
  <c r="BE190" i="5"/>
  <c r="BA190" i="5"/>
  <c r="AZ190" i="5"/>
  <c r="AY190" i="5"/>
  <c r="AW190" i="5"/>
  <c r="AV190" i="5"/>
  <c r="AU190" i="5"/>
  <c r="AT190" i="5"/>
  <c r="AS190" i="5"/>
  <c r="AR190" i="5"/>
  <c r="AN190" i="5"/>
  <c r="AM190" i="5"/>
  <c r="AL190" i="5"/>
  <c r="AJ190" i="5"/>
  <c r="AI190" i="5"/>
  <c r="AE190" i="5"/>
  <c r="AD190" i="5"/>
  <c r="AC190" i="5"/>
  <c r="AA190" i="5"/>
  <c r="Z190" i="5"/>
  <c r="V190" i="5"/>
  <c r="U190" i="5"/>
  <c r="T190" i="5"/>
  <c r="R190" i="5"/>
  <c r="Q190" i="5"/>
  <c r="P190" i="5"/>
  <c r="O190" i="5"/>
  <c r="N190" i="5"/>
  <c r="J190" i="5"/>
  <c r="I190" i="5"/>
  <c r="H190" i="5"/>
  <c r="F190" i="5"/>
  <c r="E190" i="5"/>
  <c r="D190" i="5"/>
  <c r="C190" i="5"/>
  <c r="CC189" i="5"/>
  <c r="BT189" i="5"/>
  <c r="BK189" i="5"/>
  <c r="BB189" i="5"/>
  <c r="AO189" i="5"/>
  <c r="AF189" i="5"/>
  <c r="W189" i="5"/>
  <c r="K189" i="5"/>
  <c r="CC188" i="5"/>
  <c r="BT188" i="5"/>
  <c r="BK188" i="5"/>
  <c r="BB188" i="5"/>
  <c r="AO188" i="5"/>
  <c r="AF188" i="5"/>
  <c r="W188" i="5"/>
  <c r="M188" i="5"/>
  <c r="AH188" i="5" s="1"/>
  <c r="AQ188" i="5" s="1"/>
  <c r="BD188" i="5" s="1"/>
  <c r="BM188" i="5" s="1"/>
  <c r="BV188" i="5" s="1"/>
  <c r="K188" i="5"/>
  <c r="CC187" i="5"/>
  <c r="BT187" i="5"/>
  <c r="BK187" i="5"/>
  <c r="BB187" i="5"/>
  <c r="AO187" i="5"/>
  <c r="AF187" i="5"/>
  <c r="W187" i="5"/>
  <c r="M187" i="5"/>
  <c r="AH187" i="5" s="1"/>
  <c r="AQ187" i="5" s="1"/>
  <c r="BD187" i="5" s="1"/>
  <c r="BM187" i="5" s="1"/>
  <c r="BV187" i="5" s="1"/>
  <c r="K187" i="5"/>
  <c r="CC186" i="5"/>
  <c r="BT186" i="5"/>
  <c r="BK186" i="5"/>
  <c r="BB186" i="5"/>
  <c r="AO186" i="5"/>
  <c r="AF186" i="5"/>
  <c r="W186" i="5"/>
  <c r="M186" i="5"/>
  <c r="AH186" i="5" s="1"/>
  <c r="AQ186" i="5" s="1"/>
  <c r="BD186" i="5" s="1"/>
  <c r="BM186" i="5" s="1"/>
  <c r="BV186" i="5" s="1"/>
  <c r="K186" i="5"/>
  <c r="CC185" i="5"/>
  <c r="BT185" i="5"/>
  <c r="BK185" i="5"/>
  <c r="BB185" i="5"/>
  <c r="AO185" i="5"/>
  <c r="AF185" i="5"/>
  <c r="W185" i="5"/>
  <c r="M185" i="5"/>
  <c r="AH185" i="5" s="1"/>
  <c r="AQ185" i="5" s="1"/>
  <c r="BD185" i="5" s="1"/>
  <c r="BM185" i="5" s="1"/>
  <c r="BV185" i="5" s="1"/>
  <c r="K185" i="5"/>
  <c r="CC184" i="5"/>
  <c r="BT184" i="5"/>
  <c r="BK184" i="5"/>
  <c r="BB184" i="5"/>
  <c r="AO184" i="5"/>
  <c r="AF184" i="5"/>
  <c r="W184" i="5"/>
  <c r="M184" i="5"/>
  <c r="AH184" i="5" s="1"/>
  <c r="AQ184" i="5" s="1"/>
  <c r="BD184" i="5" s="1"/>
  <c r="BM184" i="5" s="1"/>
  <c r="BV184" i="5" s="1"/>
  <c r="K184" i="5"/>
  <c r="CC183" i="5"/>
  <c r="BT183" i="5"/>
  <c r="BK183" i="5"/>
  <c r="BB183" i="5"/>
  <c r="AO183" i="5"/>
  <c r="AF183" i="5"/>
  <c r="W183" i="5"/>
  <c r="M183" i="5"/>
  <c r="AH183" i="5" s="1"/>
  <c r="AQ183" i="5" s="1"/>
  <c r="BD183" i="5" s="1"/>
  <c r="BM183" i="5" s="1"/>
  <c r="BV183" i="5" s="1"/>
  <c r="K183" i="5"/>
  <c r="CC182" i="5"/>
  <c r="BT182" i="5"/>
  <c r="BK182" i="5"/>
  <c r="BB182" i="5"/>
  <c r="AO182" i="5"/>
  <c r="AF182" i="5"/>
  <c r="W182" i="5"/>
  <c r="M182" i="5"/>
  <c r="AH182" i="5" s="1"/>
  <c r="AQ182" i="5" s="1"/>
  <c r="BD182" i="5" s="1"/>
  <c r="BM182" i="5" s="1"/>
  <c r="BV182" i="5" s="1"/>
  <c r="K182" i="5"/>
  <c r="CC181" i="5"/>
  <c r="BT181" i="5"/>
  <c r="BK181" i="5"/>
  <c r="BB181" i="5"/>
  <c r="AO181" i="5"/>
  <c r="AF181" i="5"/>
  <c r="W181" i="5"/>
  <c r="M181" i="5"/>
  <c r="AH181" i="5" s="1"/>
  <c r="AQ181" i="5" s="1"/>
  <c r="BD181" i="5" s="1"/>
  <c r="BM181" i="5" s="1"/>
  <c r="BV181" i="5" s="1"/>
  <c r="K181" i="5"/>
  <c r="CC180" i="5"/>
  <c r="BT180" i="5"/>
  <c r="BK180" i="5"/>
  <c r="BB180" i="5"/>
  <c r="AO180" i="5"/>
  <c r="AH180" i="5"/>
  <c r="AQ180" i="5" s="1"/>
  <c r="BD180" i="5" s="1"/>
  <c r="BM180" i="5" s="1"/>
  <c r="BV180" i="5" s="1"/>
  <c r="AF180" i="5"/>
  <c r="W180" i="5"/>
  <c r="M180" i="5"/>
  <c r="Y180" i="5" s="1"/>
  <c r="K180" i="5"/>
  <c r="CC179" i="5"/>
  <c r="BT179" i="5"/>
  <c r="BK179" i="5"/>
  <c r="BB179" i="5"/>
  <c r="AO179" i="5"/>
  <c r="AF179" i="5"/>
  <c r="W179" i="5"/>
  <c r="M179" i="5"/>
  <c r="AH179" i="5" s="1"/>
  <c r="AQ179" i="5" s="1"/>
  <c r="BD179" i="5" s="1"/>
  <c r="BM179" i="5" s="1"/>
  <c r="BV179" i="5" s="1"/>
  <c r="K179" i="5"/>
  <c r="CC178" i="5"/>
  <c r="BT178" i="5"/>
  <c r="BK178" i="5"/>
  <c r="BB178" i="5"/>
  <c r="AO178" i="5"/>
  <c r="AF178" i="5"/>
  <c r="W178" i="5"/>
  <c r="M178" i="5"/>
  <c r="AH178" i="5" s="1"/>
  <c r="AQ178" i="5" s="1"/>
  <c r="BD178" i="5" s="1"/>
  <c r="BM178" i="5" s="1"/>
  <c r="BV178" i="5" s="1"/>
  <c r="K178" i="5"/>
  <c r="CC177" i="5"/>
  <c r="BT177" i="5"/>
  <c r="BK177" i="5"/>
  <c r="BB177" i="5"/>
  <c r="AO177" i="5"/>
  <c r="AF177" i="5"/>
  <c r="W177" i="5"/>
  <c r="M177" i="5"/>
  <c r="AH177" i="5" s="1"/>
  <c r="AQ177" i="5" s="1"/>
  <c r="BD177" i="5" s="1"/>
  <c r="BM177" i="5" s="1"/>
  <c r="BV177" i="5" s="1"/>
  <c r="K177" i="5"/>
  <c r="CC176" i="5"/>
  <c r="BT176" i="5"/>
  <c r="BK176" i="5"/>
  <c r="BB176" i="5"/>
  <c r="AO176" i="5"/>
  <c r="AH176" i="5"/>
  <c r="AQ176" i="5" s="1"/>
  <c r="BD176" i="5" s="1"/>
  <c r="BM176" i="5" s="1"/>
  <c r="BV176" i="5" s="1"/>
  <c r="AF176" i="5"/>
  <c r="W176" i="5"/>
  <c r="M176" i="5"/>
  <c r="Y176" i="5" s="1"/>
  <c r="K176" i="5"/>
  <c r="CC175" i="5"/>
  <c r="BT175" i="5"/>
  <c r="BK175" i="5"/>
  <c r="BB175" i="5"/>
  <c r="AO175" i="5"/>
  <c r="AF175" i="5"/>
  <c r="W175" i="5"/>
  <c r="M175" i="5"/>
  <c r="AH175" i="5" s="1"/>
  <c r="AQ175" i="5" s="1"/>
  <c r="BD175" i="5" s="1"/>
  <c r="BM175" i="5" s="1"/>
  <c r="BV175" i="5" s="1"/>
  <c r="K175" i="5"/>
  <c r="CC174" i="5"/>
  <c r="BT174" i="5"/>
  <c r="BK174" i="5"/>
  <c r="BB174" i="5"/>
  <c r="AO174" i="5"/>
  <c r="AF174" i="5"/>
  <c r="W174" i="5"/>
  <c r="M174" i="5"/>
  <c r="AH174" i="5" s="1"/>
  <c r="AQ174" i="5" s="1"/>
  <c r="BD174" i="5" s="1"/>
  <c r="BM174" i="5" s="1"/>
  <c r="BV174" i="5" s="1"/>
  <c r="K174" i="5"/>
  <c r="CC173" i="5"/>
  <c r="BT173" i="5"/>
  <c r="BK173" i="5"/>
  <c r="BB173" i="5"/>
  <c r="AO173" i="5"/>
  <c r="AF173" i="5"/>
  <c r="W173" i="5"/>
  <c r="M173" i="5"/>
  <c r="AH173" i="5" s="1"/>
  <c r="AQ173" i="5" s="1"/>
  <c r="BD173" i="5" s="1"/>
  <c r="BM173" i="5" s="1"/>
  <c r="BV173" i="5" s="1"/>
  <c r="K173" i="5"/>
  <c r="CC172" i="5"/>
  <c r="BT172" i="5"/>
  <c r="BK172" i="5"/>
  <c r="BB172" i="5"/>
  <c r="AO172" i="5"/>
  <c r="AH172" i="5"/>
  <c r="AQ172" i="5" s="1"/>
  <c r="BD172" i="5" s="1"/>
  <c r="BM172" i="5" s="1"/>
  <c r="BV172" i="5" s="1"/>
  <c r="AF172" i="5"/>
  <c r="W172" i="5"/>
  <c r="M172" i="5"/>
  <c r="Y172" i="5" s="1"/>
  <c r="K172" i="5"/>
  <c r="CC171" i="5"/>
  <c r="BT171" i="5"/>
  <c r="BK171" i="5"/>
  <c r="BB171" i="5"/>
  <c r="AO171" i="5"/>
  <c r="AF171" i="5"/>
  <c r="W171" i="5"/>
  <c r="M171" i="5"/>
  <c r="AH171" i="5" s="1"/>
  <c r="AQ171" i="5" s="1"/>
  <c r="BD171" i="5" s="1"/>
  <c r="BM171" i="5" s="1"/>
  <c r="BV171" i="5" s="1"/>
  <c r="K171" i="5"/>
  <c r="CC170" i="5"/>
  <c r="BT170" i="5"/>
  <c r="BK170" i="5"/>
  <c r="BB170" i="5"/>
  <c r="AO170" i="5"/>
  <c r="AF170" i="5"/>
  <c r="W170" i="5"/>
  <c r="M170" i="5"/>
  <c r="AH170" i="5" s="1"/>
  <c r="AQ170" i="5" s="1"/>
  <c r="BD170" i="5" s="1"/>
  <c r="BM170" i="5" s="1"/>
  <c r="BV170" i="5" s="1"/>
  <c r="K170" i="5"/>
  <c r="CC169" i="5"/>
  <c r="BT169" i="5"/>
  <c r="BK169" i="5"/>
  <c r="BB169" i="5"/>
  <c r="AO169" i="5"/>
  <c r="AF169" i="5"/>
  <c r="W169" i="5"/>
  <c r="M169" i="5"/>
  <c r="AH169" i="5" s="1"/>
  <c r="AQ169" i="5" s="1"/>
  <c r="BD169" i="5" s="1"/>
  <c r="BM169" i="5" s="1"/>
  <c r="BV169" i="5" s="1"/>
  <c r="K169" i="5"/>
  <c r="CC168" i="5"/>
  <c r="BT168" i="5"/>
  <c r="BK168" i="5"/>
  <c r="BB168" i="5"/>
  <c r="AO168" i="5"/>
  <c r="AH168" i="5"/>
  <c r="AQ168" i="5" s="1"/>
  <c r="BD168" i="5" s="1"/>
  <c r="BM168" i="5" s="1"/>
  <c r="BV168" i="5" s="1"/>
  <c r="AF168" i="5"/>
  <c r="W168" i="5"/>
  <c r="M168" i="5"/>
  <c r="Y168" i="5" s="1"/>
  <c r="K168" i="5"/>
  <c r="CC167" i="5"/>
  <c r="BT167" i="5"/>
  <c r="BK167" i="5"/>
  <c r="BB167" i="5"/>
  <c r="AO167" i="5"/>
  <c r="AF167" i="5"/>
  <c r="W167" i="5"/>
  <c r="M167" i="5"/>
  <c r="AH167" i="5" s="1"/>
  <c r="AQ167" i="5" s="1"/>
  <c r="BD167" i="5" s="1"/>
  <c r="BM167" i="5" s="1"/>
  <c r="BV167" i="5" s="1"/>
  <c r="K167" i="5"/>
  <c r="CC166" i="5"/>
  <c r="BT166" i="5"/>
  <c r="BK166" i="5"/>
  <c r="BB166" i="5"/>
  <c r="AO166" i="5"/>
  <c r="AF166" i="5"/>
  <c r="W166" i="5"/>
  <c r="M166" i="5"/>
  <c r="AH166" i="5" s="1"/>
  <c r="AQ166" i="5" s="1"/>
  <c r="BD166" i="5" s="1"/>
  <c r="BM166" i="5" s="1"/>
  <c r="BV166" i="5" s="1"/>
  <c r="K166" i="5"/>
  <c r="CC165" i="5"/>
  <c r="BT165" i="5"/>
  <c r="BK165" i="5"/>
  <c r="BB165" i="5"/>
  <c r="AO165" i="5"/>
  <c r="AF165" i="5"/>
  <c r="W165" i="5"/>
  <c r="M165" i="5"/>
  <c r="AH165" i="5" s="1"/>
  <c r="AQ165" i="5" s="1"/>
  <c r="BD165" i="5" s="1"/>
  <c r="BM165" i="5" s="1"/>
  <c r="BV165" i="5" s="1"/>
  <c r="K165" i="5"/>
  <c r="CC164" i="5"/>
  <c r="BT164" i="5"/>
  <c r="BK164" i="5"/>
  <c r="BB164" i="5"/>
  <c r="AO164" i="5"/>
  <c r="AH164" i="5"/>
  <c r="AQ164" i="5" s="1"/>
  <c r="BD164" i="5" s="1"/>
  <c r="BM164" i="5" s="1"/>
  <c r="BV164" i="5" s="1"/>
  <c r="AF164" i="5"/>
  <c r="W164" i="5"/>
  <c r="M164" i="5"/>
  <c r="Y164" i="5" s="1"/>
  <c r="K164" i="5"/>
  <c r="CC163" i="5"/>
  <c r="BT163" i="5"/>
  <c r="BK163" i="5"/>
  <c r="BB163" i="5"/>
  <c r="AO163" i="5"/>
  <c r="AF163" i="5"/>
  <c r="W163" i="5"/>
  <c r="M163" i="5"/>
  <c r="AH163" i="5" s="1"/>
  <c r="AQ163" i="5" s="1"/>
  <c r="BD163" i="5" s="1"/>
  <c r="BM163" i="5" s="1"/>
  <c r="BV163" i="5" s="1"/>
  <c r="K163" i="5"/>
  <c r="CC162" i="5"/>
  <c r="BT162" i="5"/>
  <c r="BK162" i="5"/>
  <c r="BB162" i="5"/>
  <c r="AO162" i="5"/>
  <c r="AF162" i="5"/>
  <c r="W162" i="5"/>
  <c r="M162" i="5"/>
  <c r="AH162" i="5" s="1"/>
  <c r="AQ162" i="5" s="1"/>
  <c r="BD162" i="5" s="1"/>
  <c r="BM162" i="5" s="1"/>
  <c r="BV162" i="5" s="1"/>
  <c r="K162" i="5"/>
  <c r="CC161" i="5"/>
  <c r="BT161" i="5"/>
  <c r="BK161" i="5"/>
  <c r="BB161" i="5"/>
  <c r="AO161" i="5"/>
  <c r="AF161" i="5"/>
  <c r="W161" i="5"/>
  <c r="M161" i="5"/>
  <c r="AH161" i="5" s="1"/>
  <c r="AQ161" i="5" s="1"/>
  <c r="BD161" i="5" s="1"/>
  <c r="BM161" i="5" s="1"/>
  <c r="BV161" i="5" s="1"/>
  <c r="K161" i="5"/>
  <c r="CC160" i="5"/>
  <c r="BT160" i="5"/>
  <c r="BK160" i="5"/>
  <c r="BB160" i="5"/>
  <c r="AO160" i="5"/>
  <c r="AH160" i="5"/>
  <c r="AQ160" i="5" s="1"/>
  <c r="BD160" i="5" s="1"/>
  <c r="BM160" i="5" s="1"/>
  <c r="BV160" i="5" s="1"/>
  <c r="AF160" i="5"/>
  <c r="W160" i="5"/>
  <c r="M160" i="5"/>
  <c r="Y160" i="5" s="1"/>
  <c r="K160" i="5"/>
  <c r="CC159" i="5"/>
  <c r="BT159" i="5"/>
  <c r="BK159" i="5"/>
  <c r="BB159" i="5"/>
  <c r="AO159" i="5"/>
  <c r="AF159" i="5"/>
  <c r="W159" i="5"/>
  <c r="M159" i="5"/>
  <c r="AH159" i="5" s="1"/>
  <c r="AQ159" i="5" s="1"/>
  <c r="BD159" i="5" s="1"/>
  <c r="BM159" i="5" s="1"/>
  <c r="BV159" i="5" s="1"/>
  <c r="K159" i="5"/>
  <c r="CB152" i="5"/>
  <c r="CA152" i="5"/>
  <c r="BZ152" i="5"/>
  <c r="BX152" i="5"/>
  <c r="BW152" i="5"/>
  <c r="BS152" i="5"/>
  <c r="BR152" i="5"/>
  <c r="BQ152" i="5"/>
  <c r="BO152" i="5"/>
  <c r="BN152" i="5"/>
  <c r="BJ152" i="5"/>
  <c r="BI152" i="5"/>
  <c r="BH152" i="5"/>
  <c r="BF152" i="5"/>
  <c r="BE152" i="5"/>
  <c r="BA152" i="5"/>
  <c r="AZ152" i="5"/>
  <c r="AY152" i="5"/>
  <c r="AW152" i="5"/>
  <c r="AV152" i="5"/>
  <c r="AU152" i="5"/>
  <c r="AT152" i="5"/>
  <c r="AS152" i="5"/>
  <c r="AR152" i="5"/>
  <c r="AN152" i="5"/>
  <c r="AM152" i="5"/>
  <c r="AL152" i="5"/>
  <c r="AJ152" i="5"/>
  <c r="AI152" i="5"/>
  <c r="AE152" i="5"/>
  <c r="AD152" i="5"/>
  <c r="AC152" i="5"/>
  <c r="AA152" i="5"/>
  <c r="Z152" i="5"/>
  <c r="V152" i="5"/>
  <c r="U152" i="5"/>
  <c r="T152" i="5"/>
  <c r="R152" i="5"/>
  <c r="Q152" i="5"/>
  <c r="P152" i="5"/>
  <c r="O152" i="5"/>
  <c r="N152" i="5"/>
  <c r="J152" i="5"/>
  <c r="I152" i="5"/>
  <c r="H152" i="5"/>
  <c r="F152" i="5"/>
  <c r="E152" i="5"/>
  <c r="D152" i="5"/>
  <c r="C152" i="5"/>
  <c r="CC151" i="5"/>
  <c r="BT151" i="5"/>
  <c r="BK151" i="5"/>
  <c r="BB151" i="5"/>
  <c r="AO151" i="5"/>
  <c r="AF151" i="5"/>
  <c r="W151" i="5"/>
  <c r="M151" i="5"/>
  <c r="AH151" i="5" s="1"/>
  <c r="AQ151" i="5" s="1"/>
  <c r="BD151" i="5" s="1"/>
  <c r="BM151" i="5" s="1"/>
  <c r="BV151" i="5" s="1"/>
  <c r="K151" i="5"/>
  <c r="CC150" i="5"/>
  <c r="BT150" i="5"/>
  <c r="BK150" i="5"/>
  <c r="BB150" i="5"/>
  <c r="AO150" i="5"/>
  <c r="AF150" i="5"/>
  <c r="W150" i="5"/>
  <c r="M150" i="5"/>
  <c r="AH150" i="5" s="1"/>
  <c r="AQ150" i="5" s="1"/>
  <c r="BD150" i="5" s="1"/>
  <c r="BM150" i="5" s="1"/>
  <c r="BV150" i="5" s="1"/>
  <c r="K150" i="5"/>
  <c r="CC149" i="5"/>
  <c r="BT149" i="5"/>
  <c r="BK149" i="5"/>
  <c r="BB149" i="5"/>
  <c r="AO149" i="5"/>
  <c r="AF149" i="5"/>
  <c r="W149" i="5"/>
  <c r="M149" i="5"/>
  <c r="AH149" i="5" s="1"/>
  <c r="AQ149" i="5" s="1"/>
  <c r="BD149" i="5" s="1"/>
  <c r="BM149" i="5" s="1"/>
  <c r="BV149" i="5" s="1"/>
  <c r="K149" i="5"/>
  <c r="CC148" i="5"/>
  <c r="BT148" i="5"/>
  <c r="BK148" i="5"/>
  <c r="BB148" i="5"/>
  <c r="AO148" i="5"/>
  <c r="AF148" i="5"/>
  <c r="W148" i="5"/>
  <c r="M148" i="5"/>
  <c r="AH148" i="5" s="1"/>
  <c r="AQ148" i="5" s="1"/>
  <c r="BD148" i="5" s="1"/>
  <c r="BM148" i="5" s="1"/>
  <c r="BV148" i="5" s="1"/>
  <c r="K148" i="5"/>
  <c r="CC147" i="5"/>
  <c r="BT147" i="5"/>
  <c r="BK147" i="5"/>
  <c r="BB147" i="5"/>
  <c r="AO147" i="5"/>
  <c r="AF147" i="5"/>
  <c r="W147" i="5"/>
  <c r="M147" i="5"/>
  <c r="AH147" i="5" s="1"/>
  <c r="AQ147" i="5" s="1"/>
  <c r="BD147" i="5" s="1"/>
  <c r="BM147" i="5" s="1"/>
  <c r="BV147" i="5" s="1"/>
  <c r="K147" i="5"/>
  <c r="CC146" i="5"/>
  <c r="BT146" i="5"/>
  <c r="BK146" i="5"/>
  <c r="BB146" i="5"/>
  <c r="AO146" i="5"/>
  <c r="AF146" i="5"/>
  <c r="W146" i="5"/>
  <c r="M146" i="5"/>
  <c r="AH146" i="5" s="1"/>
  <c r="AQ146" i="5" s="1"/>
  <c r="BD146" i="5" s="1"/>
  <c r="BM146" i="5" s="1"/>
  <c r="BV146" i="5" s="1"/>
  <c r="K146" i="5"/>
  <c r="CC145" i="5"/>
  <c r="BT145" i="5"/>
  <c r="BK145" i="5"/>
  <c r="BB145" i="5"/>
  <c r="AO145" i="5"/>
  <c r="AF145" i="5"/>
  <c r="W145" i="5"/>
  <c r="M145" i="5"/>
  <c r="AH145" i="5" s="1"/>
  <c r="AQ145" i="5" s="1"/>
  <c r="BD145" i="5" s="1"/>
  <c r="BM145" i="5" s="1"/>
  <c r="BV145" i="5" s="1"/>
  <c r="K145" i="5"/>
  <c r="CC144" i="5"/>
  <c r="BT144" i="5"/>
  <c r="BK144" i="5"/>
  <c r="BB144" i="5"/>
  <c r="AO144" i="5"/>
  <c r="AF144" i="5"/>
  <c r="W144" i="5"/>
  <c r="M144" i="5"/>
  <c r="AH144" i="5" s="1"/>
  <c r="AQ144" i="5" s="1"/>
  <c r="BD144" i="5" s="1"/>
  <c r="BM144" i="5" s="1"/>
  <c r="BV144" i="5" s="1"/>
  <c r="K144" i="5"/>
  <c r="CC143" i="5"/>
  <c r="BT143" i="5"/>
  <c r="BK143" i="5"/>
  <c r="BB143" i="5"/>
  <c r="AO143" i="5"/>
  <c r="AF143" i="5"/>
  <c r="W143" i="5"/>
  <c r="M143" i="5"/>
  <c r="Y143" i="5" s="1"/>
  <c r="K143" i="5"/>
  <c r="CC142" i="5"/>
  <c r="BT142" i="5"/>
  <c r="BK142" i="5"/>
  <c r="BB142" i="5"/>
  <c r="AO142" i="5"/>
  <c r="AF142" i="5"/>
  <c r="W142" i="5"/>
  <c r="M142" i="5"/>
  <c r="AH142" i="5" s="1"/>
  <c r="AQ142" i="5" s="1"/>
  <c r="BD142" i="5" s="1"/>
  <c r="BM142" i="5" s="1"/>
  <c r="BV142" i="5" s="1"/>
  <c r="K142" i="5"/>
  <c r="CC141" i="5"/>
  <c r="BT141" i="5"/>
  <c r="BK141" i="5"/>
  <c r="BB141" i="5"/>
  <c r="AO141" i="5"/>
  <c r="AF141" i="5"/>
  <c r="W141" i="5"/>
  <c r="M141" i="5"/>
  <c r="AH141" i="5" s="1"/>
  <c r="AQ141" i="5" s="1"/>
  <c r="BD141" i="5" s="1"/>
  <c r="BM141" i="5" s="1"/>
  <c r="BV141" i="5" s="1"/>
  <c r="K141" i="5"/>
  <c r="CC140" i="5"/>
  <c r="BT140" i="5"/>
  <c r="BK140" i="5"/>
  <c r="BB140" i="5"/>
  <c r="AO140" i="5"/>
  <c r="AF140" i="5"/>
  <c r="W140" i="5"/>
  <c r="M140" i="5"/>
  <c r="AH140" i="5" s="1"/>
  <c r="AQ140" i="5" s="1"/>
  <c r="BD140" i="5" s="1"/>
  <c r="BM140" i="5" s="1"/>
  <c r="BV140" i="5" s="1"/>
  <c r="K140" i="5"/>
  <c r="CC139" i="5"/>
  <c r="BT139" i="5"/>
  <c r="BK139" i="5"/>
  <c r="BB139" i="5"/>
  <c r="AO139" i="5"/>
  <c r="AF139" i="5"/>
  <c r="W139" i="5"/>
  <c r="M139" i="5"/>
  <c r="Y139" i="5" s="1"/>
  <c r="K139" i="5"/>
  <c r="CC138" i="5"/>
  <c r="BT138" i="5"/>
  <c r="BK138" i="5"/>
  <c r="BB138" i="5"/>
  <c r="AO138" i="5"/>
  <c r="AF138" i="5"/>
  <c r="W138" i="5"/>
  <c r="M138" i="5"/>
  <c r="AH138" i="5" s="1"/>
  <c r="AQ138" i="5" s="1"/>
  <c r="BD138" i="5" s="1"/>
  <c r="BM138" i="5" s="1"/>
  <c r="BV138" i="5" s="1"/>
  <c r="K138" i="5"/>
  <c r="CC137" i="5"/>
  <c r="BT137" i="5"/>
  <c r="BK137" i="5"/>
  <c r="BB137" i="5"/>
  <c r="AO137" i="5"/>
  <c r="AF137" i="5"/>
  <c r="W137" i="5"/>
  <c r="M137" i="5"/>
  <c r="AH137" i="5" s="1"/>
  <c r="AQ137" i="5" s="1"/>
  <c r="BD137" i="5" s="1"/>
  <c r="BM137" i="5" s="1"/>
  <c r="BV137" i="5" s="1"/>
  <c r="K137" i="5"/>
  <c r="CC136" i="5"/>
  <c r="BT136" i="5"/>
  <c r="BK136" i="5"/>
  <c r="BB136" i="5"/>
  <c r="AO136" i="5"/>
  <c r="AF136" i="5"/>
  <c r="W136" i="5"/>
  <c r="M136" i="5"/>
  <c r="AH136" i="5" s="1"/>
  <c r="AQ136" i="5" s="1"/>
  <c r="BD136" i="5" s="1"/>
  <c r="BM136" i="5" s="1"/>
  <c r="BV136" i="5" s="1"/>
  <c r="K136" i="5"/>
  <c r="CC135" i="5"/>
  <c r="BT135" i="5"/>
  <c r="BK135" i="5"/>
  <c r="BB135" i="5"/>
  <c r="AO135" i="5"/>
  <c r="AF135" i="5"/>
  <c r="W135" i="5"/>
  <c r="M135" i="5"/>
  <c r="Y135" i="5" s="1"/>
  <c r="K135" i="5"/>
  <c r="CC134" i="5"/>
  <c r="BT134" i="5"/>
  <c r="BK134" i="5"/>
  <c r="BB134" i="5"/>
  <c r="AO134" i="5"/>
  <c r="AF134" i="5"/>
  <c r="W134" i="5"/>
  <c r="M134" i="5"/>
  <c r="AH134" i="5" s="1"/>
  <c r="AQ134" i="5" s="1"/>
  <c r="BD134" i="5" s="1"/>
  <c r="BM134" i="5" s="1"/>
  <c r="BV134" i="5" s="1"/>
  <c r="K134" i="5"/>
  <c r="CC133" i="5"/>
  <c r="BT133" i="5"/>
  <c r="BK133" i="5"/>
  <c r="BB133" i="5"/>
  <c r="AO133" i="5"/>
  <c r="AF133" i="5"/>
  <c r="W133" i="5"/>
  <c r="M133" i="5"/>
  <c r="AH133" i="5" s="1"/>
  <c r="AQ133" i="5" s="1"/>
  <c r="BD133" i="5" s="1"/>
  <c r="BM133" i="5" s="1"/>
  <c r="BV133" i="5" s="1"/>
  <c r="K133" i="5"/>
  <c r="CC132" i="5"/>
  <c r="BT132" i="5"/>
  <c r="BK132" i="5"/>
  <c r="BB132" i="5"/>
  <c r="AO132" i="5"/>
  <c r="AF132" i="5"/>
  <c r="W132" i="5"/>
  <c r="M132" i="5"/>
  <c r="AH132" i="5" s="1"/>
  <c r="AQ132" i="5" s="1"/>
  <c r="BD132" i="5" s="1"/>
  <c r="BM132" i="5" s="1"/>
  <c r="BV132" i="5" s="1"/>
  <c r="K132" i="5"/>
  <c r="CC131" i="5"/>
  <c r="BT131" i="5"/>
  <c r="BK131" i="5"/>
  <c r="BB131" i="5"/>
  <c r="AO131" i="5"/>
  <c r="AF131" i="5"/>
  <c r="W131" i="5"/>
  <c r="M131" i="5"/>
  <c r="AH131" i="5" s="1"/>
  <c r="AQ131" i="5" s="1"/>
  <c r="BD131" i="5" s="1"/>
  <c r="BM131" i="5" s="1"/>
  <c r="BV131" i="5" s="1"/>
  <c r="K131" i="5"/>
  <c r="CC130" i="5"/>
  <c r="BT130" i="5"/>
  <c r="BK130" i="5"/>
  <c r="BB130" i="5"/>
  <c r="AO130" i="5"/>
  <c r="AF130" i="5"/>
  <c r="W130" i="5"/>
  <c r="M130" i="5"/>
  <c r="AH130" i="5" s="1"/>
  <c r="AQ130" i="5" s="1"/>
  <c r="BD130" i="5" s="1"/>
  <c r="BM130" i="5" s="1"/>
  <c r="BV130" i="5" s="1"/>
  <c r="K130" i="5"/>
  <c r="CC129" i="5"/>
  <c r="BT129" i="5"/>
  <c r="BK129" i="5"/>
  <c r="BB129" i="5"/>
  <c r="AO129" i="5"/>
  <c r="AF129" i="5"/>
  <c r="W129" i="5"/>
  <c r="M129" i="5"/>
  <c r="AH129" i="5" s="1"/>
  <c r="AQ129" i="5" s="1"/>
  <c r="BD129" i="5" s="1"/>
  <c r="BM129" i="5" s="1"/>
  <c r="BV129" i="5" s="1"/>
  <c r="K129" i="5"/>
  <c r="CC128" i="5"/>
  <c r="BT128" i="5"/>
  <c r="BK128" i="5"/>
  <c r="BB128" i="5"/>
  <c r="AO128" i="5"/>
  <c r="AF128" i="5"/>
  <c r="W128" i="5"/>
  <c r="M128" i="5"/>
  <c r="Y128" i="5" s="1"/>
  <c r="K128" i="5"/>
  <c r="CC127" i="5"/>
  <c r="BT127" i="5"/>
  <c r="BK127" i="5"/>
  <c r="BB127" i="5"/>
  <c r="AO127" i="5"/>
  <c r="AF127" i="5"/>
  <c r="W127" i="5"/>
  <c r="M127" i="5"/>
  <c r="Y127" i="5" s="1"/>
  <c r="K127" i="5"/>
  <c r="CC126" i="5"/>
  <c r="BT126" i="5"/>
  <c r="BK126" i="5"/>
  <c r="BB126" i="5"/>
  <c r="AO126" i="5"/>
  <c r="AF126" i="5"/>
  <c r="W126" i="5"/>
  <c r="M126" i="5"/>
  <c r="AH126" i="5" s="1"/>
  <c r="AQ126" i="5" s="1"/>
  <c r="BD126" i="5" s="1"/>
  <c r="BM126" i="5" s="1"/>
  <c r="BV126" i="5" s="1"/>
  <c r="K126" i="5"/>
  <c r="CC125" i="5"/>
  <c r="BT125" i="5"/>
  <c r="BK125" i="5"/>
  <c r="BB125" i="5"/>
  <c r="AO125" i="5"/>
  <c r="AF125" i="5"/>
  <c r="W125" i="5"/>
  <c r="M125" i="5"/>
  <c r="AH125" i="5" s="1"/>
  <c r="AQ125" i="5" s="1"/>
  <c r="BD125" i="5" s="1"/>
  <c r="BM125" i="5" s="1"/>
  <c r="BV125" i="5" s="1"/>
  <c r="K125" i="5"/>
  <c r="CC124" i="5"/>
  <c r="BT124" i="5"/>
  <c r="BK124" i="5"/>
  <c r="BB124" i="5"/>
  <c r="AO124" i="5"/>
  <c r="AF124" i="5"/>
  <c r="W124" i="5"/>
  <c r="M124" i="5"/>
  <c r="AH124" i="5" s="1"/>
  <c r="AQ124" i="5" s="1"/>
  <c r="BD124" i="5" s="1"/>
  <c r="BM124" i="5" s="1"/>
  <c r="BV124" i="5" s="1"/>
  <c r="K124" i="5"/>
  <c r="CC123" i="5"/>
  <c r="BT123" i="5"/>
  <c r="BK123" i="5"/>
  <c r="BB123" i="5"/>
  <c r="AO123" i="5"/>
  <c r="AF123" i="5"/>
  <c r="W123" i="5"/>
  <c r="M123" i="5"/>
  <c r="Y123" i="5" s="1"/>
  <c r="K123" i="5"/>
  <c r="CC122" i="5"/>
  <c r="BT122" i="5"/>
  <c r="BT152" i="5" s="1"/>
  <c r="BK122" i="5"/>
  <c r="BB122" i="5"/>
  <c r="AO122" i="5"/>
  <c r="AO152" i="5" s="1"/>
  <c r="AF122" i="5"/>
  <c r="W122" i="5"/>
  <c r="M122" i="5"/>
  <c r="AH122" i="5" s="1"/>
  <c r="AQ122" i="5" s="1"/>
  <c r="BD122" i="5" s="1"/>
  <c r="BM122" i="5" s="1"/>
  <c r="BV122" i="5" s="1"/>
  <c r="K122" i="5"/>
  <c r="CC121" i="5"/>
  <c r="CC152" i="5" s="1"/>
  <c r="BT121" i="5"/>
  <c r="BK121" i="5"/>
  <c r="BB121" i="5"/>
  <c r="AO121" i="5"/>
  <c r="AF121" i="5"/>
  <c r="W121" i="5"/>
  <c r="M121" i="5"/>
  <c r="AH121" i="5" s="1"/>
  <c r="AQ121" i="5" s="1"/>
  <c r="BD121" i="5" s="1"/>
  <c r="BM121" i="5" s="1"/>
  <c r="BV121" i="5" s="1"/>
  <c r="K121" i="5"/>
  <c r="CB114" i="5"/>
  <c r="CA114" i="5"/>
  <c r="BZ114" i="5"/>
  <c r="BX114" i="5"/>
  <c r="BW114" i="5"/>
  <c r="BS114" i="5"/>
  <c r="BR114" i="5"/>
  <c r="BQ114" i="5"/>
  <c r="BO114" i="5"/>
  <c r="BN114" i="5"/>
  <c r="BK114" i="5"/>
  <c r="BJ114" i="5"/>
  <c r="BI114" i="5"/>
  <c r="BH114" i="5"/>
  <c r="BF114" i="5"/>
  <c r="BE114" i="5"/>
  <c r="BA114" i="5"/>
  <c r="AZ114" i="5"/>
  <c r="AY114" i="5"/>
  <c r="AW114" i="5"/>
  <c r="AV114" i="5"/>
  <c r="AU114" i="5"/>
  <c r="AT114" i="5"/>
  <c r="AS114" i="5"/>
  <c r="AR114" i="5"/>
  <c r="AN114" i="5"/>
  <c r="AM114" i="5"/>
  <c r="AL114" i="5"/>
  <c r="AJ114" i="5"/>
  <c r="AI114" i="5"/>
  <c r="AE114" i="5"/>
  <c r="AD114" i="5"/>
  <c r="AC114" i="5"/>
  <c r="AA114" i="5"/>
  <c r="Z114" i="5"/>
  <c r="V114" i="5"/>
  <c r="U114" i="5"/>
  <c r="T114" i="5"/>
  <c r="R114" i="5"/>
  <c r="Q114" i="5"/>
  <c r="P114" i="5"/>
  <c r="O114" i="5"/>
  <c r="N114" i="5"/>
  <c r="J114" i="5"/>
  <c r="I114" i="5"/>
  <c r="H114" i="5"/>
  <c r="F114" i="5"/>
  <c r="E114" i="5"/>
  <c r="D114" i="5"/>
  <c r="C114" i="5"/>
  <c r="CC113" i="5"/>
  <c r="BT113" i="5"/>
  <c r="BK113" i="5"/>
  <c r="BB113" i="5"/>
  <c r="AO113" i="5"/>
  <c r="AF113" i="5"/>
  <c r="W113" i="5"/>
  <c r="K113" i="5"/>
  <c r="CC112" i="5"/>
  <c r="BT112" i="5"/>
  <c r="BK112" i="5"/>
  <c r="BB112" i="5"/>
  <c r="AO112" i="5"/>
  <c r="AF112" i="5"/>
  <c r="W112" i="5"/>
  <c r="K112" i="5"/>
  <c r="CC111" i="5"/>
  <c r="BT111" i="5"/>
  <c r="BK111" i="5"/>
  <c r="BB111" i="5"/>
  <c r="AO111" i="5"/>
  <c r="AF111" i="5"/>
  <c r="W111" i="5"/>
  <c r="K111" i="5"/>
  <c r="CC110" i="5"/>
  <c r="BT110" i="5"/>
  <c r="BK110" i="5"/>
  <c r="BB110" i="5"/>
  <c r="AO110" i="5"/>
  <c r="AF110" i="5"/>
  <c r="W110" i="5"/>
  <c r="K110" i="5"/>
  <c r="CC109" i="5"/>
  <c r="BT109" i="5"/>
  <c r="BK109" i="5"/>
  <c r="BB109" i="5"/>
  <c r="AO109" i="5"/>
  <c r="AF109" i="5"/>
  <c r="W109" i="5"/>
  <c r="K109" i="5"/>
  <c r="CC108" i="5"/>
  <c r="BT108" i="5"/>
  <c r="BK108" i="5"/>
  <c r="BB108" i="5"/>
  <c r="AO108" i="5"/>
  <c r="AF108" i="5"/>
  <c r="W108" i="5"/>
  <c r="K108" i="5"/>
  <c r="CC107" i="5"/>
  <c r="BT107" i="5"/>
  <c r="BK107" i="5"/>
  <c r="BB107" i="5"/>
  <c r="AO107" i="5"/>
  <c r="AF107" i="5"/>
  <c r="W107" i="5"/>
  <c r="K107" i="5"/>
  <c r="CC106" i="5"/>
  <c r="BT106" i="5"/>
  <c r="BK106" i="5"/>
  <c r="BB106" i="5"/>
  <c r="AO106" i="5"/>
  <c r="AF106" i="5"/>
  <c r="W106" i="5"/>
  <c r="K106" i="5"/>
  <c r="CC105" i="5"/>
  <c r="BT105" i="5"/>
  <c r="BK105" i="5"/>
  <c r="BB105" i="5"/>
  <c r="AO105" i="5"/>
  <c r="AF105" i="5"/>
  <c r="W105" i="5"/>
  <c r="K105" i="5"/>
  <c r="CC104" i="5"/>
  <c r="BT104" i="5"/>
  <c r="BK104" i="5"/>
  <c r="BB104" i="5"/>
  <c r="AO104" i="5"/>
  <c r="AF104" i="5"/>
  <c r="W104" i="5"/>
  <c r="K104" i="5"/>
  <c r="CC103" i="5"/>
  <c r="BT103" i="5"/>
  <c r="BK103" i="5"/>
  <c r="BB103" i="5"/>
  <c r="AO103" i="5"/>
  <c r="AF103" i="5"/>
  <c r="W103" i="5"/>
  <c r="K103" i="5"/>
  <c r="CC102" i="5"/>
  <c r="BT102" i="5"/>
  <c r="BK102" i="5"/>
  <c r="BB102" i="5"/>
  <c r="AO102" i="5"/>
  <c r="AF102" i="5"/>
  <c r="W102" i="5"/>
  <c r="K102" i="5"/>
  <c r="CC101" i="5"/>
  <c r="BT101" i="5"/>
  <c r="BK101" i="5"/>
  <c r="BB101" i="5"/>
  <c r="AO101" i="5"/>
  <c r="AF101" i="5"/>
  <c r="W101" i="5"/>
  <c r="K101" i="5"/>
  <c r="CC100" i="5"/>
  <c r="BT100" i="5"/>
  <c r="BK100" i="5"/>
  <c r="BB100" i="5"/>
  <c r="AO100" i="5"/>
  <c r="AF100" i="5"/>
  <c r="W100" i="5"/>
  <c r="K100" i="5"/>
  <c r="CC99" i="5"/>
  <c r="BT99" i="5"/>
  <c r="BK99" i="5"/>
  <c r="BB99" i="5"/>
  <c r="AO99" i="5"/>
  <c r="AF99" i="5"/>
  <c r="W99" i="5"/>
  <c r="K99" i="5"/>
  <c r="CC98" i="5"/>
  <c r="BT98" i="5"/>
  <c r="BK98" i="5"/>
  <c r="BB98" i="5"/>
  <c r="AO98" i="5"/>
  <c r="AF98" i="5"/>
  <c r="W98" i="5"/>
  <c r="K98" i="5"/>
  <c r="CC97" i="5"/>
  <c r="BT97" i="5"/>
  <c r="BK97" i="5"/>
  <c r="BB97" i="5"/>
  <c r="AO97" i="5"/>
  <c r="AF97" i="5"/>
  <c r="W97" i="5"/>
  <c r="K97" i="5"/>
  <c r="CC96" i="5"/>
  <c r="BT96" i="5"/>
  <c r="BK96" i="5"/>
  <c r="BB96" i="5"/>
  <c r="AO96" i="5"/>
  <c r="AF96" i="5"/>
  <c r="W96" i="5"/>
  <c r="K96" i="5"/>
  <c r="CC95" i="5"/>
  <c r="BT95" i="5"/>
  <c r="BK95" i="5"/>
  <c r="BB95" i="5"/>
  <c r="AO95" i="5"/>
  <c r="AF95" i="5"/>
  <c r="W95" i="5"/>
  <c r="K95" i="5"/>
  <c r="CC94" i="5"/>
  <c r="BT94" i="5"/>
  <c r="BK94" i="5"/>
  <c r="BB94" i="5"/>
  <c r="AO94" i="5"/>
  <c r="AF94" i="5"/>
  <c r="W94" i="5"/>
  <c r="K94" i="5"/>
  <c r="CC93" i="5"/>
  <c r="BT93" i="5"/>
  <c r="BK93" i="5"/>
  <c r="BB93" i="5"/>
  <c r="AO93" i="5"/>
  <c r="AF93" i="5"/>
  <c r="W93" i="5"/>
  <c r="K93" i="5"/>
  <c r="CC92" i="5"/>
  <c r="BT92" i="5"/>
  <c r="BK92" i="5"/>
  <c r="BB92" i="5"/>
  <c r="AO92" i="5"/>
  <c r="AF92" i="5"/>
  <c r="W92" i="5"/>
  <c r="K92" i="5"/>
  <c r="CC91" i="5"/>
  <c r="BT91" i="5"/>
  <c r="BK91" i="5"/>
  <c r="BB91" i="5"/>
  <c r="AO91" i="5"/>
  <c r="AF91" i="5"/>
  <c r="W91" i="5"/>
  <c r="K91" i="5"/>
  <c r="CC90" i="5"/>
  <c r="BT90" i="5"/>
  <c r="BK90" i="5"/>
  <c r="BB90" i="5"/>
  <c r="AO90" i="5"/>
  <c r="AF90" i="5"/>
  <c r="W90" i="5"/>
  <c r="K90" i="5"/>
  <c r="CC89" i="5"/>
  <c r="BT89" i="5"/>
  <c r="BK89" i="5"/>
  <c r="BB89" i="5"/>
  <c r="AO89" i="5"/>
  <c r="AF89" i="5"/>
  <c r="W89" i="5"/>
  <c r="K89" i="5"/>
  <c r="CC88" i="5"/>
  <c r="BT88" i="5"/>
  <c r="BK88" i="5"/>
  <c r="BB88" i="5"/>
  <c r="AO88" i="5"/>
  <c r="AF88" i="5"/>
  <c r="W88" i="5"/>
  <c r="K88" i="5"/>
  <c r="CC87" i="5"/>
  <c r="BT87" i="5"/>
  <c r="BK87" i="5"/>
  <c r="BB87" i="5"/>
  <c r="AO87" i="5"/>
  <c r="AF87" i="5"/>
  <c r="W87" i="5"/>
  <c r="K87" i="5"/>
  <c r="CC86" i="5"/>
  <c r="BT86" i="5"/>
  <c r="BK86" i="5"/>
  <c r="BB86" i="5"/>
  <c r="AO86" i="5"/>
  <c r="AF86" i="5"/>
  <c r="W86" i="5"/>
  <c r="K86" i="5"/>
  <c r="CC85" i="5"/>
  <c r="BT85" i="5"/>
  <c r="BK85" i="5"/>
  <c r="BB85" i="5"/>
  <c r="AO85" i="5"/>
  <c r="AF85" i="5"/>
  <c r="W85" i="5"/>
  <c r="K85" i="5"/>
  <c r="CC84" i="5"/>
  <c r="BT84" i="5"/>
  <c r="BK84" i="5"/>
  <c r="BB84" i="5"/>
  <c r="AO84" i="5"/>
  <c r="AF84" i="5"/>
  <c r="W84" i="5"/>
  <c r="K84" i="5"/>
  <c r="CC83" i="5"/>
  <c r="CC114" i="5" s="1"/>
  <c r="BT83" i="5"/>
  <c r="BK83" i="5"/>
  <c r="BB83" i="5"/>
  <c r="AO83" i="5"/>
  <c r="AF83" i="5"/>
  <c r="W83" i="5"/>
  <c r="K83" i="5"/>
  <c r="CB75" i="5"/>
  <c r="CA75" i="5"/>
  <c r="BZ75" i="5"/>
  <c r="BX75" i="5"/>
  <c r="BW75" i="5"/>
  <c r="BS75" i="5"/>
  <c r="BR75" i="5"/>
  <c r="BQ75" i="5"/>
  <c r="BO75" i="5"/>
  <c r="BN75" i="5"/>
  <c r="BJ75" i="5"/>
  <c r="BI75" i="5"/>
  <c r="BH75" i="5"/>
  <c r="BF75" i="5"/>
  <c r="BE75" i="5"/>
  <c r="BA75" i="5"/>
  <c r="AZ75" i="5"/>
  <c r="AY75" i="5"/>
  <c r="AW75" i="5"/>
  <c r="AV75" i="5"/>
  <c r="AU75" i="5"/>
  <c r="AT75" i="5"/>
  <c r="AS75" i="5"/>
  <c r="AR75" i="5"/>
  <c r="AN75" i="5"/>
  <c r="AM75" i="5"/>
  <c r="AL75" i="5"/>
  <c r="AJ75" i="5"/>
  <c r="AI75" i="5"/>
  <c r="AE75" i="5"/>
  <c r="AD75" i="5"/>
  <c r="AC75" i="5"/>
  <c r="AA75" i="5"/>
  <c r="Z75" i="5"/>
  <c r="V75" i="5"/>
  <c r="U75" i="5"/>
  <c r="T75" i="5"/>
  <c r="R75" i="5"/>
  <c r="Q75" i="5"/>
  <c r="P75" i="5"/>
  <c r="O75" i="5"/>
  <c r="N75" i="5"/>
  <c r="J75" i="5"/>
  <c r="I75" i="5"/>
  <c r="H75" i="5"/>
  <c r="F75" i="5"/>
  <c r="E75" i="5"/>
  <c r="D75" i="5"/>
  <c r="C75" i="5"/>
  <c r="CC74" i="5"/>
  <c r="BT74" i="5"/>
  <c r="BK74" i="5"/>
  <c r="BB74" i="5"/>
  <c r="AO74" i="5"/>
  <c r="AF74" i="5"/>
  <c r="W74" i="5"/>
  <c r="K74" i="5"/>
  <c r="CC73" i="5"/>
  <c r="BT73" i="5"/>
  <c r="BK73" i="5"/>
  <c r="BB73" i="5"/>
  <c r="AO73" i="5"/>
  <c r="AF73" i="5"/>
  <c r="W73" i="5"/>
  <c r="K73" i="5"/>
  <c r="CC72" i="5"/>
  <c r="BT72" i="5"/>
  <c r="BK72" i="5"/>
  <c r="BB72" i="5"/>
  <c r="AO72" i="5"/>
  <c r="AF72" i="5"/>
  <c r="W72" i="5"/>
  <c r="K72" i="5"/>
  <c r="CC71" i="5"/>
  <c r="BT71" i="5"/>
  <c r="BK71" i="5"/>
  <c r="BB71" i="5"/>
  <c r="AO71" i="5"/>
  <c r="AF71" i="5"/>
  <c r="W71" i="5"/>
  <c r="K71" i="5"/>
  <c r="CC70" i="5"/>
  <c r="BT70" i="5"/>
  <c r="BK70" i="5"/>
  <c r="BB70" i="5"/>
  <c r="AO70" i="5"/>
  <c r="AF70" i="5"/>
  <c r="W70" i="5"/>
  <c r="K70" i="5"/>
  <c r="CC69" i="5"/>
  <c r="BT69" i="5"/>
  <c r="BK69" i="5"/>
  <c r="BB69" i="5"/>
  <c r="AO69" i="5"/>
  <c r="AF69" i="5"/>
  <c r="W69" i="5"/>
  <c r="K69" i="5"/>
  <c r="CC68" i="5"/>
  <c r="BT68" i="5"/>
  <c r="BK68" i="5"/>
  <c r="BB68" i="5"/>
  <c r="AO68" i="5"/>
  <c r="AF68" i="5"/>
  <c r="W68" i="5"/>
  <c r="K68" i="5"/>
  <c r="CC67" i="5"/>
  <c r="BT67" i="5"/>
  <c r="BK67" i="5"/>
  <c r="BB67" i="5"/>
  <c r="AO67" i="5"/>
  <c r="AF67" i="5"/>
  <c r="W67" i="5"/>
  <c r="K67" i="5"/>
  <c r="CC66" i="5"/>
  <c r="BT66" i="5"/>
  <c r="BK66" i="5"/>
  <c r="BB66" i="5"/>
  <c r="AO66" i="5"/>
  <c r="AF66" i="5"/>
  <c r="W66" i="5"/>
  <c r="K66" i="5"/>
  <c r="CC65" i="5"/>
  <c r="BT65" i="5"/>
  <c r="BK65" i="5"/>
  <c r="BB65" i="5"/>
  <c r="AO65" i="5"/>
  <c r="AF65" i="5"/>
  <c r="W65" i="5"/>
  <c r="K65" i="5"/>
  <c r="CC64" i="5"/>
  <c r="BT64" i="5"/>
  <c r="BK64" i="5"/>
  <c r="BB64" i="5"/>
  <c r="AO64" i="5"/>
  <c r="AF64" i="5"/>
  <c r="W64" i="5"/>
  <c r="K64" i="5"/>
  <c r="CC63" i="5"/>
  <c r="BT63" i="5"/>
  <c r="BK63" i="5"/>
  <c r="BB63" i="5"/>
  <c r="AO63" i="5"/>
  <c r="AF63" i="5"/>
  <c r="W63" i="5"/>
  <c r="K63" i="5"/>
  <c r="CC62" i="5"/>
  <c r="BT62" i="5"/>
  <c r="BK62" i="5"/>
  <c r="BB62" i="5"/>
  <c r="AO62" i="5"/>
  <c r="AF62" i="5"/>
  <c r="W62" i="5"/>
  <c r="K62" i="5"/>
  <c r="CC61" i="5"/>
  <c r="BT61" i="5"/>
  <c r="BK61" i="5"/>
  <c r="BB61" i="5"/>
  <c r="AO61" i="5"/>
  <c r="AF61" i="5"/>
  <c r="W61" i="5"/>
  <c r="K61" i="5"/>
  <c r="CC60" i="5"/>
  <c r="BT60" i="5"/>
  <c r="BK60" i="5"/>
  <c r="BB60" i="5"/>
  <c r="AO60" i="5"/>
  <c r="AF60" i="5"/>
  <c r="W60" i="5"/>
  <c r="K60" i="5"/>
  <c r="CC59" i="5"/>
  <c r="BT59" i="5"/>
  <c r="BK59" i="5"/>
  <c r="BB59" i="5"/>
  <c r="AO59" i="5"/>
  <c r="AF59" i="5"/>
  <c r="W59" i="5"/>
  <c r="K59" i="5"/>
  <c r="CC58" i="5"/>
  <c r="BT58" i="5"/>
  <c r="BK58" i="5"/>
  <c r="BB58" i="5"/>
  <c r="AO58" i="5"/>
  <c r="AF58" i="5"/>
  <c r="W58" i="5"/>
  <c r="K58" i="5"/>
  <c r="CC57" i="5"/>
  <c r="BT57" i="5"/>
  <c r="BK57" i="5"/>
  <c r="BB57" i="5"/>
  <c r="AO57" i="5"/>
  <c r="AF57" i="5"/>
  <c r="W57" i="5"/>
  <c r="K57" i="5"/>
  <c r="CC56" i="5"/>
  <c r="BT56" i="5"/>
  <c r="BK56" i="5"/>
  <c r="BB56" i="5"/>
  <c r="AO56" i="5"/>
  <c r="AF56" i="5"/>
  <c r="W56" i="5"/>
  <c r="K56" i="5"/>
  <c r="CC55" i="5"/>
  <c r="BT55" i="5"/>
  <c r="BK55" i="5"/>
  <c r="BB55" i="5"/>
  <c r="AO55" i="5"/>
  <c r="AF55" i="5"/>
  <c r="W55" i="5"/>
  <c r="K55" i="5"/>
  <c r="CC54" i="5"/>
  <c r="BT54" i="5"/>
  <c r="BK54" i="5"/>
  <c r="BB54" i="5"/>
  <c r="AO54" i="5"/>
  <c r="AF54" i="5"/>
  <c r="W54" i="5"/>
  <c r="K54" i="5"/>
  <c r="CC53" i="5"/>
  <c r="BT53" i="5"/>
  <c r="BK53" i="5"/>
  <c r="BB53" i="5"/>
  <c r="AO53" i="5"/>
  <c r="AF53" i="5"/>
  <c r="W53" i="5"/>
  <c r="K53" i="5"/>
  <c r="CC52" i="5"/>
  <c r="BT52" i="5"/>
  <c r="BK52" i="5"/>
  <c r="BB52" i="5"/>
  <c r="AO52" i="5"/>
  <c r="AF52" i="5"/>
  <c r="W52" i="5"/>
  <c r="K52" i="5"/>
  <c r="CC51" i="5"/>
  <c r="BT51" i="5"/>
  <c r="BK51" i="5"/>
  <c r="BB51" i="5"/>
  <c r="AO51" i="5"/>
  <c r="AF51" i="5"/>
  <c r="W51" i="5"/>
  <c r="K51" i="5"/>
  <c r="CC50" i="5"/>
  <c r="BT50" i="5"/>
  <c r="BK50" i="5"/>
  <c r="BB50" i="5"/>
  <c r="AO50" i="5"/>
  <c r="AF50" i="5"/>
  <c r="W50" i="5"/>
  <c r="K50" i="5"/>
  <c r="CC49" i="5"/>
  <c r="BT49" i="5"/>
  <c r="BK49" i="5"/>
  <c r="BB49" i="5"/>
  <c r="AO49" i="5"/>
  <c r="AF49" i="5"/>
  <c r="W49" i="5"/>
  <c r="K49" i="5"/>
  <c r="CC48" i="5"/>
  <c r="BT48" i="5"/>
  <c r="BK48" i="5"/>
  <c r="BB48" i="5"/>
  <c r="AO48" i="5"/>
  <c r="AF48" i="5"/>
  <c r="W48" i="5"/>
  <c r="K48" i="5"/>
  <c r="CC47" i="5"/>
  <c r="BT47" i="5"/>
  <c r="BK47" i="5"/>
  <c r="BB47" i="5"/>
  <c r="AO47" i="5"/>
  <c r="AF47" i="5"/>
  <c r="W47" i="5"/>
  <c r="K47" i="5"/>
  <c r="CC46" i="5"/>
  <c r="BT46" i="5"/>
  <c r="BK46" i="5"/>
  <c r="BB46" i="5"/>
  <c r="AO46" i="5"/>
  <c r="AF46" i="5"/>
  <c r="W46" i="5"/>
  <c r="K46" i="5"/>
  <c r="CC45" i="5"/>
  <c r="BT45" i="5"/>
  <c r="BK45" i="5"/>
  <c r="BB45" i="5"/>
  <c r="BB75" i="5" s="1"/>
  <c r="AO45" i="5"/>
  <c r="AF45" i="5"/>
  <c r="W45" i="5"/>
  <c r="K45" i="5"/>
  <c r="CC44" i="5"/>
  <c r="CC75" i="5" s="1"/>
  <c r="BT44" i="5"/>
  <c r="BK44" i="5"/>
  <c r="BB44" i="5"/>
  <c r="AO44" i="5"/>
  <c r="AF44" i="5"/>
  <c r="W44" i="5"/>
  <c r="K44" i="5"/>
  <c r="BS37" i="5"/>
  <c r="BR37" i="5"/>
  <c r="BQ37" i="5"/>
  <c r="BO37" i="5"/>
  <c r="BN37" i="5"/>
  <c r="BJ37" i="5"/>
  <c r="BI37" i="5"/>
  <c r="BH37" i="5"/>
  <c r="BF37" i="5"/>
  <c r="BE37" i="5"/>
  <c r="BA37" i="5"/>
  <c r="AZ37" i="5"/>
  <c r="AY37" i="5"/>
  <c r="AW37" i="5"/>
  <c r="AV37" i="5"/>
  <c r="AU37" i="5"/>
  <c r="AT37" i="5"/>
  <c r="AS37" i="5"/>
  <c r="AR37" i="5"/>
  <c r="AN37" i="5"/>
  <c r="AM37" i="5"/>
  <c r="AL37" i="5"/>
  <c r="AJ37" i="5"/>
  <c r="AI37" i="5"/>
  <c r="AE37" i="5"/>
  <c r="AD37" i="5"/>
  <c r="AC37" i="5"/>
  <c r="AA37" i="5"/>
  <c r="Z37" i="5"/>
  <c r="V37" i="5"/>
  <c r="U37" i="5"/>
  <c r="T37" i="5"/>
  <c r="R37" i="5"/>
  <c r="Q37" i="5"/>
  <c r="P37" i="5"/>
  <c r="O37" i="5"/>
  <c r="N37" i="5"/>
  <c r="J37" i="5"/>
  <c r="I37" i="5"/>
  <c r="H37" i="5"/>
  <c r="F37" i="5"/>
  <c r="E37" i="5"/>
  <c r="D37" i="5"/>
  <c r="C37" i="5"/>
  <c r="BT36" i="5"/>
  <c r="BK36" i="5"/>
  <c r="BB36" i="5"/>
  <c r="AO36" i="5"/>
  <c r="AF36" i="5"/>
  <c r="W36" i="5"/>
  <c r="K36" i="5"/>
  <c r="BT35" i="5"/>
  <c r="BK35" i="5"/>
  <c r="BB35" i="5"/>
  <c r="AO35" i="5"/>
  <c r="AF35" i="5"/>
  <c r="W35" i="5"/>
  <c r="K35" i="5"/>
  <c r="BT34" i="5"/>
  <c r="BK34" i="5"/>
  <c r="BB34" i="5"/>
  <c r="AO34" i="5"/>
  <c r="AF34" i="5"/>
  <c r="W34" i="5"/>
  <c r="K34" i="5"/>
  <c r="BT33" i="5"/>
  <c r="BK33" i="5"/>
  <c r="BB33" i="5"/>
  <c r="AO33" i="5"/>
  <c r="AF33" i="5"/>
  <c r="W33" i="5"/>
  <c r="K33" i="5"/>
  <c r="BT32" i="5"/>
  <c r="BK32" i="5"/>
  <c r="BB32" i="5"/>
  <c r="AO32" i="5"/>
  <c r="AF32" i="5"/>
  <c r="W32" i="5"/>
  <c r="K32" i="5"/>
  <c r="BT31" i="5"/>
  <c r="BK31" i="5"/>
  <c r="BB31" i="5"/>
  <c r="AO31" i="5"/>
  <c r="AF31" i="5"/>
  <c r="W31" i="5"/>
  <c r="K31" i="5"/>
  <c r="BT30" i="5"/>
  <c r="BK30" i="5"/>
  <c r="BB30" i="5"/>
  <c r="AO30" i="5"/>
  <c r="AF30" i="5"/>
  <c r="W30" i="5"/>
  <c r="K30" i="5"/>
  <c r="BT29" i="5"/>
  <c r="BK29" i="5"/>
  <c r="BB29" i="5"/>
  <c r="AO29" i="5"/>
  <c r="AF29" i="5"/>
  <c r="W29" i="5"/>
  <c r="K29" i="5"/>
  <c r="BT28" i="5"/>
  <c r="BK28" i="5"/>
  <c r="BB28" i="5"/>
  <c r="AO28" i="5"/>
  <c r="AF28" i="5"/>
  <c r="W28" i="5"/>
  <c r="K28" i="5"/>
  <c r="BT27" i="5"/>
  <c r="BK27" i="5"/>
  <c r="BB27" i="5"/>
  <c r="AO27" i="5"/>
  <c r="AF27" i="5"/>
  <c r="W27" i="5"/>
  <c r="K27" i="5"/>
  <c r="BT26" i="5"/>
  <c r="BK26" i="5"/>
  <c r="BB26" i="5"/>
  <c r="AO26" i="5"/>
  <c r="AF26" i="5"/>
  <c r="W26" i="5"/>
  <c r="K26" i="5"/>
  <c r="BT25" i="5"/>
  <c r="BK25" i="5"/>
  <c r="BB25" i="5"/>
  <c r="AO25" i="5"/>
  <c r="AF25" i="5"/>
  <c r="W25" i="5"/>
  <c r="K25" i="5"/>
  <c r="BT24" i="5"/>
  <c r="BK24" i="5"/>
  <c r="BB24" i="5"/>
  <c r="AO24" i="5"/>
  <c r="AF24" i="5"/>
  <c r="W24" i="5"/>
  <c r="K24" i="5"/>
  <c r="BT23" i="5"/>
  <c r="BK23" i="5"/>
  <c r="BB23" i="5"/>
  <c r="AO23" i="5"/>
  <c r="AF23" i="5"/>
  <c r="W23" i="5"/>
  <c r="K23" i="5"/>
  <c r="BT22" i="5"/>
  <c r="BK22" i="5"/>
  <c r="BB22" i="5"/>
  <c r="AO22" i="5"/>
  <c r="AF22" i="5"/>
  <c r="W22" i="5"/>
  <c r="K22" i="5"/>
  <c r="BT21" i="5"/>
  <c r="BK21" i="5"/>
  <c r="BB21" i="5"/>
  <c r="AO21" i="5"/>
  <c r="AF21" i="5"/>
  <c r="W21" i="5"/>
  <c r="K21" i="5"/>
  <c r="BT20" i="5"/>
  <c r="BK20" i="5"/>
  <c r="BB20" i="5"/>
  <c r="AO20" i="5"/>
  <c r="AF20" i="5"/>
  <c r="W20" i="5"/>
  <c r="K20" i="5"/>
  <c r="BT19" i="5"/>
  <c r="BK19" i="5"/>
  <c r="BB19" i="5"/>
  <c r="AO19" i="5"/>
  <c r="AF19" i="5"/>
  <c r="W19" i="5"/>
  <c r="K19" i="5"/>
  <c r="BT18" i="5"/>
  <c r="BK18" i="5"/>
  <c r="BB18" i="5"/>
  <c r="AO18" i="5"/>
  <c r="AF18" i="5"/>
  <c r="W18" i="5"/>
  <c r="K18" i="5"/>
  <c r="BT17" i="5"/>
  <c r="BK17" i="5"/>
  <c r="BB17" i="5"/>
  <c r="AO17" i="5"/>
  <c r="AF17" i="5"/>
  <c r="W17" i="5"/>
  <c r="K17" i="5"/>
  <c r="BT16" i="5"/>
  <c r="BK16" i="5"/>
  <c r="BB16" i="5"/>
  <c r="AO16" i="5"/>
  <c r="AF16" i="5"/>
  <c r="W16" i="5"/>
  <c r="K16" i="5"/>
  <c r="BT15" i="5"/>
  <c r="BK15" i="5"/>
  <c r="BB15" i="5"/>
  <c r="AO15" i="5"/>
  <c r="AF15" i="5"/>
  <c r="W15" i="5"/>
  <c r="K15" i="5"/>
  <c r="BT14" i="5"/>
  <c r="BK14" i="5"/>
  <c r="BB14" i="5"/>
  <c r="AO14" i="5"/>
  <c r="AF14" i="5"/>
  <c r="W14" i="5"/>
  <c r="K14" i="5"/>
  <c r="BT13" i="5"/>
  <c r="BK13" i="5"/>
  <c r="BB13" i="5"/>
  <c r="AO13" i="5"/>
  <c r="AF13" i="5"/>
  <c r="W13" i="5"/>
  <c r="K13" i="5"/>
  <c r="BT12" i="5"/>
  <c r="BK12" i="5"/>
  <c r="BB12" i="5"/>
  <c r="AO12" i="5"/>
  <c r="AF12" i="5"/>
  <c r="W12" i="5"/>
  <c r="K12" i="5"/>
  <c r="BT11" i="5"/>
  <c r="BK11" i="5"/>
  <c r="BB11" i="5"/>
  <c r="AO11" i="5"/>
  <c r="AF11" i="5"/>
  <c r="W11" i="5"/>
  <c r="K11" i="5"/>
  <c r="BT10" i="5"/>
  <c r="BK10" i="5"/>
  <c r="BB10" i="5"/>
  <c r="AO10" i="5"/>
  <c r="AF10" i="5"/>
  <c r="W10" i="5"/>
  <c r="K10" i="5"/>
  <c r="BT9" i="5"/>
  <c r="BK9" i="5"/>
  <c r="BB9" i="5"/>
  <c r="AO9" i="5"/>
  <c r="AF9" i="5"/>
  <c r="W9" i="5"/>
  <c r="K9" i="5"/>
  <c r="BT8" i="5"/>
  <c r="BK8" i="5"/>
  <c r="BB8" i="5"/>
  <c r="AO8" i="5"/>
  <c r="AF8" i="5"/>
  <c r="W8" i="5"/>
  <c r="K8" i="5"/>
  <c r="BT7" i="5"/>
  <c r="BK7" i="5"/>
  <c r="BB7" i="5"/>
  <c r="AO7" i="5"/>
  <c r="AF7" i="5"/>
  <c r="W7" i="5"/>
  <c r="K7" i="5"/>
  <c r="BT6" i="5"/>
  <c r="BT37" i="5" s="1"/>
  <c r="BK6" i="5"/>
  <c r="BB6" i="5"/>
  <c r="AO6" i="5"/>
  <c r="AF6" i="5"/>
  <c r="W6" i="5"/>
  <c r="K6" i="5"/>
  <c r="BB190" i="5" l="1"/>
  <c r="W152" i="5"/>
  <c r="Y124" i="5"/>
  <c r="Y132" i="5"/>
  <c r="Y136" i="5"/>
  <c r="Y140" i="5"/>
  <c r="CC190" i="5"/>
  <c r="CC228" i="5"/>
  <c r="AH205" i="5"/>
  <c r="AQ205" i="5" s="1"/>
  <c r="BD205" i="5" s="1"/>
  <c r="BM205" i="5" s="1"/>
  <c r="BV205" i="5" s="1"/>
  <c r="Y144" i="5"/>
  <c r="BB152" i="5"/>
  <c r="AH128" i="5"/>
  <c r="AQ128" i="5" s="1"/>
  <c r="BD128" i="5" s="1"/>
  <c r="BM128" i="5" s="1"/>
  <c r="BV128" i="5" s="1"/>
  <c r="Y148" i="5"/>
  <c r="W190" i="5"/>
  <c r="Y188" i="5"/>
  <c r="Y184" i="5"/>
  <c r="AF228" i="5"/>
  <c r="AO114" i="5"/>
  <c r="AH143" i="5"/>
  <c r="AQ143" i="5" s="1"/>
  <c r="BD143" i="5" s="1"/>
  <c r="BM143" i="5" s="1"/>
  <c r="BV143" i="5" s="1"/>
  <c r="Y151" i="5"/>
  <c r="Y187" i="5"/>
  <c r="Y197" i="5"/>
  <c r="AH206" i="5"/>
  <c r="AQ206" i="5" s="1"/>
  <c r="BD206" i="5" s="1"/>
  <c r="BM206" i="5" s="1"/>
  <c r="BV206" i="5" s="1"/>
  <c r="AH208" i="5"/>
  <c r="AQ208" i="5" s="1"/>
  <c r="BD208" i="5" s="1"/>
  <c r="BM208" i="5" s="1"/>
  <c r="BV208" i="5" s="1"/>
  <c r="AH210" i="5"/>
  <c r="AQ210" i="5" s="1"/>
  <c r="BD210" i="5" s="1"/>
  <c r="BM210" i="5" s="1"/>
  <c r="BV210" i="5" s="1"/>
  <c r="AH212" i="5"/>
  <c r="AQ212" i="5" s="1"/>
  <c r="BD212" i="5" s="1"/>
  <c r="BM212" i="5" s="1"/>
  <c r="BV212" i="5" s="1"/>
  <c r="AH214" i="5"/>
  <c r="AQ214" i="5" s="1"/>
  <c r="BD214" i="5" s="1"/>
  <c r="BM214" i="5" s="1"/>
  <c r="BV214" i="5" s="1"/>
  <c r="AH216" i="5"/>
  <c r="AQ216" i="5" s="1"/>
  <c r="BD216" i="5" s="1"/>
  <c r="BM216" i="5" s="1"/>
  <c r="BV216" i="5" s="1"/>
  <c r="AH218" i="5"/>
  <c r="AQ218" i="5" s="1"/>
  <c r="BD218" i="5" s="1"/>
  <c r="BM218" i="5" s="1"/>
  <c r="BV218" i="5" s="1"/>
  <c r="AH220" i="5"/>
  <c r="AQ220" i="5" s="1"/>
  <c r="BD220" i="5" s="1"/>
  <c r="BM220" i="5" s="1"/>
  <c r="BV220" i="5" s="1"/>
  <c r="AH222" i="5"/>
  <c r="AQ222" i="5" s="1"/>
  <c r="BD222" i="5" s="1"/>
  <c r="BM222" i="5" s="1"/>
  <c r="BV222" i="5" s="1"/>
  <c r="AH224" i="5"/>
  <c r="AQ224" i="5" s="1"/>
  <c r="BD224" i="5" s="1"/>
  <c r="BM224" i="5" s="1"/>
  <c r="BV224" i="5" s="1"/>
  <c r="AH226" i="5"/>
  <c r="AQ226" i="5" s="1"/>
  <c r="BD226" i="5" s="1"/>
  <c r="BM226" i="5" s="1"/>
  <c r="BV226" i="5" s="1"/>
  <c r="AO190" i="5"/>
  <c r="BT228" i="5"/>
  <c r="K114" i="5"/>
  <c r="Y131" i="5"/>
  <c r="AF152" i="5"/>
  <c r="AH123" i="5"/>
  <c r="AQ123" i="5" s="1"/>
  <c r="BD123" i="5" s="1"/>
  <c r="BM123" i="5" s="1"/>
  <c r="BV123" i="5" s="1"/>
  <c r="AH127" i="5"/>
  <c r="AQ127" i="5" s="1"/>
  <c r="BD127" i="5" s="1"/>
  <c r="BM127" i="5" s="1"/>
  <c r="BV127" i="5" s="1"/>
  <c r="AH135" i="5"/>
  <c r="AQ135" i="5" s="1"/>
  <c r="BD135" i="5" s="1"/>
  <c r="BM135" i="5" s="1"/>
  <c r="BV135" i="5" s="1"/>
  <c r="AH139" i="5"/>
  <c r="AQ139" i="5" s="1"/>
  <c r="BD139" i="5" s="1"/>
  <c r="BM139" i="5" s="1"/>
  <c r="BV139" i="5" s="1"/>
  <c r="Y147" i="5"/>
  <c r="AO37" i="5"/>
  <c r="AF75" i="5"/>
  <c r="BT75" i="5"/>
  <c r="BB114" i="5"/>
  <c r="Y159" i="5"/>
  <c r="Y163" i="5"/>
  <c r="Y167" i="5"/>
  <c r="Y171" i="5"/>
  <c r="Y175" i="5"/>
  <c r="Y179" i="5"/>
  <c r="Y183" i="5"/>
  <c r="W114" i="5"/>
  <c r="AO75" i="5"/>
  <c r="BK152" i="5"/>
  <c r="AF190" i="5"/>
  <c r="BK190" i="5"/>
  <c r="BT190" i="5"/>
  <c r="K152" i="5"/>
  <c r="K228" i="5"/>
  <c r="K190" i="5"/>
  <c r="W37" i="5"/>
  <c r="AF114" i="5"/>
  <c r="W228" i="5"/>
  <c r="AF37" i="5"/>
  <c r="W75" i="5"/>
  <c r="BB37" i="5"/>
  <c r="BT114" i="5"/>
  <c r="AO228" i="5"/>
  <c r="K75" i="5"/>
  <c r="K37" i="5"/>
  <c r="BK75" i="5"/>
  <c r="BK37" i="5"/>
  <c r="Y199" i="5"/>
  <c r="Y203" i="5"/>
  <c r="Y207" i="5"/>
  <c r="Y211" i="5"/>
  <c r="Y215" i="5"/>
  <c r="Y219" i="5"/>
  <c r="Y223" i="5"/>
  <c r="Y227" i="5"/>
  <c r="Y121" i="5"/>
  <c r="Y125" i="5"/>
  <c r="Y129" i="5"/>
  <c r="Y133" i="5"/>
  <c r="Y137" i="5"/>
  <c r="Y141" i="5"/>
  <c r="Y145" i="5"/>
  <c r="Y149" i="5"/>
  <c r="Y161" i="5"/>
  <c r="Y165" i="5"/>
  <c r="Y169" i="5"/>
  <c r="Y173" i="5"/>
  <c r="Y177" i="5"/>
  <c r="Y181" i="5"/>
  <c r="Y185" i="5"/>
  <c r="Y122" i="5"/>
  <c r="Y126" i="5"/>
  <c r="Y130" i="5"/>
  <c r="Y134" i="5"/>
  <c r="Y138" i="5"/>
  <c r="Y142" i="5"/>
  <c r="Y146" i="5"/>
  <c r="Y150" i="5"/>
  <c r="Y162" i="5"/>
  <c r="Y166" i="5"/>
  <c r="Y170" i="5"/>
  <c r="Y174" i="5"/>
  <c r="Y178" i="5"/>
  <c r="Y182" i="5"/>
  <c r="Y186" i="5"/>
  <c r="Y209" i="5"/>
  <c r="Y213" i="5"/>
  <c r="Y217" i="5"/>
  <c r="Y221" i="5"/>
  <c r="Y225" i="5"/>
  <c r="CV74" i="4"/>
  <c r="CU74" i="4"/>
  <c r="CT74" i="4"/>
  <c r="CW73" i="4"/>
  <c r="CW72" i="4"/>
  <c r="CW71" i="4"/>
  <c r="CW70" i="4"/>
  <c r="CW69" i="4"/>
  <c r="CW68" i="4"/>
  <c r="CW67" i="4"/>
  <c r="CW66" i="4"/>
  <c r="CW65" i="4"/>
  <c r="CW64" i="4"/>
  <c r="CW63" i="4"/>
  <c r="CW62" i="4"/>
  <c r="CW61" i="4"/>
  <c r="CW60" i="4"/>
  <c r="CW59" i="4"/>
  <c r="CW58" i="4"/>
  <c r="CW57" i="4"/>
  <c r="CW56" i="4"/>
  <c r="CW55" i="4"/>
  <c r="CW54" i="4"/>
  <c r="CW53" i="4"/>
  <c r="CW52" i="4"/>
  <c r="CW51" i="4"/>
  <c r="CW50" i="4"/>
  <c r="CW49" i="4"/>
  <c r="CW48" i="4"/>
  <c r="CW47" i="4"/>
  <c r="CW46" i="4"/>
  <c r="CW45" i="4"/>
  <c r="CW44" i="4"/>
  <c r="CW43" i="4"/>
  <c r="CV36" i="4"/>
  <c r="CU36" i="4"/>
  <c r="CT36" i="4"/>
  <c r="CW35" i="4"/>
  <c r="CW34" i="4"/>
  <c r="CW33" i="4"/>
  <c r="CW32" i="4"/>
  <c r="CW31" i="4"/>
  <c r="CW30" i="4"/>
  <c r="CW29" i="4"/>
  <c r="CW28" i="4"/>
  <c r="CW27" i="4"/>
  <c r="CW26" i="4"/>
  <c r="CW25" i="4"/>
  <c r="CW24" i="4"/>
  <c r="CW23" i="4"/>
  <c r="CW22" i="4"/>
  <c r="CW21" i="4"/>
  <c r="CW20" i="4"/>
  <c r="CW19" i="4"/>
  <c r="CW18" i="4"/>
  <c r="CW17" i="4"/>
  <c r="CW16" i="4"/>
  <c r="CW15" i="4"/>
  <c r="CW14" i="4"/>
  <c r="CW13" i="4"/>
  <c r="CW12" i="4"/>
  <c r="CW11" i="4"/>
  <c r="CW10" i="4"/>
  <c r="CW9" i="4"/>
  <c r="CW8" i="4"/>
  <c r="CW7" i="4"/>
  <c r="CW6" i="4"/>
  <c r="CW5" i="4"/>
  <c r="CK74" i="4"/>
  <c r="CJ74" i="4"/>
  <c r="CI74" i="4"/>
  <c r="CL73" i="4"/>
  <c r="CL72" i="4"/>
  <c r="CL71" i="4"/>
  <c r="CL70" i="4"/>
  <c r="CL69" i="4"/>
  <c r="CL68" i="4"/>
  <c r="CL67" i="4"/>
  <c r="CL66" i="4"/>
  <c r="CL65" i="4"/>
  <c r="CL64" i="4"/>
  <c r="CL63" i="4"/>
  <c r="CL62" i="4"/>
  <c r="CL61" i="4"/>
  <c r="CL60" i="4"/>
  <c r="CL59" i="4"/>
  <c r="CL58" i="4"/>
  <c r="CL57" i="4"/>
  <c r="CL56" i="4"/>
  <c r="CL55" i="4"/>
  <c r="CL54" i="4"/>
  <c r="CL53" i="4"/>
  <c r="CL52" i="4"/>
  <c r="CL51" i="4"/>
  <c r="CL50" i="4"/>
  <c r="CL49" i="4"/>
  <c r="CL48" i="4"/>
  <c r="CL47" i="4"/>
  <c r="CL46" i="4"/>
  <c r="CL45" i="4"/>
  <c r="CL44" i="4"/>
  <c r="CL43" i="4"/>
  <c r="CK36" i="4"/>
  <c r="CJ36" i="4"/>
  <c r="CI36" i="4"/>
  <c r="CL35" i="4"/>
  <c r="CL34" i="4"/>
  <c r="CL33" i="4"/>
  <c r="CL32" i="4"/>
  <c r="CL31" i="4"/>
  <c r="CL30" i="4"/>
  <c r="CL29" i="4"/>
  <c r="CL28" i="4"/>
  <c r="CL27" i="4"/>
  <c r="CL26" i="4"/>
  <c r="CL25" i="4"/>
  <c r="CL24" i="4"/>
  <c r="CL23" i="4"/>
  <c r="CL22" i="4"/>
  <c r="CL21" i="4"/>
  <c r="CL20" i="4"/>
  <c r="CL19" i="4"/>
  <c r="CL18" i="4"/>
  <c r="CL17" i="4"/>
  <c r="CL16" i="4"/>
  <c r="CL15" i="4"/>
  <c r="CL14" i="4"/>
  <c r="CL13" i="4"/>
  <c r="CL12" i="4"/>
  <c r="CL11" i="4"/>
  <c r="CL10" i="4"/>
  <c r="CL9" i="4"/>
  <c r="CL8" i="4"/>
  <c r="CL7" i="4"/>
  <c r="CL6" i="4"/>
  <c r="CL5" i="4"/>
  <c r="CA74" i="4"/>
  <c r="BZ74" i="4"/>
  <c r="BY74" i="4"/>
  <c r="CB73" i="4"/>
  <c r="CB72" i="4"/>
  <c r="CB71" i="4"/>
  <c r="CB70" i="4"/>
  <c r="CB69" i="4"/>
  <c r="CB68" i="4"/>
  <c r="CB67" i="4"/>
  <c r="CB66" i="4"/>
  <c r="CB65" i="4"/>
  <c r="CB64" i="4"/>
  <c r="CB63" i="4"/>
  <c r="CB62" i="4"/>
  <c r="CB61" i="4"/>
  <c r="CB60" i="4"/>
  <c r="CB59" i="4"/>
  <c r="CB58" i="4"/>
  <c r="CB57" i="4"/>
  <c r="CB56" i="4"/>
  <c r="CB55" i="4"/>
  <c r="CB54" i="4"/>
  <c r="CB53" i="4"/>
  <c r="CB52" i="4"/>
  <c r="CB51" i="4"/>
  <c r="CB50" i="4"/>
  <c r="CB49" i="4"/>
  <c r="CB48" i="4"/>
  <c r="CB47" i="4"/>
  <c r="CB46" i="4"/>
  <c r="CB45" i="4"/>
  <c r="CB44" i="4"/>
  <c r="CB43" i="4"/>
  <c r="CA36" i="4"/>
  <c r="BZ36" i="4"/>
  <c r="BY36" i="4"/>
  <c r="CB35" i="4"/>
  <c r="CB34" i="4"/>
  <c r="CB33" i="4"/>
  <c r="CB32" i="4"/>
  <c r="CB31" i="4"/>
  <c r="CB30" i="4"/>
  <c r="CB29" i="4"/>
  <c r="CB28" i="4"/>
  <c r="CB27" i="4"/>
  <c r="CB26" i="4"/>
  <c r="CB25" i="4"/>
  <c r="CB24" i="4"/>
  <c r="CB23" i="4"/>
  <c r="CB22" i="4"/>
  <c r="CB21" i="4"/>
  <c r="CB20" i="4"/>
  <c r="CB19" i="4"/>
  <c r="CB18" i="4"/>
  <c r="CB17" i="4"/>
  <c r="CB16" i="4"/>
  <c r="CB15" i="4"/>
  <c r="CB14" i="4"/>
  <c r="CB13" i="4"/>
  <c r="CB12" i="4"/>
  <c r="CB11" i="4"/>
  <c r="CB10" i="4"/>
  <c r="CB9" i="4"/>
  <c r="CB8" i="4"/>
  <c r="CB7" i="4"/>
  <c r="CB6" i="4"/>
  <c r="CB5" i="4"/>
  <c r="BQ74" i="4"/>
  <c r="BP74" i="4"/>
  <c r="BO74" i="4"/>
  <c r="BR73" i="4"/>
  <c r="BR72" i="4"/>
  <c r="BR71" i="4"/>
  <c r="BR70" i="4"/>
  <c r="BR69" i="4"/>
  <c r="BR68" i="4"/>
  <c r="BR67" i="4"/>
  <c r="BR66" i="4"/>
  <c r="BR65" i="4"/>
  <c r="BR64" i="4"/>
  <c r="BR63" i="4"/>
  <c r="BR62" i="4"/>
  <c r="BR61" i="4"/>
  <c r="BR60" i="4"/>
  <c r="BR59" i="4"/>
  <c r="BR58" i="4"/>
  <c r="BR57" i="4"/>
  <c r="BR56" i="4"/>
  <c r="BR55" i="4"/>
  <c r="BR54" i="4"/>
  <c r="BR53" i="4"/>
  <c r="BR52" i="4"/>
  <c r="BR51" i="4"/>
  <c r="BR50" i="4"/>
  <c r="BR49" i="4"/>
  <c r="BR48" i="4"/>
  <c r="BR47" i="4"/>
  <c r="BR46" i="4"/>
  <c r="BR45" i="4"/>
  <c r="BR44" i="4"/>
  <c r="BR43" i="4"/>
  <c r="BQ36" i="4"/>
  <c r="BP36" i="4"/>
  <c r="BO36" i="4"/>
  <c r="BR35" i="4"/>
  <c r="BR34" i="4"/>
  <c r="BR33" i="4"/>
  <c r="BR32" i="4"/>
  <c r="BR31" i="4"/>
  <c r="BR30" i="4"/>
  <c r="BR29" i="4"/>
  <c r="BR28" i="4"/>
  <c r="BR27" i="4"/>
  <c r="BR26" i="4"/>
  <c r="BR25" i="4"/>
  <c r="BR24" i="4"/>
  <c r="BR23" i="4"/>
  <c r="BR22" i="4"/>
  <c r="BR21" i="4"/>
  <c r="BR20" i="4"/>
  <c r="BR19" i="4"/>
  <c r="BR18" i="4"/>
  <c r="BR17" i="4"/>
  <c r="BR16" i="4"/>
  <c r="BR15" i="4"/>
  <c r="BR14" i="4"/>
  <c r="BR13" i="4"/>
  <c r="BR12" i="4"/>
  <c r="BR11" i="4"/>
  <c r="BR10" i="4"/>
  <c r="BR9" i="4"/>
  <c r="BR8" i="4"/>
  <c r="BR7" i="4"/>
  <c r="BR6" i="4"/>
  <c r="BR5" i="4"/>
  <c r="BG74" i="4"/>
  <c r="BF74" i="4"/>
  <c r="BE74" i="4"/>
  <c r="BH73" i="4"/>
  <c r="BH72" i="4"/>
  <c r="BH71" i="4"/>
  <c r="BH70" i="4"/>
  <c r="BH69" i="4"/>
  <c r="BH68" i="4"/>
  <c r="BH67" i="4"/>
  <c r="BH66" i="4"/>
  <c r="BH65" i="4"/>
  <c r="BH64" i="4"/>
  <c r="BH63" i="4"/>
  <c r="BH62" i="4"/>
  <c r="BH61" i="4"/>
  <c r="BH60" i="4"/>
  <c r="BH59" i="4"/>
  <c r="BH58" i="4"/>
  <c r="BH57" i="4"/>
  <c r="BH56" i="4"/>
  <c r="BH55" i="4"/>
  <c r="BH54" i="4"/>
  <c r="BH53" i="4"/>
  <c r="BH52" i="4"/>
  <c r="BH51" i="4"/>
  <c r="BH50" i="4"/>
  <c r="BH49" i="4"/>
  <c r="BH48" i="4"/>
  <c r="BH47" i="4"/>
  <c r="BH46" i="4"/>
  <c r="BH45" i="4"/>
  <c r="BH44" i="4"/>
  <c r="BH43" i="4"/>
  <c r="BG36" i="4"/>
  <c r="BF36" i="4"/>
  <c r="BE36" i="4"/>
  <c r="BH35" i="4"/>
  <c r="BH34" i="4"/>
  <c r="BH33" i="4"/>
  <c r="BH32" i="4"/>
  <c r="BH31" i="4"/>
  <c r="BH30" i="4"/>
  <c r="BH29" i="4"/>
  <c r="BH28" i="4"/>
  <c r="BH27" i="4"/>
  <c r="BH26" i="4"/>
  <c r="BH25" i="4"/>
  <c r="BH24" i="4"/>
  <c r="BH23" i="4"/>
  <c r="BH22" i="4"/>
  <c r="BH21" i="4"/>
  <c r="BH20" i="4"/>
  <c r="BH19" i="4"/>
  <c r="BH18" i="4"/>
  <c r="BH17" i="4"/>
  <c r="BH16" i="4"/>
  <c r="BH15" i="4"/>
  <c r="BH14" i="4"/>
  <c r="BH13" i="4"/>
  <c r="BH12" i="4"/>
  <c r="BH11" i="4"/>
  <c r="BH10" i="4"/>
  <c r="BH9" i="4"/>
  <c r="BH8" i="4"/>
  <c r="BH7" i="4"/>
  <c r="BH6" i="4"/>
  <c r="BH5" i="4"/>
  <c r="AW74" i="4"/>
  <c r="AV74" i="4"/>
  <c r="AU74" i="4"/>
  <c r="AX73" i="4"/>
  <c r="AX72" i="4"/>
  <c r="AX71" i="4"/>
  <c r="AX70" i="4"/>
  <c r="AX69" i="4"/>
  <c r="AX68" i="4"/>
  <c r="AX67" i="4"/>
  <c r="AX66" i="4"/>
  <c r="AX65" i="4"/>
  <c r="AX64" i="4"/>
  <c r="AX63" i="4"/>
  <c r="AX62" i="4"/>
  <c r="AX61" i="4"/>
  <c r="AX60" i="4"/>
  <c r="AX59" i="4"/>
  <c r="AX58" i="4"/>
  <c r="AX57" i="4"/>
  <c r="AX56" i="4"/>
  <c r="AX55" i="4"/>
  <c r="AX54" i="4"/>
  <c r="AX53" i="4"/>
  <c r="AX52" i="4"/>
  <c r="AX51" i="4"/>
  <c r="AX50" i="4"/>
  <c r="AX49" i="4"/>
  <c r="AX48" i="4"/>
  <c r="AX47" i="4"/>
  <c r="AX46" i="4"/>
  <c r="AX45" i="4"/>
  <c r="AX44" i="4"/>
  <c r="AX43" i="4"/>
  <c r="AW36" i="4"/>
  <c r="AV36" i="4"/>
  <c r="AU36" i="4"/>
  <c r="AX35" i="4"/>
  <c r="AX34" i="4"/>
  <c r="AX33" i="4"/>
  <c r="AX32" i="4"/>
  <c r="AX31" i="4"/>
  <c r="AX30" i="4"/>
  <c r="AX29" i="4"/>
  <c r="AX28" i="4"/>
  <c r="AX27" i="4"/>
  <c r="AX26" i="4"/>
  <c r="AX25" i="4"/>
  <c r="AX24" i="4"/>
  <c r="AX23" i="4"/>
  <c r="AX22" i="4"/>
  <c r="AX21" i="4"/>
  <c r="AX20" i="4"/>
  <c r="AX19" i="4"/>
  <c r="AX18" i="4"/>
  <c r="AX17" i="4"/>
  <c r="AX16" i="4"/>
  <c r="AX15" i="4"/>
  <c r="AX14" i="4"/>
  <c r="AX13" i="4"/>
  <c r="AX12" i="4"/>
  <c r="AX11" i="4"/>
  <c r="AX10" i="4"/>
  <c r="AX9" i="4"/>
  <c r="AX8" i="4"/>
  <c r="AX7" i="4"/>
  <c r="AX6" i="4"/>
  <c r="AX5" i="4"/>
  <c r="AM74" i="4"/>
  <c r="AL74" i="4"/>
  <c r="AK74" i="4"/>
  <c r="AN73" i="4"/>
  <c r="AN72" i="4"/>
  <c r="AN71" i="4"/>
  <c r="AN70" i="4"/>
  <c r="AN69" i="4"/>
  <c r="AN68" i="4"/>
  <c r="AN67" i="4"/>
  <c r="AN66" i="4"/>
  <c r="AN65" i="4"/>
  <c r="AN64" i="4"/>
  <c r="AN63" i="4"/>
  <c r="AN62" i="4"/>
  <c r="AN61" i="4"/>
  <c r="AN60" i="4"/>
  <c r="AN59" i="4"/>
  <c r="AN58" i="4"/>
  <c r="AN57" i="4"/>
  <c r="AN56" i="4"/>
  <c r="AN55" i="4"/>
  <c r="AN54" i="4"/>
  <c r="AN53" i="4"/>
  <c r="AN52" i="4"/>
  <c r="AN51" i="4"/>
  <c r="AN50" i="4"/>
  <c r="AN49" i="4"/>
  <c r="AN48" i="4"/>
  <c r="AN47" i="4"/>
  <c r="AN46" i="4"/>
  <c r="AN45" i="4"/>
  <c r="AN44" i="4"/>
  <c r="AN43" i="4"/>
  <c r="AM36" i="4"/>
  <c r="AL36" i="4"/>
  <c r="AK36" i="4"/>
  <c r="AN35" i="4"/>
  <c r="AN34" i="4"/>
  <c r="AN33" i="4"/>
  <c r="AN32" i="4"/>
  <c r="AN31" i="4"/>
  <c r="AN30" i="4"/>
  <c r="AN29" i="4"/>
  <c r="AN28" i="4"/>
  <c r="AN27" i="4"/>
  <c r="AN26" i="4"/>
  <c r="AN25" i="4"/>
  <c r="AN24" i="4"/>
  <c r="AN23" i="4"/>
  <c r="AN22" i="4"/>
  <c r="AN21" i="4"/>
  <c r="AN20" i="4"/>
  <c r="AN19" i="4"/>
  <c r="AN18" i="4"/>
  <c r="AN17" i="4"/>
  <c r="AN16" i="4"/>
  <c r="AN15" i="4"/>
  <c r="AN14" i="4"/>
  <c r="AN13" i="4"/>
  <c r="AN12" i="4"/>
  <c r="AN11" i="4"/>
  <c r="AN10" i="4"/>
  <c r="AN9" i="4"/>
  <c r="AN8" i="4"/>
  <c r="AN7" i="4"/>
  <c r="AN6" i="4"/>
  <c r="AN5" i="4"/>
  <c r="AC74" i="4"/>
  <c r="AB74" i="4"/>
  <c r="AA74" i="4"/>
  <c r="AD73" i="4"/>
  <c r="AD72" i="4"/>
  <c r="AD71" i="4"/>
  <c r="AD70" i="4"/>
  <c r="AD69" i="4"/>
  <c r="AD68" i="4"/>
  <c r="AD67" i="4"/>
  <c r="AD66" i="4"/>
  <c r="AD65" i="4"/>
  <c r="AD64" i="4"/>
  <c r="AD63" i="4"/>
  <c r="AD62" i="4"/>
  <c r="AD61" i="4"/>
  <c r="AD60" i="4"/>
  <c r="AD59" i="4"/>
  <c r="AD58" i="4"/>
  <c r="AD57" i="4"/>
  <c r="AD56" i="4"/>
  <c r="AD55" i="4"/>
  <c r="AD54" i="4"/>
  <c r="AD53" i="4"/>
  <c r="AD52" i="4"/>
  <c r="AD51" i="4"/>
  <c r="AD50" i="4"/>
  <c r="AD49" i="4"/>
  <c r="AD48" i="4"/>
  <c r="AD47" i="4"/>
  <c r="AD46" i="4"/>
  <c r="AD45" i="4"/>
  <c r="AD44" i="4"/>
  <c r="AD43" i="4"/>
  <c r="AC36" i="4"/>
  <c r="AB36" i="4"/>
  <c r="AA36" i="4"/>
  <c r="AD35" i="4"/>
  <c r="AD34" i="4"/>
  <c r="AD33" i="4"/>
  <c r="AD32" i="4"/>
  <c r="AD31" i="4"/>
  <c r="AD30" i="4"/>
  <c r="AD29" i="4"/>
  <c r="AD28" i="4"/>
  <c r="AD27" i="4"/>
  <c r="AD26" i="4"/>
  <c r="AD25" i="4"/>
  <c r="AD24" i="4"/>
  <c r="AD23" i="4"/>
  <c r="AD22" i="4"/>
  <c r="AD21" i="4"/>
  <c r="AD20" i="4"/>
  <c r="AD19" i="4"/>
  <c r="AD18" i="4"/>
  <c r="AD17" i="4"/>
  <c r="AD16" i="4"/>
  <c r="AD15" i="4"/>
  <c r="AD14" i="4"/>
  <c r="AD13" i="4"/>
  <c r="AD12" i="4"/>
  <c r="AD11" i="4"/>
  <c r="AD10" i="4"/>
  <c r="AD9" i="4"/>
  <c r="AD8" i="4"/>
  <c r="AD7" i="4"/>
  <c r="AD6" i="4"/>
  <c r="AD5" i="4"/>
  <c r="S74" i="4"/>
  <c r="R74" i="4"/>
  <c r="Q74" i="4"/>
  <c r="T73" i="4"/>
  <c r="T72" i="4"/>
  <c r="T71" i="4"/>
  <c r="T70" i="4"/>
  <c r="T69" i="4"/>
  <c r="T68" i="4"/>
  <c r="T67" i="4"/>
  <c r="T66" i="4"/>
  <c r="T65" i="4"/>
  <c r="T64" i="4"/>
  <c r="T63" i="4"/>
  <c r="T62" i="4"/>
  <c r="T61" i="4"/>
  <c r="T60" i="4"/>
  <c r="T59" i="4"/>
  <c r="T58" i="4"/>
  <c r="T57" i="4"/>
  <c r="T56" i="4"/>
  <c r="T55" i="4"/>
  <c r="T54" i="4"/>
  <c r="T53" i="4"/>
  <c r="T52" i="4"/>
  <c r="T51" i="4"/>
  <c r="T50" i="4"/>
  <c r="T49" i="4"/>
  <c r="T48" i="4"/>
  <c r="T47" i="4"/>
  <c r="T46" i="4"/>
  <c r="T45" i="4"/>
  <c r="T44" i="4"/>
  <c r="T43" i="4"/>
  <c r="S36" i="4"/>
  <c r="R36" i="4"/>
  <c r="Q36" i="4"/>
  <c r="T35" i="4"/>
  <c r="T34" i="4"/>
  <c r="T33" i="4"/>
  <c r="T32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7" i="4"/>
  <c r="T6" i="4"/>
  <c r="T5" i="4"/>
  <c r="J43" i="4"/>
  <c r="I74" i="4"/>
  <c r="H74" i="4"/>
  <c r="G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I36" i="4"/>
  <c r="H36" i="4"/>
  <c r="G36" i="4"/>
  <c r="CW36" i="4" l="1"/>
  <c r="CW74" i="4"/>
  <c r="CL36" i="4"/>
  <c r="CL74" i="4"/>
  <c r="CB36" i="4"/>
  <c r="CB74" i="4"/>
  <c r="BR36" i="4"/>
  <c r="BR74" i="4"/>
  <c r="BH36" i="4"/>
  <c r="BH74" i="4"/>
  <c r="AX36" i="4"/>
  <c r="AX74" i="4"/>
  <c r="AN36" i="4"/>
  <c r="AN74" i="4"/>
  <c r="AD36" i="4"/>
  <c r="AD74" i="4"/>
  <c r="T74" i="4"/>
  <c r="T36" i="4"/>
  <c r="J74" i="4"/>
  <c r="J36" i="4"/>
  <c r="EH74" i="3"/>
  <c r="EW74" i="3"/>
  <c r="EV74" i="3"/>
  <c r="EU74" i="3"/>
  <c r="EX73" i="3"/>
  <c r="EX72" i="3"/>
  <c r="EX71" i="3"/>
  <c r="EX70" i="3"/>
  <c r="EX69" i="3"/>
  <c r="EX68" i="3"/>
  <c r="EX67" i="3"/>
  <c r="EX66" i="3"/>
  <c r="EX65" i="3"/>
  <c r="EX64" i="3"/>
  <c r="EX63" i="3"/>
  <c r="EX62" i="3"/>
  <c r="EX61" i="3"/>
  <c r="EX60" i="3"/>
  <c r="EX59" i="3"/>
  <c r="EX58" i="3"/>
  <c r="EX57" i="3"/>
  <c r="EX56" i="3"/>
  <c r="EX55" i="3"/>
  <c r="EX54" i="3"/>
  <c r="EX53" i="3"/>
  <c r="EX52" i="3"/>
  <c r="EX51" i="3"/>
  <c r="EX50" i="3"/>
  <c r="EX49" i="3"/>
  <c r="EX48" i="3"/>
  <c r="EX47" i="3"/>
  <c r="EX46" i="3"/>
  <c r="EX45" i="3"/>
  <c r="EX44" i="3"/>
  <c r="EX43" i="3"/>
  <c r="EW36" i="3"/>
  <c r="EV36" i="3"/>
  <c r="EU36" i="3"/>
  <c r="EX35" i="3"/>
  <c r="EX34" i="3"/>
  <c r="EX33" i="3"/>
  <c r="EX32" i="3"/>
  <c r="EX31" i="3"/>
  <c r="EX30" i="3"/>
  <c r="EX29" i="3"/>
  <c r="EX28" i="3"/>
  <c r="EX27" i="3"/>
  <c r="EX26" i="3"/>
  <c r="EX25" i="3"/>
  <c r="EX24" i="3"/>
  <c r="EX23" i="3"/>
  <c r="EX22" i="3"/>
  <c r="EX21" i="3"/>
  <c r="EX20" i="3"/>
  <c r="EX19" i="3"/>
  <c r="EX18" i="3"/>
  <c r="EX17" i="3"/>
  <c r="EX16" i="3"/>
  <c r="EX15" i="3"/>
  <c r="EX36" i="3" s="1"/>
  <c r="EX14" i="3"/>
  <c r="EX13" i="3"/>
  <c r="EX12" i="3"/>
  <c r="EX11" i="3"/>
  <c r="EX10" i="3"/>
  <c r="EX9" i="3"/>
  <c r="EX8" i="3"/>
  <c r="EX7" i="3"/>
  <c r="EX6" i="3"/>
  <c r="EX5" i="3"/>
  <c r="EL74" i="3"/>
  <c r="EK74" i="3"/>
  <c r="EJ74" i="3"/>
  <c r="EM73" i="3"/>
  <c r="EM72" i="3"/>
  <c r="EM71" i="3"/>
  <c r="EM70" i="3"/>
  <c r="EM69" i="3"/>
  <c r="EM68" i="3"/>
  <c r="EM67" i="3"/>
  <c r="EM66" i="3"/>
  <c r="EM65" i="3"/>
  <c r="EM64" i="3"/>
  <c r="EM63" i="3"/>
  <c r="EM62" i="3"/>
  <c r="EM61" i="3"/>
  <c r="EM60" i="3"/>
  <c r="EM59" i="3"/>
  <c r="EM58" i="3"/>
  <c r="EM57" i="3"/>
  <c r="EM56" i="3"/>
  <c r="EM55" i="3"/>
  <c r="EM54" i="3"/>
  <c r="EM53" i="3"/>
  <c r="EM52" i="3"/>
  <c r="EM51" i="3"/>
  <c r="EM50" i="3"/>
  <c r="EM49" i="3"/>
  <c r="EM48" i="3"/>
  <c r="EM47" i="3"/>
  <c r="EM46" i="3"/>
  <c r="EM45" i="3"/>
  <c r="EM44" i="3"/>
  <c r="EM43" i="3"/>
  <c r="EL36" i="3"/>
  <c r="EK36" i="3"/>
  <c r="EJ36" i="3"/>
  <c r="EM35" i="3"/>
  <c r="EM34" i="3"/>
  <c r="EM33" i="3"/>
  <c r="EM32" i="3"/>
  <c r="EM31" i="3"/>
  <c r="EM30" i="3"/>
  <c r="EM29" i="3"/>
  <c r="EM28" i="3"/>
  <c r="EM27" i="3"/>
  <c r="EM26" i="3"/>
  <c r="EM25" i="3"/>
  <c r="EM24" i="3"/>
  <c r="EM23" i="3"/>
  <c r="EM22" i="3"/>
  <c r="EM21" i="3"/>
  <c r="EM20" i="3"/>
  <c r="EM19" i="3"/>
  <c r="EM18" i="3"/>
  <c r="EM17" i="3"/>
  <c r="EM16" i="3"/>
  <c r="EM15" i="3"/>
  <c r="EM14" i="3"/>
  <c r="EM13" i="3"/>
  <c r="EM12" i="3"/>
  <c r="EM11" i="3"/>
  <c r="EM10" i="3"/>
  <c r="EM9" i="3"/>
  <c r="EM8" i="3"/>
  <c r="EM7" i="3"/>
  <c r="EM6" i="3"/>
  <c r="EM5" i="3"/>
  <c r="EA74" i="3"/>
  <c r="DZ74" i="3"/>
  <c r="DY74" i="3"/>
  <c r="EB73" i="3"/>
  <c r="EB72" i="3"/>
  <c r="EB71" i="3"/>
  <c r="EB70" i="3"/>
  <c r="EB69" i="3"/>
  <c r="EB68" i="3"/>
  <c r="EB67" i="3"/>
  <c r="EB66" i="3"/>
  <c r="EB65" i="3"/>
  <c r="EB64" i="3"/>
  <c r="EB63" i="3"/>
  <c r="EB62" i="3"/>
  <c r="EB61" i="3"/>
  <c r="EB60" i="3"/>
  <c r="EB59" i="3"/>
  <c r="EB58" i="3"/>
  <c r="EB57" i="3"/>
  <c r="EB56" i="3"/>
  <c r="EB55" i="3"/>
  <c r="EB54" i="3"/>
  <c r="EB53" i="3"/>
  <c r="EB52" i="3"/>
  <c r="EB51" i="3"/>
  <c r="EB50" i="3"/>
  <c r="EB49" i="3"/>
  <c r="EB48" i="3"/>
  <c r="EB47" i="3"/>
  <c r="EB46" i="3"/>
  <c r="EB45" i="3"/>
  <c r="EB44" i="3"/>
  <c r="EB43" i="3"/>
  <c r="EA36" i="3"/>
  <c r="DZ36" i="3"/>
  <c r="DY36" i="3"/>
  <c r="EB35" i="3"/>
  <c r="EB34" i="3"/>
  <c r="EB33" i="3"/>
  <c r="EB32" i="3"/>
  <c r="EB31" i="3"/>
  <c r="EB30" i="3"/>
  <c r="EB29" i="3"/>
  <c r="EB28" i="3"/>
  <c r="EB27" i="3"/>
  <c r="EB26" i="3"/>
  <c r="EB25" i="3"/>
  <c r="EB24" i="3"/>
  <c r="EB23" i="3"/>
  <c r="EB22" i="3"/>
  <c r="EB21" i="3"/>
  <c r="EB20" i="3"/>
  <c r="EB19" i="3"/>
  <c r="EB18" i="3"/>
  <c r="EB17" i="3"/>
  <c r="EB16" i="3"/>
  <c r="EB15" i="3"/>
  <c r="EB14" i="3"/>
  <c r="EB13" i="3"/>
  <c r="EB12" i="3"/>
  <c r="EB11" i="3"/>
  <c r="EB10" i="3"/>
  <c r="EB9" i="3"/>
  <c r="EB8" i="3"/>
  <c r="EB7" i="3"/>
  <c r="EB6" i="3"/>
  <c r="EB5" i="3"/>
  <c r="DP74" i="3"/>
  <c r="DO74" i="3"/>
  <c r="DN74" i="3"/>
  <c r="DQ73" i="3"/>
  <c r="DQ72" i="3"/>
  <c r="DQ71" i="3"/>
  <c r="DQ70" i="3"/>
  <c r="DQ69" i="3"/>
  <c r="DQ68" i="3"/>
  <c r="DQ67" i="3"/>
  <c r="DQ66" i="3"/>
  <c r="DQ65" i="3"/>
  <c r="DQ64" i="3"/>
  <c r="DQ63" i="3"/>
  <c r="DQ62" i="3"/>
  <c r="DQ61" i="3"/>
  <c r="DQ60" i="3"/>
  <c r="DQ59" i="3"/>
  <c r="DQ58" i="3"/>
  <c r="DQ57" i="3"/>
  <c r="DQ56" i="3"/>
  <c r="DQ55" i="3"/>
  <c r="DQ54" i="3"/>
  <c r="DQ53" i="3"/>
  <c r="DQ52" i="3"/>
  <c r="DQ51" i="3"/>
  <c r="DQ50" i="3"/>
  <c r="DQ49" i="3"/>
  <c r="DQ48" i="3"/>
  <c r="DQ47" i="3"/>
  <c r="DQ46" i="3"/>
  <c r="DQ45" i="3"/>
  <c r="DQ44" i="3"/>
  <c r="DQ43" i="3"/>
  <c r="DQ74" i="3" s="1"/>
  <c r="DP36" i="3"/>
  <c r="DO36" i="3"/>
  <c r="DN36" i="3"/>
  <c r="DQ35" i="3"/>
  <c r="DQ34" i="3"/>
  <c r="DQ33" i="3"/>
  <c r="DQ32" i="3"/>
  <c r="DQ31" i="3"/>
  <c r="DQ30" i="3"/>
  <c r="DQ29" i="3"/>
  <c r="DQ28" i="3"/>
  <c r="DQ27" i="3"/>
  <c r="DQ26" i="3"/>
  <c r="DQ25" i="3"/>
  <c r="DQ24" i="3"/>
  <c r="DQ23" i="3"/>
  <c r="DQ22" i="3"/>
  <c r="DQ21" i="3"/>
  <c r="DQ20" i="3"/>
  <c r="DQ19" i="3"/>
  <c r="DQ18" i="3"/>
  <c r="DQ17" i="3"/>
  <c r="DQ16" i="3"/>
  <c r="DQ15" i="3"/>
  <c r="DQ14" i="3"/>
  <c r="DQ13" i="3"/>
  <c r="DQ12" i="3"/>
  <c r="DQ11" i="3"/>
  <c r="DQ10" i="3"/>
  <c r="DQ9" i="3"/>
  <c r="DQ8" i="3"/>
  <c r="DQ7" i="3"/>
  <c r="DQ6" i="3"/>
  <c r="DQ5" i="3"/>
  <c r="DE74" i="3"/>
  <c r="DD74" i="3"/>
  <c r="DC74" i="3"/>
  <c r="DF73" i="3"/>
  <c r="DF72" i="3"/>
  <c r="DF71" i="3"/>
  <c r="DF70" i="3"/>
  <c r="DF69" i="3"/>
  <c r="DF68" i="3"/>
  <c r="DF67" i="3"/>
  <c r="DF66" i="3"/>
  <c r="DF65" i="3"/>
  <c r="DF64" i="3"/>
  <c r="DF63" i="3"/>
  <c r="DF62" i="3"/>
  <c r="DF61" i="3"/>
  <c r="DF60" i="3"/>
  <c r="DF59" i="3"/>
  <c r="DF58" i="3"/>
  <c r="DF57" i="3"/>
  <c r="DF56" i="3"/>
  <c r="DF55" i="3"/>
  <c r="DF54" i="3"/>
  <c r="DF53" i="3"/>
  <c r="DF52" i="3"/>
  <c r="DF51" i="3"/>
  <c r="DF50" i="3"/>
  <c r="DF49" i="3"/>
  <c r="DF48" i="3"/>
  <c r="DF47" i="3"/>
  <c r="DF46" i="3"/>
  <c r="DF45" i="3"/>
  <c r="DF44" i="3"/>
  <c r="DF43" i="3"/>
  <c r="DE36" i="3"/>
  <c r="DD36" i="3"/>
  <c r="DC36" i="3"/>
  <c r="DF35" i="3"/>
  <c r="DF34" i="3"/>
  <c r="DF33" i="3"/>
  <c r="DF32" i="3"/>
  <c r="DF31" i="3"/>
  <c r="DF30" i="3"/>
  <c r="DF29" i="3"/>
  <c r="DF28" i="3"/>
  <c r="DF27" i="3"/>
  <c r="DF26" i="3"/>
  <c r="DF25" i="3"/>
  <c r="DF24" i="3"/>
  <c r="DF23" i="3"/>
  <c r="DF22" i="3"/>
  <c r="DF21" i="3"/>
  <c r="DF20" i="3"/>
  <c r="DF19" i="3"/>
  <c r="DF18" i="3"/>
  <c r="DF17" i="3"/>
  <c r="DF16" i="3"/>
  <c r="DF15" i="3"/>
  <c r="DF14" i="3"/>
  <c r="DF13" i="3"/>
  <c r="DF12" i="3"/>
  <c r="DF11" i="3"/>
  <c r="DF10" i="3"/>
  <c r="DF9" i="3"/>
  <c r="DF8" i="3"/>
  <c r="DF7" i="3"/>
  <c r="DF6" i="3"/>
  <c r="DF5" i="3"/>
  <c r="CU5" i="3"/>
  <c r="CU73" i="3"/>
  <c r="CU72" i="3"/>
  <c r="CU71" i="3"/>
  <c r="CU70" i="3"/>
  <c r="CU69" i="3"/>
  <c r="CU68" i="3"/>
  <c r="CU67" i="3"/>
  <c r="CU66" i="3"/>
  <c r="CU65" i="3"/>
  <c r="CU64" i="3"/>
  <c r="CU63" i="3"/>
  <c r="CU62" i="3"/>
  <c r="CU61" i="3"/>
  <c r="CU60" i="3"/>
  <c r="CU59" i="3"/>
  <c r="CU58" i="3"/>
  <c r="CU57" i="3"/>
  <c r="CU56" i="3"/>
  <c r="CU55" i="3"/>
  <c r="CU54" i="3"/>
  <c r="CU53" i="3"/>
  <c r="CU52" i="3"/>
  <c r="CU51" i="3"/>
  <c r="CU50" i="3"/>
  <c r="CU49" i="3"/>
  <c r="CU48" i="3"/>
  <c r="CU47" i="3"/>
  <c r="CU46" i="3"/>
  <c r="CU45" i="3"/>
  <c r="CU44" i="3"/>
  <c r="CU43" i="3"/>
  <c r="CU35" i="3"/>
  <c r="CU34" i="3"/>
  <c r="CU33" i="3"/>
  <c r="CU32" i="3"/>
  <c r="CU31" i="3"/>
  <c r="CU30" i="3"/>
  <c r="CU29" i="3"/>
  <c r="CU28" i="3"/>
  <c r="CU27" i="3"/>
  <c r="CU26" i="3"/>
  <c r="CU25" i="3"/>
  <c r="CU24" i="3"/>
  <c r="CU23" i="3"/>
  <c r="CU22" i="3"/>
  <c r="CU21" i="3"/>
  <c r="CU20" i="3"/>
  <c r="CU19" i="3"/>
  <c r="CU18" i="3"/>
  <c r="CU17" i="3"/>
  <c r="CU16" i="3"/>
  <c r="CU15" i="3"/>
  <c r="CU14" i="3"/>
  <c r="CU13" i="3"/>
  <c r="CU12" i="3"/>
  <c r="CU11" i="3"/>
  <c r="CU10" i="3"/>
  <c r="CU9" i="3"/>
  <c r="CU8" i="3"/>
  <c r="CU7" i="3"/>
  <c r="CU6" i="3"/>
  <c r="CT74" i="3"/>
  <c r="CS74" i="3"/>
  <c r="CR74" i="3"/>
  <c r="CT36" i="3"/>
  <c r="CS36" i="3"/>
  <c r="CR36" i="3"/>
  <c r="CI74" i="3"/>
  <c r="CH74" i="3"/>
  <c r="CG74" i="3"/>
  <c r="CJ73" i="3"/>
  <c r="CJ72" i="3"/>
  <c r="CJ71" i="3"/>
  <c r="CJ70" i="3"/>
  <c r="CJ69" i="3"/>
  <c r="CJ68" i="3"/>
  <c r="CJ67" i="3"/>
  <c r="CJ66" i="3"/>
  <c r="CJ65" i="3"/>
  <c r="CJ64" i="3"/>
  <c r="CJ63" i="3"/>
  <c r="CJ62" i="3"/>
  <c r="CJ61" i="3"/>
  <c r="CJ60" i="3"/>
  <c r="CJ59" i="3"/>
  <c r="CJ58" i="3"/>
  <c r="CJ57" i="3"/>
  <c r="CJ56" i="3"/>
  <c r="CJ55" i="3"/>
  <c r="CJ54" i="3"/>
  <c r="CJ53" i="3"/>
  <c r="CJ52" i="3"/>
  <c r="CJ51" i="3"/>
  <c r="CJ50" i="3"/>
  <c r="CJ49" i="3"/>
  <c r="CJ48" i="3"/>
  <c r="CJ47" i="3"/>
  <c r="CJ46" i="3"/>
  <c r="CJ45" i="3"/>
  <c r="CJ44" i="3"/>
  <c r="CJ43" i="3"/>
  <c r="CI36" i="3"/>
  <c r="CH36" i="3"/>
  <c r="CG36" i="3"/>
  <c r="CJ35" i="3"/>
  <c r="CJ34" i="3"/>
  <c r="CJ33" i="3"/>
  <c r="CJ32" i="3"/>
  <c r="CJ31" i="3"/>
  <c r="CJ30" i="3"/>
  <c r="CJ29" i="3"/>
  <c r="CJ28" i="3"/>
  <c r="CJ27" i="3"/>
  <c r="CJ26" i="3"/>
  <c r="CJ25" i="3"/>
  <c r="CJ24" i="3"/>
  <c r="CJ23" i="3"/>
  <c r="CJ22" i="3"/>
  <c r="CJ21" i="3"/>
  <c r="CJ20" i="3"/>
  <c r="CJ19" i="3"/>
  <c r="CJ18" i="3"/>
  <c r="CJ17" i="3"/>
  <c r="CJ16" i="3"/>
  <c r="CJ15" i="3"/>
  <c r="CJ14" i="3"/>
  <c r="CJ13" i="3"/>
  <c r="CJ12" i="3"/>
  <c r="CJ11" i="3"/>
  <c r="CJ10" i="3"/>
  <c r="CJ9" i="3"/>
  <c r="CJ8" i="3"/>
  <c r="CJ7" i="3"/>
  <c r="CJ6" i="3"/>
  <c r="CJ5" i="3"/>
  <c r="BX74" i="3"/>
  <c r="BW74" i="3"/>
  <c r="BV74" i="3"/>
  <c r="BY73" i="3"/>
  <c r="BY72" i="3"/>
  <c r="BY71" i="3"/>
  <c r="BY70" i="3"/>
  <c r="BY69" i="3"/>
  <c r="BY68" i="3"/>
  <c r="BY67" i="3"/>
  <c r="BY66" i="3"/>
  <c r="BY65" i="3"/>
  <c r="BY64" i="3"/>
  <c r="BY63" i="3"/>
  <c r="BY62" i="3"/>
  <c r="BY61" i="3"/>
  <c r="BY60" i="3"/>
  <c r="BY59" i="3"/>
  <c r="BY58" i="3"/>
  <c r="BY57" i="3"/>
  <c r="BY56" i="3"/>
  <c r="BY55" i="3"/>
  <c r="BY54" i="3"/>
  <c r="BY53" i="3"/>
  <c r="BY52" i="3"/>
  <c r="BY51" i="3"/>
  <c r="BY50" i="3"/>
  <c r="BY49" i="3"/>
  <c r="BY48" i="3"/>
  <c r="BY47" i="3"/>
  <c r="BY46" i="3"/>
  <c r="BY45" i="3"/>
  <c r="BY44" i="3"/>
  <c r="BY43" i="3"/>
  <c r="BX36" i="3"/>
  <c r="BW36" i="3"/>
  <c r="BV36" i="3"/>
  <c r="BY35" i="3"/>
  <c r="BY34" i="3"/>
  <c r="BY33" i="3"/>
  <c r="BY32" i="3"/>
  <c r="BY31" i="3"/>
  <c r="BY30" i="3"/>
  <c r="BY29" i="3"/>
  <c r="BY28" i="3"/>
  <c r="BY27" i="3"/>
  <c r="BY26" i="3"/>
  <c r="BY25" i="3"/>
  <c r="BY24" i="3"/>
  <c r="BY23" i="3"/>
  <c r="BY22" i="3"/>
  <c r="BY21" i="3"/>
  <c r="BY20" i="3"/>
  <c r="BY19" i="3"/>
  <c r="BY18" i="3"/>
  <c r="BY17" i="3"/>
  <c r="BY16" i="3"/>
  <c r="BY15" i="3"/>
  <c r="BY14" i="3"/>
  <c r="BY13" i="3"/>
  <c r="BY12" i="3"/>
  <c r="BY11" i="3"/>
  <c r="BY10" i="3"/>
  <c r="BY9" i="3"/>
  <c r="BY8" i="3"/>
  <c r="BY7" i="3"/>
  <c r="BY6" i="3"/>
  <c r="BY5" i="3"/>
  <c r="BM74" i="3"/>
  <c r="BL74" i="3"/>
  <c r="BK74" i="3"/>
  <c r="BN73" i="3"/>
  <c r="BN72" i="3"/>
  <c r="BN71" i="3"/>
  <c r="BN70" i="3"/>
  <c r="BN69" i="3"/>
  <c r="BN68" i="3"/>
  <c r="BN67" i="3"/>
  <c r="BN66" i="3"/>
  <c r="BN65" i="3"/>
  <c r="BN64" i="3"/>
  <c r="BN63" i="3"/>
  <c r="BN62" i="3"/>
  <c r="BN61" i="3"/>
  <c r="BN60" i="3"/>
  <c r="BN59" i="3"/>
  <c r="BN58" i="3"/>
  <c r="BN57" i="3"/>
  <c r="BN56" i="3"/>
  <c r="BN55" i="3"/>
  <c r="BN54" i="3"/>
  <c r="BN53" i="3"/>
  <c r="BN52" i="3"/>
  <c r="BN51" i="3"/>
  <c r="BN50" i="3"/>
  <c r="BN49" i="3"/>
  <c r="BN48" i="3"/>
  <c r="BN47" i="3"/>
  <c r="BN46" i="3"/>
  <c r="BN45" i="3"/>
  <c r="BN44" i="3"/>
  <c r="BN43" i="3"/>
  <c r="BM36" i="3"/>
  <c r="BL36" i="3"/>
  <c r="BK36" i="3"/>
  <c r="BN35" i="3"/>
  <c r="BN34" i="3"/>
  <c r="BN33" i="3"/>
  <c r="BN32" i="3"/>
  <c r="BN31" i="3"/>
  <c r="BN30" i="3"/>
  <c r="BN29" i="3"/>
  <c r="BN28" i="3"/>
  <c r="BN27" i="3"/>
  <c r="BN26" i="3"/>
  <c r="BN25" i="3"/>
  <c r="BN24" i="3"/>
  <c r="BN23" i="3"/>
  <c r="BN22" i="3"/>
  <c r="BN21" i="3"/>
  <c r="BN20" i="3"/>
  <c r="BN19" i="3"/>
  <c r="BN18" i="3"/>
  <c r="BN17" i="3"/>
  <c r="BN16" i="3"/>
  <c r="BN15" i="3"/>
  <c r="BN14" i="3"/>
  <c r="BN13" i="3"/>
  <c r="BN12" i="3"/>
  <c r="BN11" i="3"/>
  <c r="BN10" i="3"/>
  <c r="BN9" i="3"/>
  <c r="BN8" i="3"/>
  <c r="BN7" i="3"/>
  <c r="BN6" i="3"/>
  <c r="BN5" i="3"/>
  <c r="BC44" i="3"/>
  <c r="BC43" i="3"/>
  <c r="BB74" i="3"/>
  <c r="BA74" i="3"/>
  <c r="AZ74" i="3"/>
  <c r="BC73" i="3"/>
  <c r="BC72" i="3"/>
  <c r="BC71" i="3"/>
  <c r="BC70" i="3"/>
  <c r="BC69" i="3"/>
  <c r="BC68" i="3"/>
  <c r="BC67" i="3"/>
  <c r="BC66" i="3"/>
  <c r="BC65" i="3"/>
  <c r="BC64" i="3"/>
  <c r="BC63" i="3"/>
  <c r="BC62" i="3"/>
  <c r="BC61" i="3"/>
  <c r="BC60" i="3"/>
  <c r="BC59" i="3"/>
  <c r="BC58" i="3"/>
  <c r="BC57" i="3"/>
  <c r="BC56" i="3"/>
  <c r="BC55" i="3"/>
  <c r="BC54" i="3"/>
  <c r="BC53" i="3"/>
  <c r="BC52" i="3"/>
  <c r="BC51" i="3"/>
  <c r="BC50" i="3"/>
  <c r="BC49" i="3"/>
  <c r="BC48" i="3"/>
  <c r="BC47" i="3"/>
  <c r="BC46" i="3"/>
  <c r="BC45" i="3"/>
  <c r="AQ74" i="3"/>
  <c r="AP74" i="3"/>
  <c r="AO74" i="3"/>
  <c r="AR73" i="3"/>
  <c r="AR72" i="3"/>
  <c r="AR71" i="3"/>
  <c r="AR70" i="3"/>
  <c r="AR69" i="3"/>
  <c r="AR68" i="3"/>
  <c r="AR67" i="3"/>
  <c r="AR66" i="3"/>
  <c r="AR65" i="3"/>
  <c r="AR64" i="3"/>
  <c r="AR63" i="3"/>
  <c r="AR62" i="3"/>
  <c r="AR61" i="3"/>
  <c r="AR60" i="3"/>
  <c r="AR59" i="3"/>
  <c r="AR58" i="3"/>
  <c r="AR57" i="3"/>
  <c r="AR56" i="3"/>
  <c r="AR55" i="3"/>
  <c r="AR54" i="3"/>
  <c r="AR53" i="3"/>
  <c r="AR52" i="3"/>
  <c r="AR51" i="3"/>
  <c r="AR50" i="3"/>
  <c r="AR49" i="3"/>
  <c r="AR48" i="3"/>
  <c r="AR47" i="3"/>
  <c r="AR46" i="3"/>
  <c r="AR45" i="3"/>
  <c r="AR44" i="3"/>
  <c r="AR43" i="3"/>
  <c r="AF74" i="3"/>
  <c r="AE74" i="3"/>
  <c r="AD74" i="3"/>
  <c r="AG73" i="3"/>
  <c r="AG72" i="3"/>
  <c r="AG71" i="3"/>
  <c r="AG70" i="3"/>
  <c r="AG69" i="3"/>
  <c r="AG68" i="3"/>
  <c r="AG67" i="3"/>
  <c r="AG66" i="3"/>
  <c r="AG65" i="3"/>
  <c r="AG64" i="3"/>
  <c r="AG63" i="3"/>
  <c r="AG62" i="3"/>
  <c r="AG61" i="3"/>
  <c r="AG60" i="3"/>
  <c r="AG59" i="3"/>
  <c r="AG58" i="3"/>
  <c r="AG57" i="3"/>
  <c r="AG56" i="3"/>
  <c r="AG55" i="3"/>
  <c r="AG54" i="3"/>
  <c r="AG53" i="3"/>
  <c r="AG52" i="3"/>
  <c r="AG51" i="3"/>
  <c r="AG50" i="3"/>
  <c r="AG49" i="3"/>
  <c r="AG48" i="3"/>
  <c r="AG47" i="3"/>
  <c r="AG46" i="3"/>
  <c r="AG45" i="3"/>
  <c r="AG44" i="3"/>
  <c r="AG43" i="3"/>
  <c r="EX74" i="3" l="1"/>
  <c r="DQ36" i="3"/>
  <c r="DF36" i="3"/>
  <c r="BN36" i="3"/>
  <c r="EB36" i="3"/>
  <c r="EM74" i="3"/>
  <c r="EM36" i="3"/>
  <c r="EB74" i="3"/>
  <c r="DF74" i="3"/>
  <c r="CU74" i="3"/>
  <c r="CU36" i="3"/>
  <c r="BN74" i="3"/>
  <c r="CJ74" i="3"/>
  <c r="AR74" i="3"/>
  <c r="AG74" i="3"/>
  <c r="BY36" i="3"/>
  <c r="BY74" i="3"/>
  <c r="CJ36" i="3"/>
  <c r="BC74" i="3"/>
  <c r="AL74" i="3" l="1"/>
  <c r="U74" i="3"/>
  <c r="T74" i="3"/>
  <c r="S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Q74" i="3"/>
  <c r="K43" i="3"/>
  <c r="BB36" i="3"/>
  <c r="BA36" i="3"/>
  <c r="AZ36" i="3"/>
  <c r="BC35" i="3"/>
  <c r="BC34" i="3"/>
  <c r="BC33" i="3"/>
  <c r="BC32" i="3"/>
  <c r="BC31" i="3"/>
  <c r="BC30" i="3"/>
  <c r="BC29" i="3"/>
  <c r="BC28" i="3"/>
  <c r="BC27" i="3"/>
  <c r="BC26" i="3"/>
  <c r="BC25" i="3"/>
  <c r="BC24" i="3"/>
  <c r="BC23" i="3"/>
  <c r="BC22" i="3"/>
  <c r="BC21" i="3"/>
  <c r="BC20" i="3"/>
  <c r="BC19" i="3"/>
  <c r="BC18" i="3"/>
  <c r="BC17" i="3"/>
  <c r="BC16" i="3"/>
  <c r="BC15" i="3"/>
  <c r="BC14" i="3"/>
  <c r="BC13" i="3"/>
  <c r="BC12" i="3"/>
  <c r="BC11" i="3"/>
  <c r="BC10" i="3"/>
  <c r="BC9" i="3"/>
  <c r="BC8" i="3"/>
  <c r="BC7" i="3"/>
  <c r="BC6" i="3"/>
  <c r="BC5" i="3"/>
  <c r="AQ36" i="3"/>
  <c r="AP36" i="3"/>
  <c r="AO36" i="3"/>
  <c r="AR35" i="3"/>
  <c r="AR34" i="3"/>
  <c r="AR33" i="3"/>
  <c r="AR32" i="3"/>
  <c r="AR31" i="3"/>
  <c r="AR30" i="3"/>
  <c r="AR29" i="3"/>
  <c r="AR28" i="3"/>
  <c r="AR27" i="3"/>
  <c r="AR26" i="3"/>
  <c r="AR25" i="3"/>
  <c r="AR24" i="3"/>
  <c r="AR23" i="3"/>
  <c r="AR22" i="3"/>
  <c r="AR21" i="3"/>
  <c r="AR20" i="3"/>
  <c r="AR19" i="3"/>
  <c r="AR18" i="3"/>
  <c r="AR17" i="3"/>
  <c r="AR16" i="3"/>
  <c r="AR15" i="3"/>
  <c r="AR14" i="3"/>
  <c r="AR13" i="3"/>
  <c r="AR12" i="3"/>
  <c r="AR11" i="3"/>
  <c r="AR10" i="3"/>
  <c r="AR9" i="3"/>
  <c r="AR8" i="3"/>
  <c r="AR7" i="3"/>
  <c r="AR6" i="3"/>
  <c r="AR5" i="3"/>
  <c r="AF36" i="3"/>
  <c r="AE36" i="3"/>
  <c r="AD36" i="3"/>
  <c r="AG35" i="3"/>
  <c r="AG34" i="3"/>
  <c r="AG33" i="3"/>
  <c r="AG32" i="3"/>
  <c r="AG31" i="3"/>
  <c r="AG30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9" i="3"/>
  <c r="AG8" i="3"/>
  <c r="AG7" i="3"/>
  <c r="AG6" i="3"/>
  <c r="AG5" i="3"/>
  <c r="V5" i="3"/>
  <c r="U36" i="3"/>
  <c r="T36" i="3"/>
  <c r="S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J74" i="3"/>
  <c r="I74" i="3"/>
  <c r="H74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J36" i="3"/>
  <c r="I36" i="3"/>
  <c r="H36" i="3"/>
  <c r="FH6" i="2"/>
  <c r="FG77" i="2"/>
  <c r="FF77" i="2"/>
  <c r="FE77" i="2"/>
  <c r="FH76" i="2"/>
  <c r="FH75" i="2"/>
  <c r="FH74" i="2"/>
  <c r="FH73" i="2"/>
  <c r="FH72" i="2"/>
  <c r="FH71" i="2"/>
  <c r="FH70" i="2"/>
  <c r="FH69" i="2"/>
  <c r="FH68" i="2"/>
  <c r="FH67" i="2"/>
  <c r="FH66" i="2"/>
  <c r="FH65" i="2"/>
  <c r="FH64" i="2"/>
  <c r="FH63" i="2"/>
  <c r="FH62" i="2"/>
  <c r="FH61" i="2"/>
  <c r="FH60" i="2"/>
  <c r="FH59" i="2"/>
  <c r="FH58" i="2"/>
  <c r="FH57" i="2"/>
  <c r="FH56" i="2"/>
  <c r="FH55" i="2"/>
  <c r="FH54" i="2"/>
  <c r="FH53" i="2"/>
  <c r="FH52" i="2"/>
  <c r="FH51" i="2"/>
  <c r="FH50" i="2"/>
  <c r="FH49" i="2"/>
  <c r="FH48" i="2"/>
  <c r="FH47" i="2"/>
  <c r="FH46" i="2"/>
  <c r="FG37" i="2"/>
  <c r="FF37" i="2"/>
  <c r="FE37" i="2"/>
  <c r="FH36" i="2"/>
  <c r="FH35" i="2"/>
  <c r="FH34" i="2"/>
  <c r="FH33" i="2"/>
  <c r="FH32" i="2"/>
  <c r="FH31" i="2"/>
  <c r="FH30" i="2"/>
  <c r="FH29" i="2"/>
  <c r="FH28" i="2"/>
  <c r="FH27" i="2"/>
  <c r="FH26" i="2"/>
  <c r="FH25" i="2"/>
  <c r="FH24" i="2"/>
  <c r="FH23" i="2"/>
  <c r="FH22" i="2"/>
  <c r="FH21" i="2"/>
  <c r="FH20" i="2"/>
  <c r="FH19" i="2"/>
  <c r="FH18" i="2"/>
  <c r="FH17" i="2"/>
  <c r="FH16" i="2"/>
  <c r="FH15" i="2"/>
  <c r="FH14" i="2"/>
  <c r="FH13" i="2"/>
  <c r="FH12" i="2"/>
  <c r="FH11" i="2"/>
  <c r="FH10" i="2"/>
  <c r="FH9" i="2"/>
  <c r="FH8" i="2"/>
  <c r="FH7" i="2"/>
  <c r="FH37" i="2" s="1"/>
  <c r="EV77" i="2"/>
  <c r="EU77" i="2"/>
  <c r="ET77" i="2"/>
  <c r="EW76" i="2"/>
  <c r="EW75" i="2"/>
  <c r="EW74" i="2"/>
  <c r="EW73" i="2"/>
  <c r="EW72" i="2"/>
  <c r="EW71" i="2"/>
  <c r="EW70" i="2"/>
  <c r="EW69" i="2"/>
  <c r="EW68" i="2"/>
  <c r="EW67" i="2"/>
  <c r="EW66" i="2"/>
  <c r="EW65" i="2"/>
  <c r="EW64" i="2"/>
  <c r="EW63" i="2"/>
  <c r="EW62" i="2"/>
  <c r="EW61" i="2"/>
  <c r="EW60" i="2"/>
  <c r="EW59" i="2"/>
  <c r="EW58" i="2"/>
  <c r="EW57" i="2"/>
  <c r="EW56" i="2"/>
  <c r="EW55" i="2"/>
  <c r="EW54" i="2"/>
  <c r="EW53" i="2"/>
  <c r="EW52" i="2"/>
  <c r="EW51" i="2"/>
  <c r="EW50" i="2"/>
  <c r="EW49" i="2"/>
  <c r="EW48" i="2"/>
  <c r="EW47" i="2"/>
  <c r="EW46" i="2"/>
  <c r="EV37" i="2"/>
  <c r="EU37" i="2"/>
  <c r="ET37" i="2"/>
  <c r="EW36" i="2"/>
  <c r="EW35" i="2"/>
  <c r="EW34" i="2"/>
  <c r="EW33" i="2"/>
  <c r="EW32" i="2"/>
  <c r="EW31" i="2"/>
  <c r="EW30" i="2"/>
  <c r="EW29" i="2"/>
  <c r="EW28" i="2"/>
  <c r="EW27" i="2"/>
  <c r="EW26" i="2"/>
  <c r="EW25" i="2"/>
  <c r="EW24" i="2"/>
  <c r="EW23" i="2"/>
  <c r="EW22" i="2"/>
  <c r="EW21" i="2"/>
  <c r="EW20" i="2"/>
  <c r="EW19" i="2"/>
  <c r="EW18" i="2"/>
  <c r="EW17" i="2"/>
  <c r="EW16" i="2"/>
  <c r="EW15" i="2"/>
  <c r="EW14" i="2"/>
  <c r="EW13" i="2"/>
  <c r="EW12" i="2"/>
  <c r="EW11" i="2"/>
  <c r="EW10" i="2"/>
  <c r="EW9" i="2"/>
  <c r="EW8" i="2"/>
  <c r="EW7" i="2"/>
  <c r="EW6" i="2"/>
  <c r="EK77" i="2"/>
  <c r="EJ77" i="2"/>
  <c r="EI77" i="2"/>
  <c r="EL76" i="2"/>
  <c r="EL75" i="2"/>
  <c r="EL74" i="2"/>
  <c r="EL73" i="2"/>
  <c r="EL72" i="2"/>
  <c r="EL71" i="2"/>
  <c r="EL70" i="2"/>
  <c r="EL69" i="2"/>
  <c r="EL68" i="2"/>
  <c r="EL67" i="2"/>
  <c r="EL66" i="2"/>
  <c r="EL65" i="2"/>
  <c r="EL64" i="2"/>
  <c r="EL63" i="2"/>
  <c r="EL62" i="2"/>
  <c r="EL61" i="2"/>
  <c r="EL60" i="2"/>
  <c r="EL59" i="2"/>
  <c r="EL58" i="2"/>
  <c r="EL57" i="2"/>
  <c r="EL56" i="2"/>
  <c r="EL55" i="2"/>
  <c r="EL54" i="2"/>
  <c r="EL53" i="2"/>
  <c r="EL52" i="2"/>
  <c r="EL51" i="2"/>
  <c r="EL50" i="2"/>
  <c r="EL49" i="2"/>
  <c r="EL48" i="2"/>
  <c r="EL47" i="2"/>
  <c r="EL46" i="2"/>
  <c r="EK37" i="2"/>
  <c r="EJ37" i="2"/>
  <c r="EI37" i="2"/>
  <c r="EL36" i="2"/>
  <c r="EL35" i="2"/>
  <c r="EL34" i="2"/>
  <c r="EL33" i="2"/>
  <c r="EL32" i="2"/>
  <c r="EL31" i="2"/>
  <c r="EL30" i="2"/>
  <c r="EL29" i="2"/>
  <c r="EL28" i="2"/>
  <c r="EL27" i="2"/>
  <c r="EL26" i="2"/>
  <c r="EL25" i="2"/>
  <c r="EL24" i="2"/>
  <c r="EL23" i="2"/>
  <c r="EL22" i="2"/>
  <c r="EL21" i="2"/>
  <c r="EL20" i="2"/>
  <c r="EL19" i="2"/>
  <c r="EL18" i="2"/>
  <c r="EL17" i="2"/>
  <c r="EL16" i="2"/>
  <c r="EL15" i="2"/>
  <c r="EL14" i="2"/>
  <c r="EL13" i="2"/>
  <c r="EL12" i="2"/>
  <c r="EL11" i="2"/>
  <c r="EL10" i="2"/>
  <c r="EL9" i="2"/>
  <c r="EL8" i="2"/>
  <c r="EL7" i="2"/>
  <c r="EL6" i="2"/>
  <c r="DZ77" i="2"/>
  <c r="DY77" i="2"/>
  <c r="DX77" i="2"/>
  <c r="EA76" i="2"/>
  <c r="EA75" i="2"/>
  <c r="EA74" i="2"/>
  <c r="EA73" i="2"/>
  <c r="EA72" i="2"/>
  <c r="EA71" i="2"/>
  <c r="EA70" i="2"/>
  <c r="EA69" i="2"/>
  <c r="EA68" i="2"/>
  <c r="EA67" i="2"/>
  <c r="EA66" i="2"/>
  <c r="EA65" i="2"/>
  <c r="EA64" i="2"/>
  <c r="EA63" i="2"/>
  <c r="EA62" i="2"/>
  <c r="EA61" i="2"/>
  <c r="EA60" i="2"/>
  <c r="EA59" i="2"/>
  <c r="EA58" i="2"/>
  <c r="EA57" i="2"/>
  <c r="EA56" i="2"/>
  <c r="EA55" i="2"/>
  <c r="EA54" i="2"/>
  <c r="EA53" i="2"/>
  <c r="EA52" i="2"/>
  <c r="EA51" i="2"/>
  <c r="EA50" i="2"/>
  <c r="EA49" i="2"/>
  <c r="EA48" i="2"/>
  <c r="EA47" i="2"/>
  <c r="EA46" i="2"/>
  <c r="DZ37" i="2"/>
  <c r="DY37" i="2"/>
  <c r="DX37" i="2"/>
  <c r="EA36" i="2"/>
  <c r="EA35" i="2"/>
  <c r="EA34" i="2"/>
  <c r="EA33" i="2"/>
  <c r="EA32" i="2"/>
  <c r="EA31" i="2"/>
  <c r="EA30" i="2"/>
  <c r="EA29" i="2"/>
  <c r="EA28" i="2"/>
  <c r="EA27" i="2"/>
  <c r="EA26" i="2"/>
  <c r="EA25" i="2"/>
  <c r="EA24" i="2"/>
  <c r="EA23" i="2"/>
  <c r="EA22" i="2"/>
  <c r="EA21" i="2"/>
  <c r="EA20" i="2"/>
  <c r="EA19" i="2"/>
  <c r="EA18" i="2"/>
  <c r="EA17" i="2"/>
  <c r="EA16" i="2"/>
  <c r="EA15" i="2"/>
  <c r="EA14" i="2"/>
  <c r="EA13" i="2"/>
  <c r="EA12" i="2"/>
  <c r="EA11" i="2"/>
  <c r="EA10" i="2"/>
  <c r="EA9" i="2"/>
  <c r="EA8" i="2"/>
  <c r="EA7" i="2"/>
  <c r="EA6" i="2"/>
  <c r="DO77" i="2"/>
  <c r="DN77" i="2"/>
  <c r="DM77" i="2"/>
  <c r="DP76" i="2"/>
  <c r="DP75" i="2"/>
  <c r="DP74" i="2"/>
  <c r="DP73" i="2"/>
  <c r="DP72" i="2"/>
  <c r="DP71" i="2"/>
  <c r="DP70" i="2"/>
  <c r="DP69" i="2"/>
  <c r="DP68" i="2"/>
  <c r="DP67" i="2"/>
  <c r="DP66" i="2"/>
  <c r="DP65" i="2"/>
  <c r="DP64" i="2"/>
  <c r="DP63" i="2"/>
  <c r="DP62" i="2"/>
  <c r="DP61" i="2"/>
  <c r="DP60" i="2"/>
  <c r="DP59" i="2"/>
  <c r="DP58" i="2"/>
  <c r="DP57" i="2"/>
  <c r="DP56" i="2"/>
  <c r="DP55" i="2"/>
  <c r="DP54" i="2"/>
  <c r="DP53" i="2"/>
  <c r="DP52" i="2"/>
  <c r="DP51" i="2"/>
  <c r="DP50" i="2"/>
  <c r="DP49" i="2"/>
  <c r="DP48" i="2"/>
  <c r="DP47" i="2"/>
  <c r="DP46" i="2"/>
  <c r="DO37" i="2"/>
  <c r="DN37" i="2"/>
  <c r="DM37" i="2"/>
  <c r="DP36" i="2"/>
  <c r="DP35" i="2"/>
  <c r="DP34" i="2"/>
  <c r="DP33" i="2"/>
  <c r="DP32" i="2"/>
  <c r="DP31" i="2"/>
  <c r="DP30" i="2"/>
  <c r="DP29" i="2"/>
  <c r="DP28" i="2"/>
  <c r="DP27" i="2"/>
  <c r="DP26" i="2"/>
  <c r="DP25" i="2"/>
  <c r="DP24" i="2"/>
  <c r="DP23" i="2"/>
  <c r="DP22" i="2"/>
  <c r="DP21" i="2"/>
  <c r="DP20" i="2"/>
  <c r="DP19" i="2"/>
  <c r="DP18" i="2"/>
  <c r="DP17" i="2"/>
  <c r="DP16" i="2"/>
  <c r="DP15" i="2"/>
  <c r="DP14" i="2"/>
  <c r="DP13" i="2"/>
  <c r="DP12" i="2"/>
  <c r="DP11" i="2"/>
  <c r="DP10" i="2"/>
  <c r="DP9" i="2"/>
  <c r="DP8" i="2"/>
  <c r="DP7" i="2"/>
  <c r="DP6" i="2"/>
  <c r="DC77" i="2"/>
  <c r="DB77" i="2"/>
  <c r="DA77" i="2"/>
  <c r="DD76" i="2"/>
  <c r="DD75" i="2"/>
  <c r="DD74" i="2"/>
  <c r="DD73" i="2"/>
  <c r="DD72" i="2"/>
  <c r="DD71" i="2"/>
  <c r="DD70" i="2"/>
  <c r="DD69" i="2"/>
  <c r="DD68" i="2"/>
  <c r="DD67" i="2"/>
  <c r="DD66" i="2"/>
  <c r="DD65" i="2"/>
  <c r="DD64" i="2"/>
  <c r="DD63" i="2"/>
  <c r="DD62" i="2"/>
  <c r="DD61" i="2"/>
  <c r="DD60" i="2"/>
  <c r="DD59" i="2"/>
  <c r="DD58" i="2"/>
  <c r="DD57" i="2"/>
  <c r="DD56" i="2"/>
  <c r="DD55" i="2"/>
  <c r="DD54" i="2"/>
  <c r="DD53" i="2"/>
  <c r="DD52" i="2"/>
  <c r="DD51" i="2"/>
  <c r="DD50" i="2"/>
  <c r="DD49" i="2"/>
  <c r="DD48" i="2"/>
  <c r="DD47" i="2"/>
  <c r="DD46" i="2"/>
  <c r="DC37" i="2"/>
  <c r="DB37" i="2"/>
  <c r="DA37" i="2"/>
  <c r="DD36" i="2"/>
  <c r="DD35" i="2"/>
  <c r="DD34" i="2"/>
  <c r="DD33" i="2"/>
  <c r="DD32" i="2"/>
  <c r="DD31" i="2"/>
  <c r="DD30" i="2"/>
  <c r="DD29" i="2"/>
  <c r="DD28" i="2"/>
  <c r="DD27" i="2"/>
  <c r="DD26" i="2"/>
  <c r="DD25" i="2"/>
  <c r="DD24" i="2"/>
  <c r="DD23" i="2"/>
  <c r="DD22" i="2"/>
  <c r="DD21" i="2"/>
  <c r="DD20" i="2"/>
  <c r="DD19" i="2"/>
  <c r="DD18" i="2"/>
  <c r="DD17" i="2"/>
  <c r="DD16" i="2"/>
  <c r="DD15" i="2"/>
  <c r="DD14" i="2"/>
  <c r="DD13" i="2"/>
  <c r="DD12" i="2"/>
  <c r="DD11" i="2"/>
  <c r="DD10" i="2"/>
  <c r="DD9" i="2"/>
  <c r="DD8" i="2"/>
  <c r="DD7" i="2"/>
  <c r="DD6" i="2"/>
  <c r="CR77" i="2"/>
  <c r="CQ77" i="2"/>
  <c r="CP77" i="2"/>
  <c r="CS76" i="2"/>
  <c r="CS75" i="2"/>
  <c r="CS74" i="2"/>
  <c r="CS73" i="2"/>
  <c r="CS72" i="2"/>
  <c r="CS71" i="2"/>
  <c r="CS70" i="2"/>
  <c r="CS69" i="2"/>
  <c r="CS68" i="2"/>
  <c r="CS67" i="2"/>
  <c r="CS66" i="2"/>
  <c r="CS65" i="2"/>
  <c r="CS64" i="2"/>
  <c r="CS63" i="2"/>
  <c r="CS62" i="2"/>
  <c r="CS61" i="2"/>
  <c r="CS60" i="2"/>
  <c r="CS59" i="2"/>
  <c r="CS58" i="2"/>
  <c r="CS57" i="2"/>
  <c r="CS56" i="2"/>
  <c r="CS55" i="2"/>
  <c r="CS54" i="2"/>
  <c r="CS53" i="2"/>
  <c r="CS52" i="2"/>
  <c r="CS51" i="2"/>
  <c r="CS50" i="2"/>
  <c r="CS49" i="2"/>
  <c r="CS48" i="2"/>
  <c r="CS47" i="2"/>
  <c r="CS46" i="2"/>
  <c r="CR37" i="2"/>
  <c r="CQ37" i="2"/>
  <c r="CP37" i="2"/>
  <c r="CS36" i="2"/>
  <c r="CS35" i="2"/>
  <c r="CS34" i="2"/>
  <c r="CS33" i="2"/>
  <c r="CS32" i="2"/>
  <c r="CS31" i="2"/>
  <c r="CS30" i="2"/>
  <c r="CS29" i="2"/>
  <c r="CS28" i="2"/>
  <c r="CS27" i="2"/>
  <c r="CS26" i="2"/>
  <c r="CS25" i="2"/>
  <c r="CS24" i="2"/>
  <c r="CS23" i="2"/>
  <c r="CS22" i="2"/>
  <c r="CS21" i="2"/>
  <c r="CS20" i="2"/>
  <c r="CS19" i="2"/>
  <c r="CS18" i="2"/>
  <c r="CS17" i="2"/>
  <c r="CS16" i="2"/>
  <c r="CS15" i="2"/>
  <c r="CS14" i="2"/>
  <c r="CS13" i="2"/>
  <c r="CS12" i="2"/>
  <c r="CS11" i="2"/>
  <c r="CS10" i="2"/>
  <c r="CS9" i="2"/>
  <c r="CS8" i="2"/>
  <c r="CS7" i="2"/>
  <c r="CS6" i="2"/>
  <c r="CG77" i="2"/>
  <c r="CF77" i="2"/>
  <c r="CE77" i="2"/>
  <c r="CH76" i="2"/>
  <c r="CH75" i="2"/>
  <c r="CH74" i="2"/>
  <c r="CH73" i="2"/>
  <c r="CH72" i="2"/>
  <c r="CH71" i="2"/>
  <c r="CH70" i="2"/>
  <c r="CH69" i="2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H55" i="2"/>
  <c r="CH54" i="2"/>
  <c r="CH53" i="2"/>
  <c r="CH52" i="2"/>
  <c r="CH51" i="2"/>
  <c r="CH50" i="2"/>
  <c r="CH49" i="2"/>
  <c r="CH48" i="2"/>
  <c r="CH47" i="2"/>
  <c r="CH46" i="2"/>
  <c r="CG37" i="2"/>
  <c r="CF37" i="2"/>
  <c r="CE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BQ37" i="2"/>
  <c r="BR37" i="2"/>
  <c r="BR77" i="2"/>
  <c r="BQ77" i="2"/>
  <c r="BW76" i="2"/>
  <c r="BW75" i="2"/>
  <c r="BW74" i="2"/>
  <c r="BW73" i="2"/>
  <c r="BW72" i="2"/>
  <c r="BW71" i="2"/>
  <c r="BW70" i="2"/>
  <c r="BW69" i="2"/>
  <c r="BW68" i="2"/>
  <c r="BW67" i="2"/>
  <c r="BW66" i="2"/>
  <c r="BW65" i="2"/>
  <c r="BW64" i="2"/>
  <c r="BW63" i="2"/>
  <c r="BW62" i="2"/>
  <c r="BW61" i="2"/>
  <c r="BW60" i="2"/>
  <c r="BW59" i="2"/>
  <c r="BW58" i="2"/>
  <c r="BW57" i="2"/>
  <c r="BW56" i="2"/>
  <c r="BW55" i="2"/>
  <c r="BW54" i="2"/>
  <c r="BW53" i="2"/>
  <c r="BW52" i="2"/>
  <c r="BW51" i="2"/>
  <c r="BW50" i="2"/>
  <c r="BW49" i="2"/>
  <c r="BW48" i="2"/>
  <c r="BW47" i="2"/>
  <c r="BW46" i="2"/>
  <c r="BW36" i="2"/>
  <c r="BW35" i="2"/>
  <c r="BW34" i="2"/>
  <c r="BW33" i="2"/>
  <c r="BW32" i="2"/>
  <c r="BW31" i="2"/>
  <c r="BW30" i="2"/>
  <c r="BW29" i="2"/>
  <c r="BW28" i="2"/>
  <c r="BW27" i="2"/>
  <c r="BW26" i="2"/>
  <c r="BW25" i="2"/>
  <c r="BW24" i="2"/>
  <c r="BW23" i="2"/>
  <c r="BW22" i="2"/>
  <c r="BW21" i="2"/>
  <c r="BW20" i="2"/>
  <c r="BW19" i="2"/>
  <c r="BW18" i="2"/>
  <c r="BW17" i="2"/>
  <c r="BW16" i="2"/>
  <c r="BW15" i="2"/>
  <c r="BW14" i="2"/>
  <c r="BW13" i="2"/>
  <c r="BW12" i="2"/>
  <c r="BW11" i="2"/>
  <c r="BW10" i="2"/>
  <c r="BW9" i="2"/>
  <c r="BW8" i="2"/>
  <c r="BW7" i="2"/>
  <c r="BW6" i="2"/>
  <c r="BV77" i="2"/>
  <c r="BU77" i="2"/>
  <c r="BT77" i="2"/>
  <c r="BV37" i="2"/>
  <c r="BU37" i="2"/>
  <c r="BT37" i="2"/>
  <c r="BJ77" i="2"/>
  <c r="BI77" i="2"/>
  <c r="BH77" i="2"/>
  <c r="BK76" i="2"/>
  <c r="BK75" i="2"/>
  <c r="BK74" i="2"/>
  <c r="BK73" i="2"/>
  <c r="BK72" i="2"/>
  <c r="BK71" i="2"/>
  <c r="BK70" i="2"/>
  <c r="BK69" i="2"/>
  <c r="BK68" i="2"/>
  <c r="BK67" i="2"/>
  <c r="BK66" i="2"/>
  <c r="BK65" i="2"/>
  <c r="BK64" i="2"/>
  <c r="BK63" i="2"/>
  <c r="BK62" i="2"/>
  <c r="BK61" i="2"/>
  <c r="BK60" i="2"/>
  <c r="BK59" i="2"/>
  <c r="BK58" i="2"/>
  <c r="BK57" i="2"/>
  <c r="BK56" i="2"/>
  <c r="BK55" i="2"/>
  <c r="BK54" i="2"/>
  <c r="BK53" i="2"/>
  <c r="BK52" i="2"/>
  <c r="BK51" i="2"/>
  <c r="BK50" i="2"/>
  <c r="BK49" i="2"/>
  <c r="BK48" i="2"/>
  <c r="BK47" i="2"/>
  <c r="BK46" i="2"/>
  <c r="BJ37" i="2"/>
  <c r="BI37" i="2"/>
  <c r="BH37" i="2"/>
  <c r="BK36" i="2"/>
  <c r="BK35" i="2"/>
  <c r="BK34" i="2"/>
  <c r="BK33" i="2"/>
  <c r="BK32" i="2"/>
  <c r="BK31" i="2"/>
  <c r="BK30" i="2"/>
  <c r="BK29" i="2"/>
  <c r="BK28" i="2"/>
  <c r="BK27" i="2"/>
  <c r="BK26" i="2"/>
  <c r="BK25" i="2"/>
  <c r="BK24" i="2"/>
  <c r="BK23" i="2"/>
  <c r="BK22" i="2"/>
  <c r="BK21" i="2"/>
  <c r="BK20" i="2"/>
  <c r="BK19" i="2"/>
  <c r="BK18" i="2"/>
  <c r="BK17" i="2"/>
  <c r="BK16" i="2"/>
  <c r="BK15" i="2"/>
  <c r="BK14" i="2"/>
  <c r="BK13" i="2"/>
  <c r="BK12" i="2"/>
  <c r="BK11" i="2"/>
  <c r="BK10" i="2"/>
  <c r="BK9" i="2"/>
  <c r="BK8" i="2"/>
  <c r="BK7" i="2"/>
  <c r="BK6" i="2"/>
  <c r="AZ77" i="2"/>
  <c r="AY77" i="2"/>
  <c r="AX77" i="2"/>
  <c r="BA76" i="2"/>
  <c r="BA75" i="2"/>
  <c r="BA74" i="2"/>
  <c r="BA73" i="2"/>
  <c r="BA72" i="2"/>
  <c r="BA71" i="2"/>
  <c r="BA70" i="2"/>
  <c r="BA69" i="2"/>
  <c r="BA68" i="2"/>
  <c r="BA67" i="2"/>
  <c r="BA66" i="2"/>
  <c r="BA65" i="2"/>
  <c r="BA64" i="2"/>
  <c r="BA63" i="2"/>
  <c r="BA62" i="2"/>
  <c r="BA61" i="2"/>
  <c r="BA60" i="2"/>
  <c r="BA59" i="2"/>
  <c r="BA58" i="2"/>
  <c r="BA57" i="2"/>
  <c r="BA56" i="2"/>
  <c r="BA55" i="2"/>
  <c r="BA54" i="2"/>
  <c r="BA53" i="2"/>
  <c r="BA52" i="2"/>
  <c r="BA51" i="2"/>
  <c r="BA50" i="2"/>
  <c r="BA49" i="2"/>
  <c r="BA48" i="2"/>
  <c r="BA47" i="2"/>
  <c r="BA46" i="2"/>
  <c r="AZ37" i="2"/>
  <c r="AY37" i="2"/>
  <c r="AX37" i="2"/>
  <c r="BA36" i="2"/>
  <c r="BA35" i="2"/>
  <c r="BA34" i="2"/>
  <c r="BA33" i="2"/>
  <c r="BA32" i="2"/>
  <c r="BA31" i="2"/>
  <c r="BA30" i="2"/>
  <c r="BA29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11" i="2"/>
  <c r="BA10" i="2"/>
  <c r="BA9" i="2"/>
  <c r="BA8" i="2"/>
  <c r="BA7" i="2"/>
  <c r="BA6" i="2"/>
  <c r="AP77" i="2"/>
  <c r="AO77" i="2"/>
  <c r="AN77" i="2"/>
  <c r="AQ76" i="2"/>
  <c r="AQ75" i="2"/>
  <c r="AQ74" i="2"/>
  <c r="AQ73" i="2"/>
  <c r="AQ72" i="2"/>
  <c r="AQ71" i="2"/>
  <c r="AQ70" i="2"/>
  <c r="AQ69" i="2"/>
  <c r="AQ68" i="2"/>
  <c r="AQ67" i="2"/>
  <c r="AQ66" i="2"/>
  <c r="AQ65" i="2"/>
  <c r="AQ64" i="2"/>
  <c r="AQ63" i="2"/>
  <c r="AQ62" i="2"/>
  <c r="AQ61" i="2"/>
  <c r="AQ60" i="2"/>
  <c r="AQ59" i="2"/>
  <c r="AQ58" i="2"/>
  <c r="AQ57" i="2"/>
  <c r="AQ56" i="2"/>
  <c r="AQ55" i="2"/>
  <c r="AQ54" i="2"/>
  <c r="AQ53" i="2"/>
  <c r="AQ52" i="2"/>
  <c r="AQ51" i="2"/>
  <c r="AQ50" i="2"/>
  <c r="AQ49" i="2"/>
  <c r="AQ48" i="2"/>
  <c r="AQ47" i="2"/>
  <c r="AQ46" i="2"/>
  <c r="AP37" i="2"/>
  <c r="AO37" i="2"/>
  <c r="AN37" i="2"/>
  <c r="AQ36" i="2"/>
  <c r="AQ35" i="2"/>
  <c r="AQ34" i="2"/>
  <c r="AQ33" i="2"/>
  <c r="AQ32" i="2"/>
  <c r="AQ31" i="2"/>
  <c r="AQ30" i="2"/>
  <c r="AQ29" i="2"/>
  <c r="AQ28" i="2"/>
  <c r="AQ27" i="2"/>
  <c r="AQ26" i="2"/>
  <c r="AQ25" i="2"/>
  <c r="AQ24" i="2"/>
  <c r="AQ23" i="2"/>
  <c r="AQ22" i="2"/>
  <c r="AQ21" i="2"/>
  <c r="AQ20" i="2"/>
  <c r="AQ19" i="2"/>
  <c r="AQ18" i="2"/>
  <c r="AQ17" i="2"/>
  <c r="AQ16" i="2"/>
  <c r="AQ15" i="2"/>
  <c r="AQ14" i="2"/>
  <c r="AQ13" i="2"/>
  <c r="AQ12" i="2"/>
  <c r="AQ11" i="2"/>
  <c r="AQ10" i="2"/>
  <c r="AQ9" i="2"/>
  <c r="AQ8" i="2"/>
  <c r="AQ7" i="2"/>
  <c r="AQ6" i="2"/>
  <c r="AF6" i="2"/>
  <c r="AE77" i="2"/>
  <c r="AD77" i="2"/>
  <c r="AC77" i="2"/>
  <c r="AF76" i="2"/>
  <c r="AF75" i="2"/>
  <c r="AF74" i="2"/>
  <c r="AF73" i="2"/>
  <c r="AF72" i="2"/>
  <c r="AF71" i="2"/>
  <c r="AF70" i="2"/>
  <c r="AF69" i="2"/>
  <c r="AF68" i="2"/>
  <c r="AF67" i="2"/>
  <c r="AF66" i="2"/>
  <c r="AF65" i="2"/>
  <c r="AF64" i="2"/>
  <c r="AF63" i="2"/>
  <c r="AF62" i="2"/>
  <c r="AF61" i="2"/>
  <c r="AF60" i="2"/>
  <c r="AF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E37" i="2"/>
  <c r="AD37" i="2"/>
  <c r="AC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U74" i="2"/>
  <c r="U9" i="2"/>
  <c r="T77" i="2"/>
  <c r="S77" i="2"/>
  <c r="R77" i="2"/>
  <c r="U76" i="2"/>
  <c r="U75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T37" i="2"/>
  <c r="S37" i="2"/>
  <c r="R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8" i="2"/>
  <c r="U7" i="2"/>
  <c r="U6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J77" i="2"/>
  <c r="I77" i="2"/>
  <c r="H77" i="2"/>
  <c r="J37" i="2"/>
  <c r="I37" i="2"/>
  <c r="H37" i="2"/>
  <c r="ET6" i="1"/>
  <c r="ES75" i="1"/>
  <c r="ER75" i="1"/>
  <c r="EQ75" i="1"/>
  <c r="ET74" i="1"/>
  <c r="ET73" i="1"/>
  <c r="ET72" i="1"/>
  <c r="ET71" i="1"/>
  <c r="ET70" i="1"/>
  <c r="ET69" i="1"/>
  <c r="ET68" i="1"/>
  <c r="ET67" i="1"/>
  <c r="ET66" i="1"/>
  <c r="ET65" i="1"/>
  <c r="ET64" i="1"/>
  <c r="ET63" i="1"/>
  <c r="ET62" i="1"/>
  <c r="ET61" i="1"/>
  <c r="ET60" i="1"/>
  <c r="ET59" i="1"/>
  <c r="ET58" i="1"/>
  <c r="ET57" i="1"/>
  <c r="ET56" i="1"/>
  <c r="ET55" i="1"/>
  <c r="ET54" i="1"/>
  <c r="ET53" i="1"/>
  <c r="ET52" i="1"/>
  <c r="ET51" i="1"/>
  <c r="ET50" i="1"/>
  <c r="ET49" i="1"/>
  <c r="ET48" i="1"/>
  <c r="ET47" i="1"/>
  <c r="ET46" i="1"/>
  <c r="ET45" i="1"/>
  <c r="ET44" i="1"/>
  <c r="ES37" i="1"/>
  <c r="ER37" i="1"/>
  <c r="EQ37" i="1"/>
  <c r="ET36" i="1"/>
  <c r="ET35" i="1"/>
  <c r="ET34" i="1"/>
  <c r="ET33" i="1"/>
  <c r="ET32" i="1"/>
  <c r="ET31" i="1"/>
  <c r="ET30" i="1"/>
  <c r="ET29" i="1"/>
  <c r="ET28" i="1"/>
  <c r="ET27" i="1"/>
  <c r="ET26" i="1"/>
  <c r="ET25" i="1"/>
  <c r="ET24" i="1"/>
  <c r="ET23" i="1"/>
  <c r="ET22" i="1"/>
  <c r="ET21" i="1"/>
  <c r="ET20" i="1"/>
  <c r="ET19" i="1"/>
  <c r="ET18" i="1"/>
  <c r="ET17" i="1"/>
  <c r="ET16" i="1"/>
  <c r="ET15" i="1"/>
  <c r="ET14" i="1"/>
  <c r="ET13" i="1"/>
  <c r="ET12" i="1"/>
  <c r="ET11" i="1"/>
  <c r="ET10" i="1"/>
  <c r="ET9" i="1"/>
  <c r="ET8" i="1"/>
  <c r="ET7" i="1"/>
  <c r="EJ75" i="1"/>
  <c r="EI75" i="1"/>
  <c r="EH75" i="1"/>
  <c r="EK74" i="1"/>
  <c r="EK73" i="1"/>
  <c r="EK72" i="1"/>
  <c r="EK71" i="1"/>
  <c r="EK70" i="1"/>
  <c r="EK69" i="1"/>
  <c r="EK68" i="1"/>
  <c r="EK67" i="1"/>
  <c r="EK66" i="1"/>
  <c r="EK65" i="1"/>
  <c r="EK64" i="1"/>
  <c r="EK63" i="1"/>
  <c r="EK62" i="1"/>
  <c r="EK61" i="1"/>
  <c r="EK60" i="1"/>
  <c r="EK59" i="1"/>
  <c r="EK58" i="1"/>
  <c r="EK57" i="1"/>
  <c r="EK56" i="1"/>
  <c r="EK55" i="1"/>
  <c r="EK54" i="1"/>
  <c r="EK53" i="1"/>
  <c r="EK52" i="1"/>
  <c r="EK51" i="1"/>
  <c r="EK50" i="1"/>
  <c r="EK49" i="1"/>
  <c r="EK48" i="1"/>
  <c r="EK47" i="1"/>
  <c r="EK46" i="1"/>
  <c r="EK45" i="1"/>
  <c r="EK44" i="1"/>
  <c r="EJ37" i="1"/>
  <c r="EI37" i="1"/>
  <c r="EH37" i="1"/>
  <c r="EK36" i="1"/>
  <c r="EK35" i="1"/>
  <c r="EK34" i="1"/>
  <c r="EK33" i="1"/>
  <c r="EK32" i="1"/>
  <c r="EK31" i="1"/>
  <c r="EK30" i="1"/>
  <c r="EK29" i="1"/>
  <c r="EK28" i="1"/>
  <c r="EK27" i="1"/>
  <c r="EK26" i="1"/>
  <c r="EK25" i="1"/>
  <c r="EK24" i="1"/>
  <c r="EK23" i="1"/>
  <c r="EK22" i="1"/>
  <c r="EK21" i="1"/>
  <c r="EK20" i="1"/>
  <c r="EK19" i="1"/>
  <c r="EK18" i="1"/>
  <c r="EK17" i="1"/>
  <c r="EK16" i="1"/>
  <c r="EK15" i="1"/>
  <c r="EK14" i="1"/>
  <c r="EK13" i="1"/>
  <c r="EK12" i="1"/>
  <c r="EK11" i="1"/>
  <c r="EK10" i="1"/>
  <c r="EK9" i="1"/>
  <c r="EK8" i="1"/>
  <c r="EK7" i="1"/>
  <c r="EK6" i="1"/>
  <c r="EA75" i="1"/>
  <c r="DZ75" i="1"/>
  <c r="DY75" i="1"/>
  <c r="EB74" i="1"/>
  <c r="EB73" i="1"/>
  <c r="EB72" i="1"/>
  <c r="EB71" i="1"/>
  <c r="EB70" i="1"/>
  <c r="EB69" i="1"/>
  <c r="EB68" i="1"/>
  <c r="EB67" i="1"/>
  <c r="EB66" i="1"/>
  <c r="EB65" i="1"/>
  <c r="EB64" i="1"/>
  <c r="EB63" i="1"/>
  <c r="EB62" i="1"/>
  <c r="EB61" i="1"/>
  <c r="EB60" i="1"/>
  <c r="EB59" i="1"/>
  <c r="EB58" i="1"/>
  <c r="EB57" i="1"/>
  <c r="EB56" i="1"/>
  <c r="EB55" i="1"/>
  <c r="EB54" i="1"/>
  <c r="EB53" i="1"/>
  <c r="EB52" i="1"/>
  <c r="EB51" i="1"/>
  <c r="EB50" i="1"/>
  <c r="EB49" i="1"/>
  <c r="EB48" i="1"/>
  <c r="EB47" i="1"/>
  <c r="EB46" i="1"/>
  <c r="EB45" i="1"/>
  <c r="EB44" i="1"/>
  <c r="EA37" i="1"/>
  <c r="DZ37" i="1"/>
  <c r="DY37" i="1"/>
  <c r="EB36" i="1"/>
  <c r="EB35" i="1"/>
  <c r="EB34" i="1"/>
  <c r="EB33" i="1"/>
  <c r="EB32" i="1"/>
  <c r="EB31" i="1"/>
  <c r="EB30" i="1"/>
  <c r="EB29" i="1"/>
  <c r="EB28" i="1"/>
  <c r="EB27" i="1"/>
  <c r="EB26" i="1"/>
  <c r="EB25" i="1"/>
  <c r="EB24" i="1"/>
  <c r="EB23" i="1"/>
  <c r="EB22" i="1"/>
  <c r="EB21" i="1"/>
  <c r="EB20" i="1"/>
  <c r="EB19" i="1"/>
  <c r="EB18" i="1"/>
  <c r="EB17" i="1"/>
  <c r="EB16" i="1"/>
  <c r="EB15" i="1"/>
  <c r="EB14" i="1"/>
  <c r="EB13" i="1"/>
  <c r="EB12" i="1"/>
  <c r="EB11" i="1"/>
  <c r="EB10" i="1"/>
  <c r="EB9" i="1"/>
  <c r="EB8" i="1"/>
  <c r="EB7" i="1"/>
  <c r="EB6" i="1"/>
  <c r="DS6" i="1"/>
  <c r="DJ6" i="1"/>
  <c r="DR75" i="1"/>
  <c r="DQ75" i="1"/>
  <c r="DP75" i="1"/>
  <c r="DS74" i="1"/>
  <c r="DS73" i="1"/>
  <c r="DS72" i="1"/>
  <c r="DS71" i="1"/>
  <c r="DS70" i="1"/>
  <c r="DS69" i="1"/>
  <c r="DS68" i="1"/>
  <c r="DS67" i="1"/>
  <c r="DS66" i="1"/>
  <c r="DS65" i="1"/>
  <c r="DS64" i="1"/>
  <c r="DS63" i="1"/>
  <c r="DS62" i="1"/>
  <c r="DS61" i="1"/>
  <c r="DS60" i="1"/>
  <c r="DS59" i="1"/>
  <c r="DS58" i="1"/>
  <c r="DS57" i="1"/>
  <c r="DS56" i="1"/>
  <c r="DS55" i="1"/>
  <c r="DS54" i="1"/>
  <c r="DS53" i="1"/>
  <c r="DS52" i="1"/>
  <c r="DS51" i="1"/>
  <c r="DS50" i="1"/>
  <c r="DS49" i="1"/>
  <c r="DS48" i="1"/>
  <c r="DS47" i="1"/>
  <c r="DS46" i="1"/>
  <c r="DS45" i="1"/>
  <c r="DS44" i="1"/>
  <c r="DR37" i="1"/>
  <c r="DQ37" i="1"/>
  <c r="DP37" i="1"/>
  <c r="DS36" i="1"/>
  <c r="DS35" i="1"/>
  <c r="DS34" i="1"/>
  <c r="DS33" i="1"/>
  <c r="DS32" i="1"/>
  <c r="DS31" i="1"/>
  <c r="DS30" i="1"/>
  <c r="DS29" i="1"/>
  <c r="DS28" i="1"/>
  <c r="DS27" i="1"/>
  <c r="DS26" i="1"/>
  <c r="DS25" i="1"/>
  <c r="DS24" i="1"/>
  <c r="DS23" i="1"/>
  <c r="DS22" i="1"/>
  <c r="DS21" i="1"/>
  <c r="DS20" i="1"/>
  <c r="DS19" i="1"/>
  <c r="DS18" i="1"/>
  <c r="DS17" i="1"/>
  <c r="DS16" i="1"/>
  <c r="DS15" i="1"/>
  <c r="DS14" i="1"/>
  <c r="DS13" i="1"/>
  <c r="DS12" i="1"/>
  <c r="DS11" i="1"/>
  <c r="DS10" i="1"/>
  <c r="DS9" i="1"/>
  <c r="DS8" i="1"/>
  <c r="DS7" i="1"/>
  <c r="DI75" i="1"/>
  <c r="DH75" i="1"/>
  <c r="DG75" i="1"/>
  <c r="DJ74" i="1"/>
  <c r="DJ73" i="1"/>
  <c r="DJ72" i="1"/>
  <c r="DJ71" i="1"/>
  <c r="DJ70" i="1"/>
  <c r="DJ69" i="1"/>
  <c r="DJ68" i="1"/>
  <c r="DJ67" i="1"/>
  <c r="DJ66" i="1"/>
  <c r="DJ65" i="1"/>
  <c r="DJ64" i="1"/>
  <c r="DJ63" i="1"/>
  <c r="DJ62" i="1"/>
  <c r="DJ61" i="1"/>
  <c r="DJ60" i="1"/>
  <c r="DJ59" i="1"/>
  <c r="DJ58" i="1"/>
  <c r="DJ57" i="1"/>
  <c r="DJ56" i="1"/>
  <c r="DJ55" i="1"/>
  <c r="DJ54" i="1"/>
  <c r="DJ53" i="1"/>
  <c r="DJ52" i="1"/>
  <c r="DJ51" i="1"/>
  <c r="DJ50" i="1"/>
  <c r="DJ49" i="1"/>
  <c r="DJ48" i="1"/>
  <c r="DJ47" i="1"/>
  <c r="DJ46" i="1"/>
  <c r="DJ45" i="1"/>
  <c r="DJ44" i="1"/>
  <c r="DI37" i="1"/>
  <c r="DH37" i="1"/>
  <c r="DG37" i="1"/>
  <c r="DJ36" i="1"/>
  <c r="DJ35" i="1"/>
  <c r="DJ34" i="1"/>
  <c r="DJ33" i="1"/>
  <c r="DJ32" i="1"/>
  <c r="DJ31" i="1"/>
  <c r="DJ30" i="1"/>
  <c r="DJ29" i="1"/>
  <c r="DJ28" i="1"/>
  <c r="DJ27" i="1"/>
  <c r="DJ26" i="1"/>
  <c r="DJ25" i="1"/>
  <c r="DJ24" i="1"/>
  <c r="DJ23" i="1"/>
  <c r="DJ22" i="1"/>
  <c r="DJ21" i="1"/>
  <c r="DJ20" i="1"/>
  <c r="DJ19" i="1"/>
  <c r="DJ18" i="1"/>
  <c r="DJ17" i="1"/>
  <c r="DJ16" i="1"/>
  <c r="DJ15" i="1"/>
  <c r="DJ14" i="1"/>
  <c r="DJ13" i="1"/>
  <c r="DJ12" i="1"/>
  <c r="DJ11" i="1"/>
  <c r="DJ10" i="1"/>
  <c r="DJ9" i="1"/>
  <c r="DJ8" i="1"/>
  <c r="DJ7" i="1"/>
  <c r="CO44" i="1"/>
  <c r="CZ36" i="1"/>
  <c r="CZ35" i="1"/>
  <c r="CZ34" i="1"/>
  <c r="CZ33" i="1"/>
  <c r="CZ32" i="1"/>
  <c r="CZ31" i="1"/>
  <c r="CZ30" i="1"/>
  <c r="CZ29" i="1"/>
  <c r="CZ28" i="1"/>
  <c r="CZ27" i="1"/>
  <c r="CZ26" i="1"/>
  <c r="CZ25" i="1"/>
  <c r="CZ24" i="1"/>
  <c r="CZ23" i="1"/>
  <c r="CZ22" i="1"/>
  <c r="CZ21" i="1"/>
  <c r="CZ20" i="1"/>
  <c r="CZ19" i="1"/>
  <c r="CZ18" i="1"/>
  <c r="CZ17" i="1"/>
  <c r="CZ16" i="1"/>
  <c r="CZ15" i="1"/>
  <c r="CZ14" i="1"/>
  <c r="CZ13" i="1"/>
  <c r="CZ12" i="1"/>
  <c r="CZ11" i="1"/>
  <c r="CZ10" i="1"/>
  <c r="CZ9" i="1"/>
  <c r="CZ8" i="1"/>
  <c r="CZ7" i="1"/>
  <c r="CZ6" i="1"/>
  <c r="CZ74" i="1"/>
  <c r="CZ73" i="1"/>
  <c r="CZ72" i="1"/>
  <c r="CZ71" i="1"/>
  <c r="CZ70" i="1"/>
  <c r="CZ69" i="1"/>
  <c r="CZ68" i="1"/>
  <c r="CZ67" i="1"/>
  <c r="CZ66" i="1"/>
  <c r="CZ65" i="1"/>
  <c r="CZ64" i="1"/>
  <c r="CZ63" i="1"/>
  <c r="CZ62" i="1"/>
  <c r="CZ61" i="1"/>
  <c r="CZ60" i="1"/>
  <c r="CZ59" i="1"/>
  <c r="CZ58" i="1"/>
  <c r="CZ57" i="1"/>
  <c r="CZ56" i="1"/>
  <c r="CZ55" i="1"/>
  <c r="CZ54" i="1"/>
  <c r="CZ53" i="1"/>
  <c r="CZ52" i="1"/>
  <c r="CZ51" i="1"/>
  <c r="CZ50" i="1"/>
  <c r="CZ49" i="1"/>
  <c r="CZ45" i="1"/>
  <c r="CZ44" i="1"/>
  <c r="CY75" i="1"/>
  <c r="CX75" i="1"/>
  <c r="CY37" i="1"/>
  <c r="CX37" i="1"/>
  <c r="CN75" i="1"/>
  <c r="CM75" i="1"/>
  <c r="CL75" i="1"/>
  <c r="CO74" i="1"/>
  <c r="CO73" i="1"/>
  <c r="CO72" i="1"/>
  <c r="CO71" i="1"/>
  <c r="CO70" i="1"/>
  <c r="CO69" i="1"/>
  <c r="CO68" i="1"/>
  <c r="CO67" i="1"/>
  <c r="CO66" i="1"/>
  <c r="CO65" i="1"/>
  <c r="CO64" i="1"/>
  <c r="CO63" i="1"/>
  <c r="CO62" i="1"/>
  <c r="CO61" i="1"/>
  <c r="CO60" i="1"/>
  <c r="CO59" i="1"/>
  <c r="CO58" i="1"/>
  <c r="CO57" i="1"/>
  <c r="CO56" i="1"/>
  <c r="CO55" i="1"/>
  <c r="CO54" i="1"/>
  <c r="CO53" i="1"/>
  <c r="CO52" i="1"/>
  <c r="CO51" i="1"/>
  <c r="CO50" i="1"/>
  <c r="CO49" i="1"/>
  <c r="CO48" i="1"/>
  <c r="CO47" i="1"/>
  <c r="CO46" i="1"/>
  <c r="CO45" i="1"/>
  <c r="CN37" i="1"/>
  <c r="CM37" i="1"/>
  <c r="CL37" i="1"/>
  <c r="CO36" i="1"/>
  <c r="CO35" i="1"/>
  <c r="CO34" i="1"/>
  <c r="CO33" i="1"/>
  <c r="CO32" i="1"/>
  <c r="CO31" i="1"/>
  <c r="CO30" i="1"/>
  <c r="CO29" i="1"/>
  <c r="CO28" i="1"/>
  <c r="CO27" i="1"/>
  <c r="CO26" i="1"/>
  <c r="CO25" i="1"/>
  <c r="CO24" i="1"/>
  <c r="CO23" i="1"/>
  <c r="CO22" i="1"/>
  <c r="CO21" i="1"/>
  <c r="CO20" i="1"/>
  <c r="CO19" i="1"/>
  <c r="CO18" i="1"/>
  <c r="CO17" i="1"/>
  <c r="CO16" i="1"/>
  <c r="CO15" i="1"/>
  <c r="CO14" i="1"/>
  <c r="CO13" i="1"/>
  <c r="CO12" i="1"/>
  <c r="CO11" i="1"/>
  <c r="CO10" i="1"/>
  <c r="CO9" i="1"/>
  <c r="CO8" i="1"/>
  <c r="CO7" i="1"/>
  <c r="CO6" i="1"/>
  <c r="CE44" i="1"/>
  <c r="CD75" i="1"/>
  <c r="CC75" i="1"/>
  <c r="CB75" i="1"/>
  <c r="CE74" i="1"/>
  <c r="CE73" i="1"/>
  <c r="CE72" i="1"/>
  <c r="CE71" i="1"/>
  <c r="CE70" i="1"/>
  <c r="CE69" i="1"/>
  <c r="CE68" i="1"/>
  <c r="CE67" i="1"/>
  <c r="CE66" i="1"/>
  <c r="CE65" i="1"/>
  <c r="CE64" i="1"/>
  <c r="CE63" i="1"/>
  <c r="CE62" i="1"/>
  <c r="CE61" i="1"/>
  <c r="CE60" i="1"/>
  <c r="CE59" i="1"/>
  <c r="CE58" i="1"/>
  <c r="CE57" i="1"/>
  <c r="CE56" i="1"/>
  <c r="CE55" i="1"/>
  <c r="CE54" i="1"/>
  <c r="CE53" i="1"/>
  <c r="CE52" i="1"/>
  <c r="CE51" i="1"/>
  <c r="CE50" i="1"/>
  <c r="CE49" i="1"/>
  <c r="CE48" i="1"/>
  <c r="CE47" i="1"/>
  <c r="CE46" i="1"/>
  <c r="CE45" i="1"/>
  <c r="CD37" i="1"/>
  <c r="CC37" i="1"/>
  <c r="CB37" i="1"/>
  <c r="CE36" i="1"/>
  <c r="CE35" i="1"/>
  <c r="CE34" i="1"/>
  <c r="CE33" i="1"/>
  <c r="CE32" i="1"/>
  <c r="CE31" i="1"/>
  <c r="CE30" i="1"/>
  <c r="CE29" i="1"/>
  <c r="CE28" i="1"/>
  <c r="CE27" i="1"/>
  <c r="CE26" i="1"/>
  <c r="CE25" i="1"/>
  <c r="CE24" i="1"/>
  <c r="CE23" i="1"/>
  <c r="CE22" i="1"/>
  <c r="CE21" i="1"/>
  <c r="CE20" i="1"/>
  <c r="CE19" i="1"/>
  <c r="CE18" i="1"/>
  <c r="CE17" i="1"/>
  <c r="CE16" i="1"/>
  <c r="CE15" i="1"/>
  <c r="CE14" i="1"/>
  <c r="CE13" i="1"/>
  <c r="CE12" i="1"/>
  <c r="CE11" i="1"/>
  <c r="CE10" i="1"/>
  <c r="CE9" i="1"/>
  <c r="CE8" i="1"/>
  <c r="CE7" i="1"/>
  <c r="CE6" i="1"/>
  <c r="BU74" i="1"/>
  <c r="BU73" i="1"/>
  <c r="BU72" i="1"/>
  <c r="BU71" i="1"/>
  <c r="BU70" i="1"/>
  <c r="BU69" i="1"/>
  <c r="BU68" i="1"/>
  <c r="BU67" i="1"/>
  <c r="BU66" i="1"/>
  <c r="BU65" i="1"/>
  <c r="BU64" i="1"/>
  <c r="BU63" i="1"/>
  <c r="BU62" i="1"/>
  <c r="BU61" i="1"/>
  <c r="BU60" i="1"/>
  <c r="BU59" i="1"/>
  <c r="BU58" i="1"/>
  <c r="BU57" i="1"/>
  <c r="BU56" i="1"/>
  <c r="BU55" i="1"/>
  <c r="BU54" i="1"/>
  <c r="BU53" i="1"/>
  <c r="BU52" i="1"/>
  <c r="BU51" i="1"/>
  <c r="BU50" i="1"/>
  <c r="BU49" i="1"/>
  <c r="BU48" i="1"/>
  <c r="BU47" i="1"/>
  <c r="BU46" i="1"/>
  <c r="BU45" i="1"/>
  <c r="BU44" i="1"/>
  <c r="BU35" i="1"/>
  <c r="BU36" i="1"/>
  <c r="BU34" i="1"/>
  <c r="BU33" i="1"/>
  <c r="BU32" i="1"/>
  <c r="BU31" i="1"/>
  <c r="BU30" i="1"/>
  <c r="BU29" i="1"/>
  <c r="BU28" i="1"/>
  <c r="BU27" i="1"/>
  <c r="BU26" i="1"/>
  <c r="BU25" i="1"/>
  <c r="BU24" i="1"/>
  <c r="BU23" i="1"/>
  <c r="BU22" i="1"/>
  <c r="BU21" i="1"/>
  <c r="BU20" i="1"/>
  <c r="BU19" i="1"/>
  <c r="BU18" i="1"/>
  <c r="BU17" i="1"/>
  <c r="BU16" i="1"/>
  <c r="BU15" i="1"/>
  <c r="BU14" i="1"/>
  <c r="BU13" i="1"/>
  <c r="BU12" i="1"/>
  <c r="BU11" i="1"/>
  <c r="BU10" i="1"/>
  <c r="BU9" i="1"/>
  <c r="BU8" i="1"/>
  <c r="BU7" i="1"/>
  <c r="BU6" i="1"/>
  <c r="BT75" i="1"/>
  <c r="BS75" i="1"/>
  <c r="BR75" i="1"/>
  <c r="BT37" i="1"/>
  <c r="BS37" i="1"/>
  <c r="BR37" i="1"/>
  <c r="BI75" i="1"/>
  <c r="BH75" i="1"/>
  <c r="BG75" i="1"/>
  <c r="BJ74" i="1"/>
  <c r="BJ73" i="1"/>
  <c r="BJ72" i="1"/>
  <c r="BJ71" i="1"/>
  <c r="BJ70" i="1"/>
  <c r="BJ69" i="1"/>
  <c r="BJ68" i="1"/>
  <c r="BJ67" i="1"/>
  <c r="BJ66" i="1"/>
  <c r="BJ65" i="1"/>
  <c r="BJ64" i="1"/>
  <c r="BJ63" i="1"/>
  <c r="BJ62" i="1"/>
  <c r="BJ61" i="1"/>
  <c r="BJ60" i="1"/>
  <c r="BJ59" i="1"/>
  <c r="BJ58" i="1"/>
  <c r="BJ57" i="1"/>
  <c r="BJ56" i="1"/>
  <c r="BJ55" i="1"/>
  <c r="BJ54" i="1"/>
  <c r="BJ53" i="1"/>
  <c r="BJ52" i="1"/>
  <c r="BJ51" i="1"/>
  <c r="BJ50" i="1"/>
  <c r="BJ49" i="1"/>
  <c r="BJ48" i="1"/>
  <c r="BJ47" i="1"/>
  <c r="BJ46" i="1"/>
  <c r="BJ45" i="1"/>
  <c r="BJ44" i="1"/>
  <c r="BI37" i="1"/>
  <c r="BH37" i="1"/>
  <c r="BG37" i="1"/>
  <c r="BJ36" i="1"/>
  <c r="BJ35" i="1"/>
  <c r="BJ34" i="1"/>
  <c r="BJ33" i="1"/>
  <c r="BJ32" i="1"/>
  <c r="BJ31" i="1"/>
  <c r="BJ30" i="1"/>
  <c r="BJ29" i="1"/>
  <c r="BJ28" i="1"/>
  <c r="BJ27" i="1"/>
  <c r="BJ26" i="1"/>
  <c r="BJ25" i="1"/>
  <c r="BJ24" i="1"/>
  <c r="BJ23" i="1"/>
  <c r="BJ22" i="1"/>
  <c r="BJ21" i="1"/>
  <c r="BJ20" i="1"/>
  <c r="BJ19" i="1"/>
  <c r="BJ18" i="1"/>
  <c r="BJ17" i="1"/>
  <c r="BJ16" i="1"/>
  <c r="BJ15" i="1"/>
  <c r="BJ14" i="1"/>
  <c r="BJ13" i="1"/>
  <c r="BJ12" i="1"/>
  <c r="BJ11" i="1"/>
  <c r="BJ10" i="1"/>
  <c r="BJ9" i="1"/>
  <c r="BJ8" i="1"/>
  <c r="BJ7" i="1"/>
  <c r="BJ6" i="1"/>
  <c r="AX75" i="1"/>
  <c r="AW75" i="1"/>
  <c r="AV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X37" i="1"/>
  <c r="AW37" i="1"/>
  <c r="AV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M75" i="1"/>
  <c r="AL75" i="1"/>
  <c r="AK75" i="1"/>
  <c r="AN74" i="1"/>
  <c r="AN73" i="1"/>
  <c r="AN72" i="1"/>
  <c r="AN71" i="1"/>
  <c r="AN70" i="1"/>
  <c r="AN69" i="1"/>
  <c r="AN68" i="1"/>
  <c r="AN67" i="1"/>
  <c r="AN66" i="1"/>
  <c r="AN65" i="1"/>
  <c r="AN64" i="1"/>
  <c r="AN63" i="1"/>
  <c r="AN62" i="1"/>
  <c r="AN61" i="1"/>
  <c r="AN60" i="1"/>
  <c r="AN59" i="1"/>
  <c r="AN58" i="1"/>
  <c r="AN57" i="1"/>
  <c r="AN56" i="1"/>
  <c r="AN55" i="1"/>
  <c r="AN54" i="1"/>
  <c r="AN53" i="1"/>
  <c r="AN52" i="1"/>
  <c r="AN51" i="1"/>
  <c r="AN50" i="1"/>
  <c r="AN49" i="1"/>
  <c r="AN48" i="1"/>
  <c r="AN47" i="1"/>
  <c r="AN46" i="1"/>
  <c r="AN45" i="1"/>
  <c r="AN44" i="1"/>
  <c r="AM37" i="1"/>
  <c r="AL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N9" i="1"/>
  <c r="AN8" i="1"/>
  <c r="AN7" i="1"/>
  <c r="AN6" i="1"/>
  <c r="AC75" i="1"/>
  <c r="AB75" i="1"/>
  <c r="AA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C37" i="1"/>
  <c r="AB37" i="1"/>
  <c r="AA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T6" i="1"/>
  <c r="S75" i="1"/>
  <c r="R75" i="1"/>
  <c r="Q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S37" i="1"/>
  <c r="R37" i="1"/>
  <c r="Q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J44" i="1"/>
  <c r="I75" i="1"/>
  <c r="H75" i="1"/>
  <c r="G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14" i="1"/>
  <c r="G37" i="1"/>
  <c r="H37" i="1"/>
  <c r="I37" i="1"/>
  <c r="E37" i="1"/>
  <c r="J7" i="1"/>
  <c r="J8" i="1"/>
  <c r="J9" i="1"/>
  <c r="J10" i="1"/>
  <c r="J11" i="1"/>
  <c r="J12" i="1"/>
  <c r="J13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6" i="1"/>
  <c r="FH77" i="2" l="1"/>
  <c r="EW77" i="2"/>
  <c r="EW37" i="2"/>
  <c r="ET37" i="1"/>
  <c r="EK37" i="1"/>
  <c r="EB37" i="1"/>
  <c r="V74" i="3"/>
  <c r="BC36" i="3"/>
  <c r="AR36" i="3"/>
  <c r="V36" i="3"/>
  <c r="AG36" i="3"/>
  <c r="K74" i="3"/>
  <c r="K36" i="3"/>
  <c r="EL37" i="2"/>
  <c r="EL77" i="2"/>
  <c r="EA37" i="2"/>
  <c r="EA77" i="2"/>
  <c r="DP37" i="2"/>
  <c r="DP77" i="2"/>
  <c r="DD37" i="2"/>
  <c r="DD77" i="2"/>
  <c r="CS37" i="2"/>
  <c r="CS77" i="2"/>
  <c r="CH37" i="2"/>
  <c r="CH77" i="2"/>
  <c r="BW77" i="2"/>
  <c r="BW37" i="2"/>
  <c r="BK37" i="2"/>
  <c r="BK77" i="2"/>
  <c r="BA37" i="2"/>
  <c r="BA77" i="2"/>
  <c r="AQ37" i="2"/>
  <c r="AF37" i="2"/>
  <c r="AQ77" i="2"/>
  <c r="AF77" i="2"/>
  <c r="U77" i="2"/>
  <c r="U37" i="2"/>
  <c r="K77" i="2"/>
  <c r="K37" i="2"/>
  <c r="DJ75" i="1"/>
  <c r="ET75" i="1"/>
  <c r="EK75" i="1"/>
  <c r="EB75" i="1"/>
  <c r="DS75" i="1"/>
  <c r="BU75" i="1"/>
  <c r="DS37" i="1"/>
  <c r="DJ37" i="1"/>
  <c r="AN37" i="1"/>
  <c r="CE37" i="1"/>
  <c r="CZ75" i="1"/>
  <c r="CO75" i="1"/>
  <c r="CE75" i="1"/>
  <c r="CO37" i="1"/>
  <c r="AY37" i="1"/>
  <c r="CZ37" i="1"/>
  <c r="AN75" i="1"/>
  <c r="BJ37" i="1"/>
  <c r="BJ75" i="1"/>
  <c r="AY75" i="1"/>
  <c r="BU37" i="1"/>
  <c r="AD75" i="1"/>
  <c r="T37" i="1"/>
  <c r="J37" i="1"/>
  <c r="J75" i="1"/>
  <c r="T75" i="1"/>
  <c r="AD37" i="1"/>
  <c r="CQ74" i="4"/>
  <c r="CR74" i="4"/>
  <c r="CP74" i="4"/>
  <c r="CO74" i="4"/>
  <c r="CN74" i="4"/>
  <c r="CF74" i="4"/>
  <c r="CG74" i="4"/>
  <c r="CE74" i="4"/>
  <c r="CD74" i="4"/>
  <c r="BV74" i="4"/>
  <c r="BW74" i="4"/>
  <c r="BU74" i="4"/>
  <c r="BT74" i="4"/>
  <c r="BL74" i="4"/>
  <c r="BM74" i="4"/>
  <c r="BK74" i="4"/>
  <c r="BJ74" i="4"/>
  <c r="BB74" i="4"/>
  <c r="BC74" i="4"/>
  <c r="BA74" i="4"/>
  <c r="AZ74" i="4"/>
  <c r="AR74" i="4"/>
  <c r="AS74" i="4"/>
  <c r="AQ74" i="4"/>
  <c r="AP74" i="4"/>
  <c r="AH74" i="4"/>
  <c r="AI74" i="4"/>
  <c r="AG74" i="4"/>
  <c r="AF74" i="4"/>
  <c r="X74" i="4"/>
  <c r="Y74" i="4"/>
  <c r="W74" i="4"/>
  <c r="V74" i="4"/>
  <c r="N74" i="4"/>
  <c r="O74" i="4"/>
  <c r="M74" i="4"/>
  <c r="L74" i="4"/>
  <c r="D74" i="4"/>
  <c r="E74" i="4"/>
  <c r="C74" i="4"/>
  <c r="B74" i="4"/>
  <c r="ER74" i="3"/>
  <c r="ES74" i="3"/>
  <c r="EQ74" i="3"/>
  <c r="EP74" i="3"/>
  <c r="EG74" i="3"/>
  <c r="EF74" i="3"/>
  <c r="EE74" i="3"/>
  <c r="DV74" i="3"/>
  <c r="DW74" i="3"/>
  <c r="DU74" i="3"/>
  <c r="DT74" i="3"/>
  <c r="DK74" i="3"/>
  <c r="DL74" i="3"/>
  <c r="DJ74" i="3"/>
  <c r="DI74" i="3"/>
  <c r="CZ74" i="3"/>
  <c r="DA74" i="3"/>
  <c r="CY74" i="3"/>
  <c r="CX74" i="3"/>
  <c r="CO74" i="3"/>
  <c r="CP74" i="3"/>
  <c r="CN74" i="3"/>
  <c r="CM74" i="3"/>
  <c r="CD74" i="3"/>
  <c r="CE74" i="3"/>
  <c r="CC74" i="3"/>
  <c r="CB74" i="3"/>
  <c r="BS74" i="3"/>
  <c r="BT74" i="3"/>
  <c r="BR74" i="3"/>
  <c r="BQ74" i="3"/>
  <c r="BH74" i="3"/>
  <c r="BI74" i="3"/>
  <c r="BG74" i="3"/>
  <c r="BF74" i="3"/>
  <c r="AW74" i="3"/>
  <c r="AX74" i="3"/>
  <c r="AV74" i="3"/>
  <c r="AU74" i="3"/>
  <c r="AM74" i="3"/>
  <c r="AK74" i="3"/>
  <c r="AJ74" i="3"/>
  <c r="AB74" i="3"/>
  <c r="Z74" i="3"/>
  <c r="Y74" i="3"/>
  <c r="P74" i="3"/>
  <c r="O74" i="3"/>
  <c r="N74" i="3"/>
  <c r="E74" i="3"/>
  <c r="F74" i="3"/>
  <c r="D74" i="3"/>
  <c r="C74" i="3"/>
  <c r="B74" i="3"/>
  <c r="FC77" i="2"/>
  <c r="FA77" i="2"/>
  <c r="EZ77" i="2"/>
  <c r="ER77" i="2"/>
  <c r="EP77" i="2"/>
  <c r="EO77" i="2"/>
  <c r="EG77" i="2"/>
  <c r="EE77" i="2"/>
  <c r="ED77" i="2"/>
  <c r="DV77" i="2"/>
  <c r="DT77" i="2"/>
  <c r="DS77" i="2"/>
  <c r="DK77" i="2"/>
  <c r="DI77" i="2"/>
  <c r="DH77" i="2"/>
  <c r="CY77" i="2"/>
  <c r="CW77" i="2"/>
  <c r="CV77" i="2"/>
  <c r="CN77" i="2"/>
  <c r="CL77" i="2"/>
  <c r="CK77" i="2"/>
  <c r="CA77" i="2"/>
  <c r="BZ77" i="2"/>
  <c r="BP77" i="2"/>
  <c r="BO77" i="2"/>
  <c r="BN77" i="2"/>
  <c r="BF77" i="2"/>
  <c r="BD77" i="2"/>
  <c r="AV77" i="2"/>
  <c r="AT77" i="2"/>
  <c r="AJ77" i="2"/>
  <c r="AA77" i="2"/>
  <c r="Y77" i="2"/>
  <c r="X77" i="2"/>
  <c r="P77" i="2"/>
  <c r="N77" i="2"/>
  <c r="F77" i="2"/>
  <c r="D77" i="2"/>
  <c r="C77" i="2"/>
  <c r="EO75" i="1"/>
  <c r="EN75" i="1"/>
  <c r="EF75" i="1"/>
  <c r="EE75" i="1"/>
  <c r="DW75" i="1"/>
  <c r="DV75" i="1"/>
  <c r="DN75" i="1"/>
  <c r="DM75" i="1"/>
  <c r="DE75" i="1"/>
  <c r="DD75" i="1"/>
  <c r="DC75" i="1"/>
  <c r="CT75" i="1"/>
  <c r="CU75" i="1"/>
  <c r="CS75" i="1"/>
  <c r="CR75" i="1"/>
  <c r="CJ75" i="1"/>
  <c r="CI75" i="1"/>
  <c r="CH75" i="1"/>
  <c r="BZ75" i="1"/>
  <c r="BY75" i="1"/>
  <c r="BX75" i="1"/>
  <c r="BO75" i="1"/>
  <c r="BP75" i="1"/>
  <c r="BN75" i="1"/>
  <c r="BM75" i="1"/>
  <c r="BE75" i="1"/>
  <c r="BD75" i="1"/>
  <c r="BC75" i="1"/>
  <c r="BB75" i="1"/>
  <c r="AT75" i="1"/>
  <c r="AS75" i="1"/>
  <c r="AR75" i="1"/>
  <c r="AQ75" i="1"/>
  <c r="AI75" i="1"/>
  <c r="AH75" i="1"/>
  <c r="AG75" i="1"/>
  <c r="Y75" i="1"/>
  <c r="X75" i="1"/>
  <c r="W75" i="1"/>
  <c r="O75" i="1"/>
  <c r="N75" i="1"/>
  <c r="M75" i="1"/>
  <c r="E75" i="1"/>
  <c r="D75" i="1"/>
  <c r="C75" i="1"/>
  <c r="AH37" i="1" l="1"/>
  <c r="CQ36" i="4" l="1"/>
  <c r="CR36" i="4"/>
  <c r="CP36" i="4"/>
  <c r="CO36" i="4"/>
  <c r="CN36" i="4"/>
  <c r="CF36" i="4"/>
  <c r="CG36" i="4"/>
  <c r="CE36" i="4"/>
  <c r="CD36" i="4"/>
  <c r="BV36" i="4"/>
  <c r="BW36" i="4"/>
  <c r="BU36" i="4"/>
  <c r="BT36" i="4"/>
  <c r="BL36" i="4"/>
  <c r="BM36" i="4"/>
  <c r="BK36" i="4"/>
  <c r="BJ36" i="4"/>
  <c r="BB36" i="4"/>
  <c r="BC36" i="4"/>
  <c r="BA36" i="4"/>
  <c r="AZ36" i="4"/>
  <c r="AR36" i="4"/>
  <c r="AS36" i="4"/>
  <c r="AQ36" i="4"/>
  <c r="AP36" i="4"/>
  <c r="AH36" i="4"/>
  <c r="AI36" i="4"/>
  <c r="AG36" i="4"/>
  <c r="AF36" i="4"/>
  <c r="X36" i="4"/>
  <c r="Y36" i="4"/>
  <c r="W36" i="4"/>
  <c r="V36" i="4"/>
  <c r="N36" i="4"/>
  <c r="O36" i="4"/>
  <c r="M36" i="4"/>
  <c r="L36" i="4"/>
  <c r="D36" i="4"/>
  <c r="E36" i="4"/>
  <c r="C36" i="4"/>
  <c r="B36" i="4"/>
  <c r="ER36" i="3" l="1"/>
  <c r="ES36" i="3"/>
  <c r="EQ36" i="3"/>
  <c r="EP36" i="3"/>
  <c r="EG36" i="3"/>
  <c r="EH36" i="3"/>
  <c r="EF36" i="3"/>
  <c r="EE36" i="3"/>
  <c r="DV36" i="3"/>
  <c r="DW36" i="3"/>
  <c r="DU36" i="3"/>
  <c r="DT36" i="3"/>
  <c r="DK36" i="3"/>
  <c r="DL36" i="3"/>
  <c r="DJ36" i="3"/>
  <c r="DI36" i="3"/>
  <c r="CZ36" i="3"/>
  <c r="DA36" i="3"/>
  <c r="CY36" i="3"/>
  <c r="CX36" i="3"/>
  <c r="CO36" i="3"/>
  <c r="CP36" i="3"/>
  <c r="CN36" i="3"/>
  <c r="CM36" i="3"/>
  <c r="CD36" i="3"/>
  <c r="CE36" i="3"/>
  <c r="CC36" i="3"/>
  <c r="CB36" i="3"/>
  <c r="BS36" i="3"/>
  <c r="BT36" i="3"/>
  <c r="BR36" i="3"/>
  <c r="BQ36" i="3"/>
  <c r="BH36" i="3"/>
  <c r="BI36" i="3"/>
  <c r="BG36" i="3"/>
  <c r="BF36" i="3"/>
  <c r="AW36" i="3"/>
  <c r="AX36" i="3"/>
  <c r="AV36" i="3"/>
  <c r="AU36" i="3"/>
  <c r="AL36" i="3"/>
  <c r="AM36" i="3"/>
  <c r="AK36" i="3"/>
  <c r="AJ36" i="3"/>
  <c r="AA36" i="3"/>
  <c r="AB36" i="3"/>
  <c r="Z36" i="3"/>
  <c r="Y36" i="3"/>
  <c r="P36" i="3"/>
  <c r="Q36" i="3"/>
  <c r="O36" i="3"/>
  <c r="N36" i="3"/>
  <c r="E36" i="3"/>
  <c r="D36" i="3"/>
  <c r="C36" i="3"/>
  <c r="B36" i="3"/>
  <c r="FC37" i="2" l="1"/>
  <c r="FA37" i="2"/>
  <c r="EZ37" i="2"/>
  <c r="ER37" i="2"/>
  <c r="EP37" i="2"/>
  <c r="EO37" i="2"/>
  <c r="EG37" i="2"/>
  <c r="EE37" i="2"/>
  <c r="ED37" i="2"/>
  <c r="DV37" i="2"/>
  <c r="DT37" i="2"/>
  <c r="DS37" i="2"/>
  <c r="DK37" i="2"/>
  <c r="DI37" i="2"/>
  <c r="DH37" i="2"/>
  <c r="CY37" i="2"/>
  <c r="CW37" i="2"/>
  <c r="CV37" i="2"/>
  <c r="CN37" i="2"/>
  <c r="CL37" i="2"/>
  <c r="CK37" i="2"/>
  <c r="CA37" i="2"/>
  <c r="BZ37" i="2"/>
  <c r="BP37" i="2"/>
  <c r="BO37" i="2"/>
  <c r="BN37" i="2"/>
  <c r="BF37" i="2"/>
  <c r="BD37" i="2"/>
  <c r="AV37" i="2"/>
  <c r="AT37" i="2"/>
  <c r="AJ37" i="2"/>
  <c r="AA37" i="2"/>
  <c r="Y37" i="2"/>
  <c r="X37" i="2"/>
  <c r="P37" i="2"/>
  <c r="N37" i="2"/>
  <c r="F37" i="2"/>
  <c r="D37" i="2"/>
  <c r="C37" i="2"/>
  <c r="EO37" i="1" l="1"/>
  <c r="EN37" i="1"/>
  <c r="EF37" i="1"/>
  <c r="EE37" i="1"/>
  <c r="DW37" i="1"/>
  <c r="DV37" i="1"/>
  <c r="DN37" i="1"/>
  <c r="DM37" i="1"/>
  <c r="DE37" i="1"/>
  <c r="DD37" i="1"/>
  <c r="DC37" i="1"/>
  <c r="CU37" i="1"/>
  <c r="CS37" i="1"/>
  <c r="CR37" i="1"/>
  <c r="CJ37" i="1"/>
  <c r="CI37" i="1"/>
  <c r="CH37" i="1"/>
  <c r="BZ37" i="1"/>
  <c r="BY37" i="1"/>
  <c r="BX37" i="1"/>
  <c r="BO37" i="1"/>
  <c r="BP37" i="1"/>
  <c r="BN37" i="1"/>
  <c r="BM37" i="1"/>
  <c r="BD37" i="1"/>
  <c r="BC37" i="1"/>
  <c r="BB37" i="1"/>
  <c r="AT37" i="1"/>
  <c r="AS37" i="1"/>
  <c r="AR37" i="1"/>
  <c r="AQ37" i="1"/>
  <c r="AI37" i="1"/>
  <c r="AG37" i="1"/>
  <c r="Y37" i="1"/>
  <c r="X37" i="1"/>
  <c r="W37" i="1"/>
  <c r="O37" i="1"/>
  <c r="N37" i="1"/>
  <c r="M37" i="1"/>
  <c r="D37" i="1"/>
  <c r="C37" i="1"/>
</calcChain>
</file>

<file path=xl/sharedStrings.xml><?xml version="1.0" encoding="utf-8"?>
<sst xmlns="http://schemas.openxmlformats.org/spreadsheetml/2006/main" count="2608" uniqueCount="89">
  <si>
    <t>28. CATACAOS</t>
  </si>
  <si>
    <t>01. PUENTE PIEDRA</t>
  </si>
  <si>
    <t>04. CHILCA</t>
  </si>
  <si>
    <t>14. VIRU</t>
  </si>
  <si>
    <t>32. BRASIL</t>
  </si>
  <si>
    <t>43. MAKITA</t>
  </si>
  <si>
    <t>44. SAN PABLO</t>
  </si>
  <si>
    <t>50. TULIS</t>
  </si>
  <si>
    <t>54. HUANCHACO</t>
  </si>
  <si>
    <t>55. ENACE</t>
  </si>
  <si>
    <t>56. ACAPULCO</t>
  </si>
  <si>
    <t>31. SAN MARCOS</t>
  </si>
  <si>
    <t>35. MARIA EUGENIA</t>
  </si>
  <si>
    <t>49. QUISTOCOCHA</t>
  </si>
  <si>
    <t>60. VELITA</t>
  </si>
  <si>
    <t>FECHA</t>
  </si>
  <si>
    <t>TARJ. CRED.</t>
  </si>
  <si>
    <t>DESCUENTO</t>
  </si>
  <si>
    <t>DECUENTO</t>
  </si>
  <si>
    <t>LIQUIDOS</t>
  </si>
  <si>
    <t>GLP</t>
  </si>
  <si>
    <t>LIQUIDO</t>
  </si>
  <si>
    <t>GNV</t>
  </si>
  <si>
    <t>TOTAL</t>
  </si>
  <si>
    <t>1.-SAN BARTOLO</t>
  </si>
  <si>
    <t>2.-CUSCO</t>
  </si>
  <si>
    <t>3.-LAS AMERICAS</t>
  </si>
  <si>
    <t>4.-YAGUAL(GESMAR)</t>
  </si>
  <si>
    <t>5.-COAZAPA</t>
  </si>
  <si>
    <t>6.-SANTA INES</t>
  </si>
  <si>
    <t>7.-GRACO</t>
  </si>
  <si>
    <t>8.-CASUARINAS</t>
  </si>
  <si>
    <t>9.-CHINCHA</t>
  </si>
  <si>
    <t>10.-TITAS</t>
  </si>
  <si>
    <t>11.-SOLER</t>
  </si>
  <si>
    <t>12.-SOTELO</t>
  </si>
  <si>
    <t>13.-TROMPETEROS</t>
  </si>
  <si>
    <t>14.-TACNA</t>
  </si>
  <si>
    <t>15.-SUNAMPE</t>
  </si>
  <si>
    <t>VENEZUELA</t>
  </si>
  <si>
    <t>COQUIMBO</t>
  </si>
  <si>
    <t>LA ESPERANZA</t>
  </si>
  <si>
    <t>EL PORVENIR</t>
  </si>
  <si>
    <t>REQUE</t>
  </si>
  <si>
    <t>LARCO</t>
  </si>
  <si>
    <t>LA RINCONADA</t>
  </si>
  <si>
    <t>GARZÓN</t>
  </si>
  <si>
    <t>PETIT THOUARS</t>
  </si>
  <si>
    <t>CASMA</t>
  </si>
  <si>
    <t>ESCORPIONES</t>
  </si>
  <si>
    <t>CACIQUE</t>
  </si>
  <si>
    <t>VILLA MARIA</t>
  </si>
  <si>
    <t>BILCON</t>
  </si>
  <si>
    <t>EL PUERTO</t>
  </si>
  <si>
    <t>TOMAS VALLE</t>
  </si>
  <si>
    <t>VARIANTE</t>
  </si>
  <si>
    <t>JOYA 1</t>
  </si>
  <si>
    <t>SULLANA</t>
  </si>
  <si>
    <t>JOYA 2</t>
  </si>
  <si>
    <t>PUCUSANA</t>
  </si>
  <si>
    <t>CARAPONGO</t>
  </si>
  <si>
    <t>SHESSELL</t>
  </si>
  <si>
    <t>MALA</t>
  </si>
  <si>
    <t>LIQ.</t>
  </si>
  <si>
    <t>RED COL</t>
  </si>
  <si>
    <t>C&amp;M</t>
  </si>
  <si>
    <t>PETROTHOR</t>
  </si>
  <si>
    <t>DESCUENTOS</t>
  </si>
  <si>
    <t>TOTAL DSCTOS</t>
  </si>
  <si>
    <t>LÍQUIDOS</t>
  </si>
  <si>
    <t>TARJETAS Y DESCUENTOS BAUZATE Y MEZA</t>
  </si>
  <si>
    <t>TARJETAS CLEAN ENERGY</t>
  </si>
  <si>
    <t xml:space="preserve">TARJETAS Y DESCUENTOS SANTO TOMAS  </t>
  </si>
  <si>
    <t>TARJETAS Y DESCUENTOS BORJA</t>
  </si>
  <si>
    <t>TARJETAS Y DESCUENTOS MANCO CAPAC</t>
  </si>
  <si>
    <t>TARJETAS Y DESCUENTOS BARRIOS ALTOS</t>
  </si>
  <si>
    <t>TARJETAS Y DESCUENTOS SAN LUIS</t>
  </si>
  <si>
    <t>Tarjetas</t>
  </si>
  <si>
    <t>Descuentos</t>
  </si>
  <si>
    <t>DSCTOS</t>
  </si>
  <si>
    <t>TARJETAS Y DESCUENTOS SAN ANTONIO</t>
  </si>
  <si>
    <t>BAUZATE Y MEZA</t>
  </si>
  <si>
    <t xml:space="preserve"> CLEAN ENERGY</t>
  </si>
  <si>
    <t xml:space="preserve">SANTO TOMAS  </t>
  </si>
  <si>
    <t>BORJA</t>
  </si>
  <si>
    <t>MANCO CÁPAC</t>
  </si>
  <si>
    <t>BARRIOS ALTOS</t>
  </si>
  <si>
    <t>SAN LUIS</t>
  </si>
  <si>
    <t>SAN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</si>
</sst>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&quot;S/&quot;* #,##0.00_-;\-&quot;S/&quot;* #,##0.00_-;_-&quot;S/&quot;* &quot;-&quot;??_-;_-@_-"/>
    <numFmt numFmtId="165" formatCode="#,##0.00;[Red]#,##0.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1"/>
      <name val="Arial"/>
      <family val="2"/>
    </font>
    <font>
      <sz val="12"/>
      <color theme="1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name val="Arial"/>
      <family val="2"/>
    </font>
    <font>
      <sz val="10"/>
      <color indexed="8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rial"/>
      <family val="2"/>
    </font>
    <font>
      <b/>
      <sz val="9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b/>
      <sz val="12"/>
      <name val="Arial"/>
      <family val="2"/>
    </font>
    <font>
      <b/>
      <i/>
      <sz val="10"/>
      <name val="Arial"/>
      <family val="2"/>
    </font>
    <font>
      <b/>
      <i/>
      <sz val="11"/>
      <name val="Arial"/>
      <family val="2"/>
    </font>
    <font>
      <b/>
      <i/>
      <sz val="12"/>
      <name val="Arial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347">
    <xf numFmtId="0" fontId="0" fillId="0" borderId="0" xfId="0"/>
    <xf numFmtId="0" fontId="1" fillId="0" borderId="0" xfId="0" applyFont="1"/>
    <xf numFmtId="0" fontId="0" fillId="0" borderId="0" xfId="0" applyFill="1"/>
    <xf numFmtId="0" fontId="2" fillId="0" borderId="0" xfId="0" applyFont="1" applyAlignment="1">
      <alignment horizontal="left"/>
    </xf>
    <xf numFmtId="165" fontId="3" fillId="3" borderId="2" xfId="0" applyNumberFormat="1" applyFont="1" applyFill="1" applyBorder="1" applyAlignment="1">
      <alignment horizontal="center"/>
    </xf>
    <xf numFmtId="49" fontId="3" fillId="4" borderId="2" xfId="0" applyNumberFormat="1" applyFont="1" applyFill="1" applyBorder="1" applyAlignment="1">
      <alignment horizontal="center"/>
    </xf>
    <xf numFmtId="165" fontId="3" fillId="3" borderId="4" xfId="0" applyNumberFormat="1" applyFont="1" applyFill="1" applyBorder="1" applyAlignment="1">
      <alignment horizontal="center"/>
    </xf>
    <xf numFmtId="49" fontId="3" fillId="4" borderId="4" xfId="0" applyNumberFormat="1" applyFont="1" applyFill="1" applyBorder="1" applyAlignment="1">
      <alignment horizontal="center"/>
    </xf>
    <xf numFmtId="49" fontId="3" fillId="4" borderId="5" xfId="0" applyNumberFormat="1" applyFont="1" applyFill="1" applyBorder="1" applyAlignment="1">
      <alignment horizontal="center"/>
    </xf>
    <xf numFmtId="165" fontId="3" fillId="3" borderId="6" xfId="0" applyNumberFormat="1" applyFont="1" applyFill="1" applyBorder="1" applyAlignment="1">
      <alignment horizontal="center"/>
    </xf>
    <xf numFmtId="49" fontId="3" fillId="4" borderId="6" xfId="0" applyNumberFormat="1" applyFont="1" applyFill="1" applyBorder="1" applyAlignment="1">
      <alignment horizontal="center"/>
    </xf>
    <xf numFmtId="165" fontId="3" fillId="3" borderId="8" xfId="0" applyNumberFormat="1" applyFont="1" applyFill="1" applyBorder="1" applyAlignment="1">
      <alignment horizontal="center"/>
    </xf>
    <xf numFmtId="49" fontId="3" fillId="4" borderId="8" xfId="0" applyNumberFormat="1" applyFont="1" applyFill="1" applyBorder="1" applyAlignment="1">
      <alignment horizontal="center"/>
    </xf>
    <xf numFmtId="49" fontId="3" fillId="4" borderId="10" xfId="0" applyNumberFormat="1" applyFont="1" applyFill="1" applyBorder="1" applyAlignment="1">
      <alignment horizontal="center"/>
    </xf>
    <xf numFmtId="4" fontId="4" fillId="0" borderId="4" xfId="0" applyNumberFormat="1" applyFont="1" applyBorder="1" applyAlignment="1">
      <alignment horizontal="right" wrapText="1"/>
    </xf>
    <xf numFmtId="164" fontId="5" fillId="0" borderId="5" xfId="0" applyNumberFormat="1" applyFont="1" applyBorder="1" applyAlignment="1">
      <alignment horizontal="center"/>
    </xf>
    <xf numFmtId="0" fontId="6" fillId="5" borderId="5" xfId="0" applyFont="1" applyFill="1" applyBorder="1" applyAlignment="1">
      <alignment horizontal="right" wrapText="1"/>
    </xf>
    <xf numFmtId="0" fontId="4" fillId="5" borderId="5" xfId="0" applyFont="1" applyFill="1" applyBorder="1" applyAlignment="1">
      <alignment horizontal="right" wrapText="1"/>
    </xf>
    <xf numFmtId="165" fontId="6" fillId="6" borderId="5" xfId="0" applyNumberFormat="1" applyFont="1" applyFill="1" applyBorder="1"/>
    <xf numFmtId="0" fontId="4" fillId="0" borderId="4" xfId="0" applyFont="1" applyBorder="1" applyAlignment="1">
      <alignment horizontal="right" wrapText="1"/>
    </xf>
    <xf numFmtId="0" fontId="6" fillId="5" borderId="4" xfId="0" applyFont="1" applyFill="1" applyBorder="1" applyAlignment="1">
      <alignment horizontal="right" wrapText="1"/>
    </xf>
    <xf numFmtId="0" fontId="7" fillId="5" borderId="5" xfId="0" applyFont="1" applyFill="1" applyBorder="1" applyAlignment="1">
      <alignment wrapText="1"/>
    </xf>
    <xf numFmtId="165" fontId="6" fillId="6" borderId="5" xfId="0" applyNumberFormat="1" applyFont="1" applyFill="1" applyBorder="1" applyAlignment="1"/>
    <xf numFmtId="0" fontId="0" fillId="5" borderId="5" xfId="0" applyFill="1" applyBorder="1" applyAlignment="1">
      <alignment wrapText="1"/>
    </xf>
    <xf numFmtId="4" fontId="6" fillId="0" borderId="4" xfId="0" applyNumberFormat="1" applyFont="1" applyBorder="1" applyAlignment="1">
      <alignment horizontal="right" wrapText="1"/>
    </xf>
    <xf numFmtId="165" fontId="8" fillId="7" borderId="5" xfId="0" applyNumberFormat="1" applyFont="1" applyFill="1" applyBorder="1"/>
    <xf numFmtId="4" fontId="4" fillId="0" borderId="6" xfId="0" applyNumberFormat="1" applyFont="1" applyBorder="1" applyAlignment="1">
      <alignment horizontal="right" wrapText="1"/>
    </xf>
    <xf numFmtId="0" fontId="4" fillId="0" borderId="6" xfId="0" applyFont="1" applyBorder="1" applyAlignment="1">
      <alignment horizontal="right" wrapText="1"/>
    </xf>
    <xf numFmtId="164" fontId="5" fillId="0" borderId="11" xfId="0" applyNumberFormat="1" applyFont="1" applyBorder="1" applyAlignment="1">
      <alignment horizontal="center"/>
    </xf>
    <xf numFmtId="0" fontId="6" fillId="5" borderId="11" xfId="0" applyFont="1" applyFill="1" applyBorder="1" applyAlignment="1">
      <alignment horizontal="right" wrapText="1"/>
    </xf>
    <xf numFmtId="0" fontId="4" fillId="5" borderId="11" xfId="0" applyFont="1" applyFill="1" applyBorder="1" applyAlignment="1">
      <alignment horizontal="right" wrapText="1"/>
    </xf>
    <xf numFmtId="165" fontId="6" fillId="6" borderId="11" xfId="0" applyNumberFormat="1" applyFont="1" applyFill="1" applyBorder="1" applyAlignment="1"/>
    <xf numFmtId="0" fontId="0" fillId="5" borderId="11" xfId="0" applyFill="1" applyBorder="1" applyAlignment="1">
      <alignment wrapText="1"/>
    </xf>
    <xf numFmtId="0" fontId="6" fillId="5" borderId="6" xfId="0" applyFont="1" applyFill="1" applyBorder="1" applyAlignment="1">
      <alignment horizontal="right" wrapText="1"/>
    </xf>
    <xf numFmtId="0" fontId="7" fillId="5" borderId="11" xfId="0" applyFont="1" applyFill="1" applyBorder="1" applyAlignment="1">
      <alignment wrapText="1"/>
    </xf>
    <xf numFmtId="165" fontId="8" fillId="7" borderId="11" xfId="0" applyNumberFormat="1" applyFont="1" applyFill="1" applyBorder="1"/>
    <xf numFmtId="165" fontId="6" fillId="6" borderId="11" xfId="0" applyNumberFormat="1" applyFont="1" applyFill="1" applyBorder="1"/>
    <xf numFmtId="0" fontId="9" fillId="5" borderId="11" xfId="0" applyFont="1" applyFill="1" applyBorder="1" applyAlignment="1">
      <alignment horizontal="right" wrapText="1"/>
    </xf>
    <xf numFmtId="0" fontId="6" fillId="0" borderId="11" xfId="0" applyFont="1" applyBorder="1" applyAlignment="1">
      <alignment horizontal="right" wrapText="1"/>
    </xf>
    <xf numFmtId="0" fontId="6" fillId="0" borderId="6" xfId="0" applyFont="1" applyBorder="1" applyAlignment="1">
      <alignment horizontal="right" wrapText="1"/>
    </xf>
    <xf numFmtId="0" fontId="4" fillId="5" borderId="6" xfId="0" applyFont="1" applyFill="1" applyBorder="1" applyAlignment="1">
      <alignment horizontal="right" wrapText="1"/>
    </xf>
    <xf numFmtId="4" fontId="9" fillId="5" borderId="11" xfId="0" applyNumberFormat="1" applyFont="1" applyFill="1" applyBorder="1" applyAlignment="1">
      <alignment horizontal="right" wrapText="1"/>
    </xf>
    <xf numFmtId="0" fontId="0" fillId="0" borderId="6" xfId="0" applyBorder="1" applyAlignment="1">
      <alignment wrapText="1"/>
    </xf>
    <xf numFmtId="0" fontId="10" fillId="5" borderId="11" xfId="0" applyFont="1" applyFill="1" applyBorder="1" applyAlignment="1">
      <alignment horizontal="right" wrapText="1"/>
    </xf>
    <xf numFmtId="4" fontId="4" fillId="0" borderId="2" xfId="0" applyNumberFormat="1" applyFont="1" applyBorder="1" applyAlignment="1">
      <alignment horizontal="right" wrapText="1"/>
    </xf>
    <xf numFmtId="164" fontId="5" fillId="0" borderId="10" xfId="0" applyNumberFormat="1" applyFont="1" applyBorder="1" applyAlignment="1">
      <alignment horizontal="center"/>
    </xf>
    <xf numFmtId="0" fontId="6" fillId="5" borderId="10" xfId="0" applyFont="1" applyFill="1" applyBorder="1" applyAlignment="1">
      <alignment horizontal="right" wrapText="1"/>
    </xf>
    <xf numFmtId="0" fontId="4" fillId="5" borderId="10" xfId="0" applyFont="1" applyFill="1" applyBorder="1" applyAlignment="1">
      <alignment horizontal="right" wrapText="1"/>
    </xf>
    <xf numFmtId="165" fontId="6" fillId="6" borderId="10" xfId="0" applyNumberFormat="1" applyFont="1" applyFill="1" applyBorder="1" applyAlignment="1"/>
    <xf numFmtId="0" fontId="0" fillId="5" borderId="10" xfId="0" applyFill="1" applyBorder="1" applyAlignment="1">
      <alignment wrapText="1"/>
    </xf>
    <xf numFmtId="0" fontId="4" fillId="0" borderId="13" xfId="0" applyFont="1" applyBorder="1" applyAlignment="1">
      <alignment horizontal="right" wrapText="1"/>
    </xf>
    <xf numFmtId="0" fontId="6" fillId="5" borderId="13" xfId="0" applyFont="1" applyFill="1" applyBorder="1" applyAlignment="1">
      <alignment horizontal="right" wrapText="1"/>
    </xf>
    <xf numFmtId="0" fontId="0" fillId="5" borderId="14" xfId="0" applyFill="1" applyBorder="1" applyAlignment="1">
      <alignment wrapText="1"/>
    </xf>
    <xf numFmtId="4" fontId="4" fillId="0" borderId="13" xfId="0" applyNumberFormat="1" applyFont="1" applyBorder="1" applyAlignment="1">
      <alignment horizontal="right" wrapText="1"/>
    </xf>
    <xf numFmtId="0" fontId="7" fillId="5" borderId="14" xfId="0" applyFont="1" applyFill="1" applyBorder="1" applyAlignment="1">
      <alignment wrapText="1"/>
    </xf>
    <xf numFmtId="165" fontId="6" fillId="6" borderId="14" xfId="0" applyNumberFormat="1" applyFont="1" applyFill="1" applyBorder="1" applyAlignment="1"/>
    <xf numFmtId="0" fontId="6" fillId="5" borderId="14" xfId="0" applyFont="1" applyFill="1" applyBorder="1" applyAlignment="1">
      <alignment horizontal="right" wrapText="1"/>
    </xf>
    <xf numFmtId="0" fontId="4" fillId="0" borderId="2" xfId="0" applyFont="1" applyBorder="1" applyAlignment="1">
      <alignment horizontal="right" wrapText="1"/>
    </xf>
    <xf numFmtId="164" fontId="11" fillId="0" borderId="11" xfId="0" applyNumberFormat="1" applyFont="1" applyFill="1" applyBorder="1"/>
    <xf numFmtId="16" fontId="0" fillId="0" borderId="0" xfId="0" applyNumberFormat="1" applyAlignment="1">
      <alignment horizontal="center"/>
    </xf>
    <xf numFmtId="164" fontId="8" fillId="0" borderId="0" xfId="0" applyNumberFormat="1" applyFont="1"/>
    <xf numFmtId="165" fontId="11" fillId="0" borderId="0" xfId="0" applyNumberFormat="1" applyFont="1"/>
    <xf numFmtId="0" fontId="2" fillId="0" borderId="0" xfId="0" applyFont="1" applyAlignment="1">
      <alignment horizontal="center"/>
    </xf>
    <xf numFmtId="164" fontId="12" fillId="0" borderId="0" xfId="0" applyNumberFormat="1" applyFont="1"/>
    <xf numFmtId="0" fontId="14" fillId="0" borderId="0" xfId="0" applyFont="1" applyAlignment="1">
      <alignment horizontal="center"/>
    </xf>
    <xf numFmtId="16" fontId="15" fillId="2" borderId="6" xfId="0" applyNumberFormat="1" applyFont="1" applyFill="1" applyBorder="1" applyAlignment="1">
      <alignment horizontal="center"/>
    </xf>
    <xf numFmtId="165" fontId="15" fillId="3" borderId="6" xfId="0" applyNumberFormat="1" applyFont="1" applyFill="1" applyBorder="1" applyAlignment="1">
      <alignment horizontal="center"/>
    </xf>
    <xf numFmtId="49" fontId="15" fillId="3" borderId="6" xfId="0" applyNumberFormat="1" applyFont="1" applyFill="1" applyBorder="1" applyAlignment="1">
      <alignment horizontal="center"/>
    </xf>
    <xf numFmtId="43" fontId="15" fillId="3" borderId="6" xfId="1" applyFont="1" applyFill="1" applyBorder="1" applyAlignment="1">
      <alignment horizontal="center"/>
    </xf>
    <xf numFmtId="43" fontId="15" fillId="3" borderId="6" xfId="1" applyFont="1" applyFill="1" applyBorder="1" applyAlignment="1">
      <alignment horizontal="right"/>
    </xf>
    <xf numFmtId="165" fontId="16" fillId="3" borderId="6" xfId="0" applyNumberFormat="1" applyFont="1" applyFill="1" applyBorder="1" applyAlignment="1">
      <alignment horizontal="center"/>
    </xf>
    <xf numFmtId="49" fontId="16" fillId="3" borderId="6" xfId="0" applyNumberFormat="1" applyFont="1" applyFill="1" applyBorder="1" applyAlignment="1">
      <alignment horizontal="center"/>
    </xf>
    <xf numFmtId="16" fontId="17" fillId="0" borderId="6" xfId="0" applyNumberFormat="1" applyFont="1" applyBorder="1" applyAlignment="1">
      <alignment horizontal="center"/>
    </xf>
    <xf numFmtId="165" fontId="17" fillId="0" borderId="6" xfId="0" applyNumberFormat="1" applyFont="1" applyBorder="1"/>
    <xf numFmtId="165" fontId="18" fillId="7" borderId="6" xfId="0" applyNumberFormat="1" applyFont="1" applyFill="1" applyBorder="1"/>
    <xf numFmtId="0" fontId="19" fillId="0" borderId="6" xfId="0" applyFont="1" applyBorder="1"/>
    <xf numFmtId="165" fontId="18" fillId="0" borderId="6" xfId="0" applyNumberFormat="1" applyFont="1" applyBorder="1"/>
    <xf numFmtId="43" fontId="17" fillId="0" borderId="6" xfId="1" applyFont="1" applyBorder="1"/>
    <xf numFmtId="43" fontId="19" fillId="0" borderId="6" xfId="1" applyFont="1" applyBorder="1" applyAlignment="1">
      <alignment horizontal="right"/>
    </xf>
    <xf numFmtId="43" fontId="0" fillId="0" borderId="6" xfId="1" applyFont="1" applyBorder="1"/>
    <xf numFmtId="0" fontId="0" fillId="0" borderId="6" xfId="0" applyBorder="1"/>
    <xf numFmtId="2" fontId="0" fillId="0" borderId="6" xfId="0" applyNumberFormat="1" applyBorder="1"/>
    <xf numFmtId="165" fontId="18" fillId="7" borderId="6" xfId="0" applyNumberFormat="1" applyFont="1" applyFill="1" applyBorder="1" applyAlignment="1">
      <alignment horizontal="right"/>
    </xf>
    <xf numFmtId="165" fontId="0" fillId="0" borderId="6" xfId="0" applyNumberFormat="1" applyBorder="1"/>
    <xf numFmtId="165" fontId="1" fillId="0" borderId="6" xfId="0" applyNumberFormat="1" applyFont="1" applyBorder="1"/>
    <xf numFmtId="2" fontId="0" fillId="0" borderId="6" xfId="1" applyNumberFormat="1" applyFont="1" applyBorder="1"/>
    <xf numFmtId="43" fontId="1" fillId="0" borderId="0" xfId="1" applyFont="1"/>
    <xf numFmtId="16" fontId="17" fillId="0" borderId="0" xfId="0" applyNumberFormat="1" applyFont="1" applyAlignment="1">
      <alignment horizontal="center"/>
    </xf>
    <xf numFmtId="43" fontId="0" fillId="0" borderId="0" xfId="1" applyFont="1"/>
    <xf numFmtId="43" fontId="0" fillId="0" borderId="0" xfId="1" applyFont="1" applyAlignment="1">
      <alignment horizontal="right"/>
    </xf>
    <xf numFmtId="165" fontId="11" fillId="7" borderId="0" xfId="0" applyNumberFormat="1" applyFont="1" applyFill="1"/>
    <xf numFmtId="0" fontId="2" fillId="0" borderId="0" xfId="0" applyFont="1"/>
    <xf numFmtId="16" fontId="21" fillId="2" borderId="1" xfId="0" applyNumberFormat="1" applyFont="1" applyFill="1" applyBorder="1" applyAlignment="1">
      <alignment horizontal="center"/>
    </xf>
    <xf numFmtId="165" fontId="21" fillId="3" borderId="2" xfId="0" applyNumberFormat="1" applyFont="1" applyFill="1" applyBorder="1" applyAlignment="1">
      <alignment horizontal="center"/>
    </xf>
    <xf numFmtId="165" fontId="21" fillId="3" borderId="22" xfId="0" applyNumberFormat="1" applyFont="1" applyFill="1" applyBorder="1" applyAlignment="1">
      <alignment horizontal="center"/>
    </xf>
    <xf numFmtId="49" fontId="21" fillId="3" borderId="2" xfId="0" applyNumberFormat="1" applyFont="1" applyFill="1" applyBorder="1" applyAlignment="1">
      <alignment horizontal="center"/>
    </xf>
    <xf numFmtId="49" fontId="21" fillId="3" borderId="22" xfId="0" applyNumberFormat="1" applyFont="1" applyFill="1" applyBorder="1" applyAlignment="1">
      <alignment horizontal="center"/>
    </xf>
    <xf numFmtId="16" fontId="21" fillId="2" borderId="23" xfId="0" applyNumberFormat="1" applyFont="1" applyFill="1" applyBorder="1" applyAlignment="1">
      <alignment horizontal="center"/>
    </xf>
    <xf numFmtId="165" fontId="21" fillId="3" borderId="21" xfId="0" applyNumberFormat="1" applyFont="1" applyFill="1" applyBorder="1" applyAlignment="1">
      <alignment horizontal="center"/>
    </xf>
    <xf numFmtId="165" fontId="21" fillId="3" borderId="24" xfId="0" applyNumberFormat="1" applyFont="1" applyFill="1" applyBorder="1" applyAlignment="1">
      <alignment horizontal="center"/>
    </xf>
    <xf numFmtId="49" fontId="21" fillId="3" borderId="21" xfId="0" applyNumberFormat="1" applyFont="1" applyFill="1" applyBorder="1" applyAlignment="1">
      <alignment horizontal="center"/>
    </xf>
    <xf numFmtId="49" fontId="21" fillId="3" borderId="24" xfId="0" applyNumberFormat="1" applyFont="1" applyFill="1" applyBorder="1" applyAlignment="1">
      <alignment horizontal="center"/>
    </xf>
    <xf numFmtId="16" fontId="22" fillId="8" borderId="2" xfId="0" applyNumberFormat="1" applyFont="1" applyFill="1" applyBorder="1" applyAlignment="1">
      <alignment horizontal="center"/>
    </xf>
    <xf numFmtId="165" fontId="11" fillId="8" borderId="2" xfId="0" applyNumberFormat="1" applyFont="1" applyFill="1" applyBorder="1"/>
    <xf numFmtId="165" fontId="11" fillId="8" borderId="25" xfId="0" applyNumberFormat="1" applyFont="1" applyFill="1" applyBorder="1"/>
    <xf numFmtId="0" fontId="0" fillId="0" borderId="2" xfId="0" applyBorder="1"/>
    <xf numFmtId="165" fontId="11" fillId="8" borderId="22" xfId="0" applyNumberFormat="1" applyFont="1" applyFill="1" applyBorder="1"/>
    <xf numFmtId="165" fontId="5" fillId="0" borderId="2" xfId="0" applyNumberFormat="1" applyFont="1" applyBorder="1"/>
    <xf numFmtId="165" fontId="11" fillId="7" borderId="2" xfId="0" applyNumberFormat="1" applyFont="1" applyFill="1" applyBorder="1"/>
    <xf numFmtId="16" fontId="22" fillId="8" borderId="8" xfId="0" applyNumberFormat="1" applyFont="1" applyFill="1" applyBorder="1" applyAlignment="1">
      <alignment horizontal="center"/>
    </xf>
    <xf numFmtId="165" fontId="11" fillId="8" borderId="8" xfId="0" applyNumberFormat="1" applyFont="1" applyFill="1" applyBorder="1"/>
    <xf numFmtId="165" fontId="11" fillId="8" borderId="0" xfId="0" applyNumberFormat="1" applyFont="1" applyFill="1"/>
    <xf numFmtId="0" fontId="0" fillId="0" borderId="8" xfId="0" applyBorder="1"/>
    <xf numFmtId="165" fontId="11" fillId="8" borderId="26" xfId="0" applyNumberFormat="1" applyFont="1" applyFill="1" applyBorder="1"/>
    <xf numFmtId="165" fontId="5" fillId="0" borderId="8" xfId="0" applyNumberFormat="1" applyFont="1" applyBorder="1"/>
    <xf numFmtId="165" fontId="11" fillId="7" borderId="8" xfId="0" applyNumberFormat="1" applyFont="1" applyFill="1" applyBorder="1"/>
    <xf numFmtId="165" fontId="0" fillId="8" borderId="8" xfId="0" applyNumberFormat="1" applyFill="1" applyBorder="1"/>
    <xf numFmtId="165" fontId="0" fillId="8" borderId="0" xfId="0" applyNumberFormat="1" applyFill="1"/>
    <xf numFmtId="165" fontId="0" fillId="8" borderId="26" xfId="0" applyNumberFormat="1" applyFill="1" applyBorder="1"/>
    <xf numFmtId="0" fontId="0" fillId="8" borderId="8" xfId="0" applyFill="1" applyBorder="1"/>
    <xf numFmtId="0" fontId="0" fillId="8" borderId="26" xfId="0" applyFill="1" applyBorder="1"/>
    <xf numFmtId="16" fontId="22" fillId="8" borderId="21" xfId="0" applyNumberFormat="1" applyFont="1" applyFill="1" applyBorder="1" applyAlignment="1">
      <alignment horizontal="center"/>
    </xf>
    <xf numFmtId="0" fontId="0" fillId="0" borderId="26" xfId="0" applyBorder="1"/>
    <xf numFmtId="165" fontId="11" fillId="7" borderId="21" xfId="0" applyNumberFormat="1" applyFont="1" applyFill="1" applyBorder="1"/>
    <xf numFmtId="165" fontId="5" fillId="0" borderId="26" xfId="0" applyNumberFormat="1" applyFont="1" applyBorder="1"/>
    <xf numFmtId="16" fontId="3" fillId="2" borderId="1" xfId="0" applyNumberFormat="1" applyFont="1" applyFill="1" applyBorder="1" applyAlignment="1">
      <alignment horizontal="center"/>
    </xf>
    <xf numFmtId="165" fontId="3" fillId="3" borderId="22" xfId="0" applyNumberFormat="1" applyFont="1" applyFill="1" applyBorder="1" applyAlignment="1">
      <alignment horizontal="center"/>
    </xf>
    <xf numFmtId="49" fontId="3" fillId="3" borderId="22" xfId="0" applyNumberFormat="1" applyFont="1" applyFill="1" applyBorder="1" applyAlignment="1">
      <alignment horizontal="center"/>
    </xf>
    <xf numFmtId="49" fontId="3" fillId="3" borderId="2" xfId="0" applyNumberFormat="1" applyFont="1" applyFill="1" applyBorder="1" applyAlignment="1">
      <alignment horizontal="center"/>
    </xf>
    <xf numFmtId="0" fontId="19" fillId="0" borderId="0" xfId="0" applyFont="1"/>
    <xf numFmtId="16" fontId="3" fillId="2" borderId="23" xfId="0" applyNumberFormat="1" applyFont="1" applyFill="1" applyBorder="1" applyAlignment="1">
      <alignment horizontal="center"/>
    </xf>
    <xf numFmtId="165" fontId="3" fillId="3" borderId="21" xfId="0" applyNumberFormat="1" applyFont="1" applyFill="1" applyBorder="1" applyAlignment="1">
      <alignment horizontal="center"/>
    </xf>
    <xf numFmtId="165" fontId="3" fillId="3" borderId="24" xfId="0" applyNumberFormat="1" applyFont="1" applyFill="1" applyBorder="1" applyAlignment="1">
      <alignment horizontal="center"/>
    </xf>
    <xf numFmtId="49" fontId="3" fillId="3" borderId="24" xfId="0" applyNumberFormat="1" applyFont="1" applyFill="1" applyBorder="1" applyAlignment="1">
      <alignment horizontal="center"/>
    </xf>
    <xf numFmtId="49" fontId="3" fillId="3" borderId="21" xfId="0" applyNumberFormat="1" applyFont="1" applyFill="1" applyBorder="1" applyAlignment="1">
      <alignment horizontal="center"/>
    </xf>
    <xf numFmtId="4" fontId="11" fillId="8" borderId="2" xfId="0" applyNumberFormat="1" applyFont="1" applyFill="1" applyBorder="1"/>
    <xf numFmtId="4" fontId="11" fillId="8" borderId="22" xfId="0" applyNumberFormat="1" applyFont="1" applyFill="1" applyBorder="1"/>
    <xf numFmtId="4" fontId="11" fillId="8" borderId="25" xfId="0" applyNumberFormat="1" applyFont="1" applyFill="1" applyBorder="1"/>
    <xf numFmtId="2" fontId="19" fillId="0" borderId="0" xfId="0" applyNumberFormat="1" applyFont="1"/>
    <xf numFmtId="4" fontId="11" fillId="8" borderId="8" xfId="0" applyNumberFormat="1" applyFont="1" applyFill="1" applyBorder="1"/>
    <xf numFmtId="4" fontId="11" fillId="8" borderId="26" xfId="0" applyNumberFormat="1" applyFont="1" applyFill="1" applyBorder="1"/>
    <xf numFmtId="4" fontId="11" fillId="8" borderId="0" xfId="0" applyNumberFormat="1" applyFont="1" applyFill="1"/>
    <xf numFmtId="165" fontId="11" fillId="8" borderId="19" xfId="0" applyNumberFormat="1" applyFont="1" applyFill="1" applyBorder="1"/>
    <xf numFmtId="165" fontId="11" fillId="8" borderId="29" xfId="0" applyNumberFormat="1" applyFont="1" applyFill="1" applyBorder="1"/>
    <xf numFmtId="165" fontId="23" fillId="10" borderId="27" xfId="0" applyNumberFormat="1" applyFont="1" applyFill="1" applyBorder="1"/>
    <xf numFmtId="165" fontId="23" fillId="10" borderId="28" xfId="0" applyNumberFormat="1" applyFont="1" applyFill="1" applyBorder="1"/>
    <xf numFmtId="165" fontId="23" fillId="10" borderId="30" xfId="0" applyNumberFormat="1" applyFont="1" applyFill="1" applyBorder="1"/>
    <xf numFmtId="0" fontId="2" fillId="0" borderId="0" xfId="0" applyFont="1" applyAlignment="1">
      <alignment horizontal="left"/>
    </xf>
    <xf numFmtId="16" fontId="3" fillId="2" borderId="1" xfId="0" applyNumberFormat="1" applyFont="1" applyFill="1" applyBorder="1" applyAlignment="1">
      <alignment horizontal="center" vertical="center"/>
    </xf>
    <xf numFmtId="16" fontId="3" fillId="2" borderId="7" xfId="0" applyNumberFormat="1" applyFont="1" applyFill="1" applyBorder="1" applyAlignment="1">
      <alignment horizontal="center" vertical="center"/>
    </xf>
    <xf numFmtId="16" fontId="3" fillId="2" borderId="2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3" fillId="4" borderId="2" xfId="0" applyNumberFormat="1" applyFont="1" applyFill="1" applyBorder="1" applyAlignment="1">
      <alignment horizontal="center"/>
    </xf>
    <xf numFmtId="165" fontId="3" fillId="4" borderId="8" xfId="0" applyNumberFormat="1" applyFont="1" applyFill="1" applyBorder="1" applyAlignment="1">
      <alignment horizontal="center"/>
    </xf>
    <xf numFmtId="0" fontId="0" fillId="5" borderId="6" xfId="0" applyFill="1" applyBorder="1" applyAlignment="1">
      <alignment wrapText="1"/>
    </xf>
    <xf numFmtId="0" fontId="0" fillId="0" borderId="11" xfId="0" applyBorder="1" applyAlignment="1">
      <alignment wrapText="1"/>
    </xf>
    <xf numFmtId="0" fontId="4" fillId="0" borderId="11" xfId="0" applyFont="1" applyBorder="1" applyAlignment="1">
      <alignment horizontal="right" wrapText="1"/>
    </xf>
    <xf numFmtId="0" fontId="0" fillId="0" borderId="6" xfId="0" applyBorder="1" applyAlignment="1">
      <alignment horizontal="right" wrapText="1"/>
    </xf>
    <xf numFmtId="0" fontId="6" fillId="5" borderId="2" xfId="0" applyFont="1" applyFill="1" applyBorder="1" applyAlignment="1">
      <alignment horizontal="right" wrapText="1"/>
    </xf>
    <xf numFmtId="0" fontId="7" fillId="5" borderId="10" xfId="0" applyFont="1" applyFill="1" applyBorder="1" applyAlignment="1">
      <alignment wrapText="1"/>
    </xf>
    <xf numFmtId="165" fontId="6" fillId="6" borderId="14" xfId="0" applyNumberFormat="1" applyFont="1" applyFill="1" applyBorder="1"/>
    <xf numFmtId="164" fontId="5" fillId="0" borderId="14" xfId="0" applyNumberFormat="1" applyFont="1" applyBorder="1" applyAlignment="1">
      <alignment horizontal="center"/>
    </xf>
    <xf numFmtId="164" fontId="11" fillId="0" borderId="14" xfId="0" applyNumberFormat="1" applyFont="1" applyBorder="1"/>
    <xf numFmtId="165" fontId="24" fillId="0" borderId="31" xfId="0" applyNumberFormat="1" applyFont="1" applyBorder="1"/>
    <xf numFmtId="165" fontId="24" fillId="0" borderId="32" xfId="0" applyNumberFormat="1" applyFont="1" applyBorder="1"/>
    <xf numFmtId="165" fontId="24" fillId="0" borderId="33" xfId="0" applyNumberFormat="1" applyFont="1" applyBorder="1"/>
    <xf numFmtId="165" fontId="24" fillId="6" borderId="1" xfId="0" applyNumberFormat="1" applyFont="1" applyFill="1" applyBorder="1"/>
    <xf numFmtId="165" fontId="24" fillId="6" borderId="2" xfId="0" applyNumberFormat="1" applyFont="1" applyFill="1" applyBorder="1"/>
    <xf numFmtId="165" fontId="4" fillId="0" borderId="32" xfId="0" applyNumberFormat="1" applyFont="1" applyBorder="1" applyAlignment="1">
      <alignment horizontal="right"/>
    </xf>
    <xf numFmtId="165" fontId="24" fillId="6" borderId="32" xfId="0" applyNumberFormat="1" applyFont="1" applyFill="1" applyBorder="1"/>
    <xf numFmtId="165" fontId="25" fillId="0" borderId="34" xfId="0" applyNumberFormat="1" applyFont="1" applyBorder="1"/>
    <xf numFmtId="165" fontId="25" fillId="0" borderId="35" xfId="0" applyNumberFormat="1" applyFont="1" applyBorder="1"/>
    <xf numFmtId="165" fontId="6" fillId="6" borderId="34" xfId="0" applyNumberFormat="1" applyFont="1" applyFill="1" applyBorder="1"/>
    <xf numFmtId="165" fontId="25" fillId="0" borderId="32" xfId="0" applyNumberFormat="1" applyFont="1" applyBorder="1"/>
    <xf numFmtId="165" fontId="6" fillId="6" borderId="35" xfId="0" applyNumberFormat="1" applyFont="1" applyFill="1" applyBorder="1"/>
    <xf numFmtId="165" fontId="25" fillId="0" borderId="2" xfId="0" applyNumberFormat="1" applyFont="1" applyBorder="1"/>
    <xf numFmtId="165" fontId="25" fillId="0" borderId="22" xfId="0" applyNumberFormat="1" applyFont="1" applyBorder="1"/>
    <xf numFmtId="165" fontId="24" fillId="0" borderId="36" xfId="0" applyNumberFormat="1" applyFont="1" applyBorder="1"/>
    <xf numFmtId="165" fontId="24" fillId="0" borderId="37" xfId="0" applyNumberFormat="1" applyFont="1" applyBorder="1"/>
    <xf numFmtId="165" fontId="24" fillId="0" borderId="38" xfId="0" applyNumberFormat="1" applyFont="1" applyBorder="1"/>
    <xf numFmtId="165" fontId="24" fillId="0" borderId="7" xfId="0" applyNumberFormat="1" applyFont="1" applyBorder="1"/>
    <xf numFmtId="165" fontId="24" fillId="0" borderId="8" xfId="0" applyNumberFormat="1" applyFont="1" applyBorder="1"/>
    <xf numFmtId="165" fontId="4" fillId="0" borderId="37" xfId="0" applyNumberFormat="1" applyFont="1" applyBorder="1" applyAlignment="1">
      <alignment horizontal="right"/>
    </xf>
    <xf numFmtId="165" fontId="24" fillId="6" borderId="37" xfId="0" applyNumberFormat="1" applyFont="1" applyFill="1" applyBorder="1"/>
    <xf numFmtId="165" fontId="25" fillId="0" borderId="39" xfId="0" applyNumberFormat="1" applyFont="1" applyBorder="1"/>
    <xf numFmtId="165" fontId="25" fillId="0" borderId="37" xfId="0" applyNumberFormat="1" applyFont="1" applyBorder="1"/>
    <xf numFmtId="165" fontId="6" fillId="6" borderId="39" xfId="0" applyNumberFormat="1" applyFont="1" applyFill="1" applyBorder="1"/>
    <xf numFmtId="165" fontId="6" fillId="6" borderId="37" xfId="0" applyNumberFormat="1" applyFont="1" applyFill="1" applyBorder="1"/>
    <xf numFmtId="165" fontId="25" fillId="0" borderId="8" xfId="0" applyNumberFormat="1" applyFont="1" applyBorder="1"/>
    <xf numFmtId="165" fontId="25" fillId="0" borderId="26" xfId="0" applyNumberFormat="1" applyFont="1" applyBorder="1"/>
    <xf numFmtId="165" fontId="24" fillId="6" borderId="7" xfId="0" applyNumberFormat="1" applyFont="1" applyFill="1" applyBorder="1"/>
    <xf numFmtId="165" fontId="24" fillId="6" borderId="8" xfId="0" applyNumberFormat="1" applyFont="1" applyFill="1" applyBorder="1"/>
    <xf numFmtId="165" fontId="4" fillId="6" borderId="37" xfId="0" applyNumberFormat="1" applyFont="1" applyFill="1" applyBorder="1" applyAlignment="1">
      <alignment horizontal="right"/>
    </xf>
    <xf numFmtId="165" fontId="25" fillId="0" borderId="40" xfId="0" applyNumberFormat="1" applyFont="1" applyBorder="1"/>
    <xf numFmtId="165" fontId="24" fillId="0" borderId="40" xfId="0" applyNumberFormat="1" applyFont="1" applyBorder="1"/>
    <xf numFmtId="165" fontId="24" fillId="0" borderId="23" xfId="0" applyNumberFormat="1" applyFont="1" applyBorder="1"/>
    <xf numFmtId="165" fontId="24" fillId="0" borderId="41" xfId="0" applyNumberFormat="1" applyFont="1" applyBorder="1"/>
    <xf numFmtId="165" fontId="24" fillId="0" borderId="42" xfId="0" applyNumberFormat="1" applyFont="1" applyBorder="1"/>
    <xf numFmtId="165" fontId="24" fillId="0" borderId="21" xfId="0" applyNumberFormat="1" applyFont="1" applyBorder="1"/>
    <xf numFmtId="165" fontId="4" fillId="0" borderId="43" xfId="0" applyNumberFormat="1" applyFont="1" applyBorder="1" applyAlignment="1">
      <alignment horizontal="right"/>
    </xf>
    <xf numFmtId="165" fontId="24" fillId="6" borderId="43" xfId="0" applyNumberFormat="1" applyFont="1" applyFill="1" applyBorder="1"/>
    <xf numFmtId="165" fontId="25" fillId="0" borderId="43" xfId="0" applyNumberFormat="1" applyFont="1" applyBorder="1"/>
    <xf numFmtId="165" fontId="25" fillId="0" borderId="21" xfId="0" applyNumberFormat="1" applyFont="1" applyBorder="1"/>
    <xf numFmtId="165" fontId="25" fillId="0" borderId="44" xfId="0" applyNumberFormat="1" applyFont="1" applyBorder="1"/>
    <xf numFmtId="164" fontId="5" fillId="0" borderId="0" xfId="0" applyNumberFormat="1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49" fontId="3" fillId="4" borderId="7" xfId="0" applyNumberFormat="1" applyFont="1" applyFill="1" applyBorder="1" applyAlignment="1">
      <alignment horizontal="center"/>
    </xf>
    <xf numFmtId="164" fontId="5" fillId="0" borderId="46" xfId="0" applyNumberFormat="1" applyFont="1" applyBorder="1" applyAlignment="1">
      <alignment horizontal="center"/>
    </xf>
    <xf numFmtId="164" fontId="5" fillId="0" borderId="47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0" fillId="0" borderId="0" xfId="0" applyFill="1" applyBorder="1"/>
    <xf numFmtId="0" fontId="1" fillId="0" borderId="0" xfId="0" applyFont="1" applyFill="1" applyBorder="1"/>
    <xf numFmtId="49" fontId="3" fillId="0" borderId="0" xfId="0" applyNumberFormat="1" applyFont="1" applyFill="1" applyBorder="1" applyAlignment="1">
      <alignment horizontal="center"/>
    </xf>
    <xf numFmtId="164" fontId="12" fillId="0" borderId="0" xfId="0" applyNumberFormat="1" applyFont="1" applyFill="1" applyBorder="1"/>
    <xf numFmtId="164" fontId="5" fillId="0" borderId="49" xfId="0" applyNumberFormat="1" applyFont="1" applyBorder="1" applyAlignment="1">
      <alignment horizontal="center"/>
    </xf>
    <xf numFmtId="164" fontId="5" fillId="0" borderId="50" xfId="0" applyNumberFormat="1" applyFont="1" applyBorder="1" applyAlignment="1">
      <alignment horizontal="center"/>
    </xf>
    <xf numFmtId="164" fontId="5" fillId="0" borderId="51" xfId="0" applyNumberFormat="1" applyFont="1" applyBorder="1" applyAlignment="1">
      <alignment horizontal="center"/>
    </xf>
    <xf numFmtId="49" fontId="3" fillId="11" borderId="52" xfId="0" applyNumberFormat="1" applyFont="1" applyFill="1" applyBorder="1" applyAlignment="1">
      <alignment horizontal="center"/>
    </xf>
    <xf numFmtId="49" fontId="3" fillId="11" borderId="53" xfId="0" applyNumberFormat="1" applyFont="1" applyFill="1" applyBorder="1" applyAlignment="1">
      <alignment horizontal="center"/>
    </xf>
    <xf numFmtId="49" fontId="3" fillId="12" borderId="52" xfId="0" applyNumberFormat="1" applyFont="1" applyFill="1" applyBorder="1" applyAlignment="1">
      <alignment horizontal="center"/>
    </xf>
    <xf numFmtId="49" fontId="3" fillId="12" borderId="53" xfId="0" applyNumberFormat="1" applyFont="1" applyFill="1" applyBorder="1" applyAlignment="1">
      <alignment horizontal="center"/>
    </xf>
    <xf numFmtId="49" fontId="3" fillId="13" borderId="52" xfId="0" applyNumberFormat="1" applyFont="1" applyFill="1" applyBorder="1" applyAlignment="1">
      <alignment horizontal="center"/>
    </xf>
    <xf numFmtId="49" fontId="3" fillId="13" borderId="53" xfId="0" applyNumberFormat="1" applyFont="1" applyFill="1" applyBorder="1" applyAlignment="1">
      <alignment horizontal="center"/>
    </xf>
    <xf numFmtId="165" fontId="3" fillId="14" borderId="52" xfId="0" applyNumberFormat="1" applyFont="1" applyFill="1" applyBorder="1" applyAlignment="1">
      <alignment horizontal="center"/>
    </xf>
    <xf numFmtId="165" fontId="3" fillId="3" borderId="53" xfId="0" applyNumberFormat="1" applyFont="1" applyFill="1" applyBorder="1" applyAlignment="1">
      <alignment horizontal="center"/>
    </xf>
    <xf numFmtId="43" fontId="5" fillId="0" borderId="5" xfId="1" applyFont="1" applyBorder="1" applyAlignment="1">
      <alignment horizontal="center"/>
    </xf>
    <xf numFmtId="43" fontId="5" fillId="0" borderId="11" xfId="1" applyFont="1" applyBorder="1" applyAlignment="1">
      <alignment horizontal="center"/>
    </xf>
    <xf numFmtId="43" fontId="5" fillId="0" borderId="10" xfId="1" applyFont="1" applyBorder="1" applyAlignment="1">
      <alignment horizontal="center"/>
    </xf>
    <xf numFmtId="0" fontId="0" fillId="5" borderId="0" xfId="0" applyFill="1" applyBorder="1" applyAlignment="1">
      <alignment wrapText="1"/>
    </xf>
    <xf numFmtId="165" fontId="3" fillId="3" borderId="54" xfId="0" applyNumberFormat="1" applyFont="1" applyFill="1" applyBorder="1" applyAlignment="1">
      <alignment horizontal="center"/>
    </xf>
    <xf numFmtId="16" fontId="3" fillId="2" borderId="21" xfId="0" applyNumberFormat="1" applyFont="1" applyFill="1" applyBorder="1" applyAlignment="1">
      <alignment horizontal="center" vertical="center"/>
    </xf>
    <xf numFmtId="0" fontId="14" fillId="0" borderId="0" xfId="0" applyFont="1" applyAlignment="1"/>
    <xf numFmtId="49" fontId="26" fillId="11" borderId="52" xfId="0" applyNumberFormat="1" applyFont="1" applyFill="1" applyBorder="1" applyAlignment="1">
      <alignment horizontal="center"/>
    </xf>
    <xf numFmtId="49" fontId="26" fillId="12" borderId="52" xfId="0" applyNumberFormat="1" applyFont="1" applyFill="1" applyBorder="1" applyAlignment="1">
      <alignment horizontal="center"/>
    </xf>
    <xf numFmtId="49" fontId="26" fillId="13" borderId="52" xfId="0" applyNumberFormat="1" applyFont="1" applyFill="1" applyBorder="1" applyAlignment="1">
      <alignment horizontal="center"/>
    </xf>
    <xf numFmtId="49" fontId="26" fillId="11" borderId="53" xfId="0" applyNumberFormat="1" applyFont="1" applyFill="1" applyBorder="1" applyAlignment="1">
      <alignment horizontal="center"/>
    </xf>
    <xf numFmtId="49" fontId="26" fillId="12" borderId="53" xfId="0" applyNumberFormat="1" applyFont="1" applyFill="1" applyBorder="1" applyAlignment="1">
      <alignment horizontal="center"/>
    </xf>
    <xf numFmtId="49" fontId="26" fillId="13" borderId="53" xfId="0" applyNumberFormat="1" applyFont="1" applyFill="1" applyBorder="1" applyAlignment="1">
      <alignment horizontal="center"/>
    </xf>
    <xf numFmtId="165" fontId="26" fillId="3" borderId="53" xfId="0" applyNumberFormat="1" applyFont="1" applyFill="1" applyBorder="1" applyAlignment="1">
      <alignment horizontal="center"/>
    </xf>
    <xf numFmtId="43" fontId="18" fillId="7" borderId="6" xfId="1" applyFont="1" applyFill="1" applyBorder="1"/>
    <xf numFmtId="165" fontId="21" fillId="3" borderId="53" xfId="0" applyNumberFormat="1" applyFont="1" applyFill="1" applyBorder="1" applyAlignment="1">
      <alignment horizontal="center"/>
    </xf>
    <xf numFmtId="165" fontId="0" fillId="8" borderId="21" xfId="0" applyNumberFormat="1" applyFill="1" applyBorder="1"/>
    <xf numFmtId="43" fontId="11" fillId="7" borderId="2" xfId="1" applyFont="1" applyFill="1" applyBorder="1"/>
    <xf numFmtId="43" fontId="11" fillId="7" borderId="8" xfId="1" applyFont="1" applyFill="1" applyBorder="1"/>
    <xf numFmtId="43" fontId="11" fillId="7" borderId="21" xfId="1" applyFont="1" applyFill="1" applyBorder="1"/>
    <xf numFmtId="43" fontId="12" fillId="0" borderId="17" xfId="1" applyFont="1" applyBorder="1"/>
    <xf numFmtId="43" fontId="23" fillId="9" borderId="27" xfId="1" applyFont="1" applyFill="1" applyBorder="1"/>
    <xf numFmtId="43" fontId="23" fillId="9" borderId="45" xfId="1" applyFont="1" applyFill="1" applyBorder="1"/>
    <xf numFmtId="43" fontId="12" fillId="0" borderId="28" xfId="1" applyFont="1" applyBorder="1"/>
    <xf numFmtId="43" fontId="23" fillId="9" borderId="28" xfId="1" applyFont="1" applyFill="1" applyBorder="1"/>
    <xf numFmtId="43" fontId="12" fillId="0" borderId="0" xfId="1" applyFont="1" applyFill="1" applyBorder="1"/>
    <xf numFmtId="43" fontId="23" fillId="10" borderId="27" xfId="1" applyFont="1" applyFill="1" applyBorder="1"/>
    <xf numFmtId="43" fontId="23" fillId="10" borderId="28" xfId="1" applyFont="1" applyFill="1" applyBorder="1"/>
    <xf numFmtId="43" fontId="23" fillId="10" borderId="30" xfId="1" applyFont="1" applyFill="1" applyBorder="1"/>
    <xf numFmtId="165" fontId="26" fillId="14" borderId="52" xfId="0" applyNumberFormat="1" applyFont="1" applyFill="1" applyBorder="1" applyAlignment="1">
      <alignment horizontal="center"/>
    </xf>
    <xf numFmtId="43" fontId="26" fillId="14" borderId="52" xfId="1" applyFont="1" applyFill="1" applyBorder="1" applyAlignment="1">
      <alignment horizontal="center"/>
    </xf>
    <xf numFmtId="43" fontId="26" fillId="3" borderId="53" xfId="1" applyFont="1" applyFill="1" applyBorder="1" applyAlignment="1">
      <alignment horizontal="center"/>
    </xf>
    <xf numFmtId="43" fontId="20" fillId="7" borderId="0" xfId="1" applyFont="1" applyFill="1"/>
    <xf numFmtId="0" fontId="1" fillId="15" borderId="6" xfId="0" applyFont="1" applyFill="1" applyBorder="1" applyAlignment="1">
      <alignment horizontal="center"/>
    </xf>
    <xf numFmtId="43" fontId="3" fillId="0" borderId="0" xfId="1" applyFont="1" applyAlignment="1">
      <alignment horizontal="center"/>
    </xf>
    <xf numFmtId="43" fontId="26" fillId="11" borderId="52" xfId="1" applyFont="1" applyFill="1" applyBorder="1" applyAlignment="1">
      <alignment horizontal="center"/>
    </xf>
    <xf numFmtId="43" fontId="26" fillId="12" borderId="52" xfId="1" applyFont="1" applyFill="1" applyBorder="1" applyAlignment="1">
      <alignment horizontal="center"/>
    </xf>
    <xf numFmtId="43" fontId="21" fillId="13" borderId="52" xfId="1" applyFont="1" applyFill="1" applyBorder="1" applyAlignment="1">
      <alignment horizontal="center"/>
    </xf>
    <xf numFmtId="43" fontId="3" fillId="14" borderId="52" xfId="1" applyFont="1" applyFill="1" applyBorder="1" applyAlignment="1">
      <alignment horizontal="center"/>
    </xf>
    <xf numFmtId="165" fontId="21" fillId="3" borderId="52" xfId="0" applyNumberFormat="1" applyFont="1" applyFill="1" applyBorder="1" applyAlignment="1">
      <alignment horizontal="center"/>
    </xf>
    <xf numFmtId="165" fontId="21" fillId="3" borderId="28" xfId="0" applyNumberFormat="1" applyFont="1" applyFill="1" applyBorder="1" applyAlignment="1">
      <alignment horizontal="center"/>
    </xf>
    <xf numFmtId="165" fontId="21" fillId="15" borderId="55" xfId="0" applyNumberFormat="1" applyFont="1" applyFill="1" applyBorder="1" applyAlignment="1">
      <alignment horizontal="center"/>
    </xf>
    <xf numFmtId="165" fontId="21" fillId="15" borderId="52" xfId="0" applyNumberFormat="1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43" fontId="3" fillId="11" borderId="53" xfId="1" applyFont="1" applyFill="1" applyBorder="1" applyAlignment="1">
      <alignment horizontal="center"/>
    </xf>
    <xf numFmtId="43" fontId="3" fillId="12" borderId="53" xfId="1" applyFont="1" applyFill="1" applyBorder="1" applyAlignment="1">
      <alignment horizontal="center"/>
    </xf>
    <xf numFmtId="43" fontId="26" fillId="13" borderId="53" xfId="1" applyFont="1" applyFill="1" applyBorder="1" applyAlignment="1">
      <alignment horizontal="center"/>
    </xf>
    <xf numFmtId="165" fontId="21" fillId="3" borderId="56" xfId="0" applyNumberFormat="1" applyFont="1" applyFill="1" applyBorder="1" applyAlignment="1">
      <alignment horizontal="center"/>
    </xf>
    <xf numFmtId="165" fontId="21" fillId="15" borderId="57" xfId="0" applyNumberFormat="1" applyFont="1" applyFill="1" applyBorder="1" applyAlignment="1">
      <alignment horizontal="center"/>
    </xf>
    <xf numFmtId="165" fontId="21" fillId="15" borderId="56" xfId="0" applyNumberFormat="1" applyFont="1" applyFill="1" applyBorder="1" applyAlignment="1">
      <alignment horizontal="center"/>
    </xf>
    <xf numFmtId="16" fontId="27" fillId="0" borderId="6" xfId="0" applyNumberFormat="1" applyFont="1" applyBorder="1" applyAlignment="1">
      <alignment horizontal="center"/>
    </xf>
    <xf numFmtId="165" fontId="3" fillId="7" borderId="6" xfId="0" applyNumberFormat="1" applyFont="1" applyFill="1" applyBorder="1"/>
    <xf numFmtId="165" fontId="28" fillId="0" borderId="6" xfId="0" applyNumberFormat="1" applyFont="1" applyBorder="1"/>
    <xf numFmtId="43" fontId="5" fillId="0" borderId="0" xfId="1" applyFont="1" applyAlignment="1">
      <alignment horizontal="center"/>
    </xf>
    <xf numFmtId="43" fontId="5" fillId="0" borderId="49" xfId="1" applyFont="1" applyBorder="1" applyAlignment="1">
      <alignment horizontal="center"/>
    </xf>
    <xf numFmtId="165" fontId="27" fillId="0" borderId="6" xfId="0" applyNumberFormat="1" applyFont="1" applyBorder="1"/>
    <xf numFmtId="165" fontId="29" fillId="0" borderId="6" xfId="0" applyNumberFormat="1" applyFont="1" applyBorder="1"/>
    <xf numFmtId="165" fontId="30" fillId="7" borderId="6" xfId="0" applyNumberFormat="1" applyFont="1" applyFill="1" applyBorder="1"/>
    <xf numFmtId="43" fontId="5" fillId="0" borderId="50" xfId="1" applyFont="1" applyBorder="1" applyAlignment="1">
      <alignment horizontal="center"/>
    </xf>
    <xf numFmtId="43" fontId="5" fillId="0" borderId="51" xfId="1" applyFont="1" applyBorder="1" applyAlignment="1">
      <alignment horizontal="center"/>
    </xf>
    <xf numFmtId="165" fontId="31" fillId="16" borderId="21" xfId="0" applyNumberFormat="1" applyFont="1" applyFill="1" applyBorder="1"/>
    <xf numFmtId="165" fontId="31" fillId="16" borderId="24" xfId="0" applyNumberFormat="1" applyFont="1" applyFill="1" applyBorder="1"/>
    <xf numFmtId="165" fontId="31" fillId="16" borderId="53" xfId="0" applyNumberFormat="1" applyFont="1" applyFill="1" applyBorder="1"/>
    <xf numFmtId="165" fontId="32" fillId="17" borderId="28" xfId="0" applyNumberFormat="1" applyFont="1" applyFill="1" applyBorder="1"/>
    <xf numFmtId="165" fontId="33" fillId="16" borderId="21" xfId="0" applyNumberFormat="1" applyFont="1" applyFill="1" applyBorder="1"/>
    <xf numFmtId="43" fontId="3" fillId="11" borderId="52" xfId="1" applyFont="1" applyFill="1" applyBorder="1" applyAlignment="1">
      <alignment horizontal="center"/>
    </xf>
    <xf numFmtId="43" fontId="3" fillId="12" borderId="52" xfId="1" applyFont="1" applyFill="1" applyBorder="1" applyAlignment="1">
      <alignment horizontal="center"/>
    </xf>
    <xf numFmtId="43" fontId="3" fillId="13" borderId="52" xfId="1" applyFont="1" applyFill="1" applyBorder="1" applyAlignment="1">
      <alignment horizontal="center"/>
    </xf>
    <xf numFmtId="43" fontId="3" fillId="13" borderId="53" xfId="1" applyFont="1" applyFill="1" applyBorder="1" applyAlignment="1">
      <alignment horizontal="center"/>
    </xf>
    <xf numFmtId="43" fontId="3" fillId="3" borderId="53" xfId="1" applyFont="1" applyFill="1" applyBorder="1" applyAlignment="1">
      <alignment horizontal="center"/>
    </xf>
    <xf numFmtId="165" fontId="28" fillId="0" borderId="8" xfId="0" applyNumberFormat="1" applyFont="1" applyBorder="1"/>
    <xf numFmtId="165" fontId="28" fillId="0" borderId="21" xfId="0" applyNumberFormat="1" applyFont="1" applyBorder="1"/>
    <xf numFmtId="16" fontId="1" fillId="0" borderId="0" xfId="0" applyNumberFormat="1" applyFont="1" applyAlignment="1">
      <alignment horizontal="center"/>
    </xf>
    <xf numFmtId="0" fontId="7" fillId="0" borderId="0" xfId="0" applyFont="1"/>
    <xf numFmtId="0" fontId="2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43" fontId="23" fillId="0" borderId="15" xfId="1" applyFont="1" applyBorder="1" applyAlignment="1">
      <alignment horizontal="center"/>
    </xf>
    <xf numFmtId="43" fontId="23" fillId="0" borderId="16" xfId="1" applyFont="1" applyBorder="1"/>
    <xf numFmtId="43" fontId="23" fillId="0" borderId="48" xfId="1" applyFont="1" applyBorder="1"/>
    <xf numFmtId="43" fontId="23" fillId="0" borderId="0" xfId="1" applyFont="1" applyFill="1" applyBorder="1"/>
    <xf numFmtId="43" fontId="23" fillId="0" borderId="28" xfId="1" applyFont="1" applyBorder="1"/>
    <xf numFmtId="43" fontId="23" fillId="0" borderId="17" xfId="1" applyFont="1" applyBorder="1"/>
    <xf numFmtId="43" fontId="7" fillId="0" borderId="0" xfId="1" applyFont="1"/>
    <xf numFmtId="43" fontId="23" fillId="0" borderId="18" xfId="1" applyFont="1" applyBorder="1" applyAlignment="1">
      <alignment horizontal="center"/>
    </xf>
    <xf numFmtId="43" fontId="23" fillId="0" borderId="19" xfId="1" applyFont="1" applyBorder="1"/>
    <xf numFmtId="43" fontId="23" fillId="0" borderId="20" xfId="1" applyFont="1" applyBorder="1"/>
    <xf numFmtId="43" fontId="23" fillId="0" borderId="0" xfId="1" applyFont="1" applyBorder="1"/>
    <xf numFmtId="43" fontId="23" fillId="0" borderId="21" xfId="1" applyFont="1" applyBorder="1" applyAlignment="1">
      <alignment horizontal="center"/>
    </xf>
    <xf numFmtId="43" fontId="23" fillId="0" borderId="21" xfId="1" applyFont="1" applyBorder="1"/>
    <xf numFmtId="43" fontId="23" fillId="0" borderId="12" xfId="1" applyFont="1" applyBorder="1" applyAlignment="1">
      <alignment horizontal="center"/>
    </xf>
    <xf numFmtId="43" fontId="23" fillId="0" borderId="13" xfId="1" applyFont="1" applyFill="1" applyBorder="1"/>
    <xf numFmtId="43" fontId="23" fillId="0" borderId="14" xfId="1" applyFont="1" applyBorder="1"/>
    <xf numFmtId="43" fontId="23" fillId="0" borderId="13" xfId="1" applyFont="1" applyBorder="1"/>
    <xf numFmtId="43" fontId="23" fillId="0" borderId="0" xfId="1" applyFont="1"/>
    <xf numFmtId="43" fontId="13" fillId="0" borderId="0" xfId="1" applyFont="1"/>
    <xf numFmtId="43" fontId="1" fillId="0" borderId="0" xfId="1" applyFont="1" applyFill="1" applyBorder="1"/>
    <xf numFmtId="43" fontId="1" fillId="0" borderId="28" xfId="1" applyFont="1" applyBorder="1"/>
    <xf numFmtId="43" fontId="1" fillId="0" borderId="17" xfId="1" applyFont="1" applyBorder="1"/>
    <xf numFmtId="43" fontId="37" fillId="0" borderId="0" xfId="1" applyFont="1" applyAlignment="1">
      <alignment horizontal="center"/>
    </xf>
    <xf numFmtId="43" fontId="13" fillId="0" borderId="0" xfId="1" applyFont="1" applyFill="1" applyBorder="1"/>
    <xf numFmtId="2" fontId="7" fillId="0" borderId="0" xfId="0" applyNumberFormat="1" applyFont="1"/>
    <xf numFmtId="43" fontId="0" fillId="0" borderId="0" xfId="0" applyNumberFormat="1"/>
    <xf numFmtId="43" fontId="0" fillId="0" borderId="0" xfId="0" applyNumberFormat="1" applyAlignment="1">
      <alignment horizontal="center"/>
    </xf>
    <xf numFmtId="43" fontId="23" fillId="0" borderId="0" xfId="1" applyFont="1" applyAlignment="1">
      <alignment horizontal="center"/>
    </xf>
    <xf numFmtId="43" fontId="33" fillId="16" borderId="21" xfId="1" applyFont="1" applyFill="1" applyBorder="1"/>
    <xf numFmtId="43" fontId="33" fillId="16" borderId="24" xfId="1" applyFont="1" applyFill="1" applyBorder="1"/>
    <xf numFmtId="43" fontId="33" fillId="16" borderId="53" xfId="1" applyFont="1" applyFill="1" applyBorder="1"/>
    <xf numFmtId="43" fontId="33" fillId="17" borderId="28" xfId="1" applyFont="1" applyFill="1" applyBorder="1"/>
    <xf numFmtId="43" fontId="0" fillId="0" borderId="8" xfId="1" applyFont="1" applyBorder="1" applyAlignment="1">
      <alignment horizontal="center"/>
    </xf>
    <xf numFmtId="43" fontId="0" fillId="0" borderId="21" xfId="1" applyFont="1" applyBorder="1" applyAlignment="1">
      <alignment horizontal="center"/>
    </xf>
    <xf numFmtId="43" fontId="0" fillId="0" borderId="2" xfId="1" applyFont="1" applyBorder="1" applyAlignment="1">
      <alignment horizontal="center"/>
    </xf>
    <xf numFmtId="16" fontId="4" fillId="0" borderId="6" xfId="0" applyNumberFormat="1" applyFont="1" applyBorder="1" applyAlignment="1">
      <alignment horizontal="center" wrapText="1"/>
    </xf>
    <xf numFmtId="16" fontId="3" fillId="2" borderId="1" xfId="0" applyNumberFormat="1" applyFont="1" applyFill="1" applyBorder="1" applyAlignment="1">
      <alignment horizontal="center" vertical="center"/>
    </xf>
    <xf numFmtId="16" fontId="3" fillId="2" borderId="7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16" fontId="3" fillId="2" borderId="3" xfId="0" applyNumberFormat="1" applyFont="1" applyFill="1" applyBorder="1" applyAlignment="1">
      <alignment horizontal="center" vertical="center"/>
    </xf>
    <xf numFmtId="16" fontId="3" fillId="2" borderId="9" xfId="0" applyNumberFormat="1" applyFont="1" applyFill="1" applyBorder="1" applyAlignment="1">
      <alignment horizontal="center" vertical="center"/>
    </xf>
    <xf numFmtId="16" fontId="3" fillId="2" borderId="6" xfId="0" applyNumberFormat="1" applyFont="1" applyFill="1" applyBorder="1" applyAlignment="1">
      <alignment horizontal="center" vertical="center"/>
    </xf>
    <xf numFmtId="16" fontId="3" fillId="2" borderId="2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FE1FF"/>
      <color rgb="FFFF99CC"/>
      <color rgb="FFFF6699"/>
      <color rgb="FFFFCC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T77"/>
  <sheetViews>
    <sheetView tabSelected="1" topLeftCell="AI1" zoomScale="60" zoomScaleNormal="60" workbookViewId="0">
      <selection activeCell="AP44" sqref="AP44:AP74"/>
    </sheetView>
  </sheetViews>
  <sheetFormatPr baseColWidth="10" defaultRowHeight="15" x14ac:dyDescent="0.25"/>
  <cols>
    <col min="1" max="1" width="6.28515625" customWidth="1"/>
    <col min="2" max="2" width="8.5703125" customWidth="1"/>
    <col min="3" max="3" width="18.42578125" bestFit="1" customWidth="1"/>
    <col min="4" max="4" width="17" bestFit="1" customWidth="1"/>
    <col min="5" max="5" width="16.85546875" customWidth="1"/>
    <col min="6" max="6" width="1.42578125" style="210" customWidth="1"/>
    <col min="7" max="9" width="20.140625" bestFit="1" customWidth="1"/>
    <col min="10" max="10" width="22" bestFit="1" customWidth="1"/>
    <col min="12" max="12" width="11.42578125" customWidth="1"/>
    <col min="13" max="13" width="18.42578125" bestFit="1" customWidth="1"/>
    <col min="14" max="14" width="21.28515625" customWidth="1"/>
    <col min="15" max="15" width="15.42578125" bestFit="1" customWidth="1"/>
    <col min="16" max="16" width="1.42578125" style="210" customWidth="1"/>
    <col min="17" max="19" width="20.140625" bestFit="1" customWidth="1"/>
    <col min="20" max="20" width="22" bestFit="1" customWidth="1"/>
    <col min="23" max="24" width="18.42578125" bestFit="1" customWidth="1"/>
    <col min="25" max="25" width="15.42578125" bestFit="1" customWidth="1"/>
    <col min="26" max="26" width="1.42578125" style="210" customWidth="1"/>
    <col min="27" max="29" width="20.140625" bestFit="1" customWidth="1"/>
    <col min="30" max="30" width="22" bestFit="1" customWidth="1"/>
    <col min="33" max="33" width="18.42578125" bestFit="1" customWidth="1"/>
    <col min="34" max="34" width="18" customWidth="1"/>
    <col min="35" max="35" width="20.140625" bestFit="1" customWidth="1"/>
    <col min="36" max="36" width="1.42578125" style="210" customWidth="1"/>
    <col min="37" max="39" width="20.140625" bestFit="1" customWidth="1"/>
    <col min="40" max="40" width="22" bestFit="1" customWidth="1"/>
    <col min="43" max="43" width="18.42578125" bestFit="1" customWidth="1"/>
    <col min="44" max="44" width="17" bestFit="1" customWidth="1"/>
    <col min="45" max="45" width="23.5703125" customWidth="1"/>
    <col min="46" max="46" width="13.42578125" customWidth="1"/>
    <col min="47" max="47" width="1.42578125" style="210" customWidth="1"/>
    <col min="48" max="50" width="20.140625" bestFit="1" customWidth="1"/>
    <col min="51" max="51" width="22" bestFit="1" customWidth="1"/>
    <col min="54" max="54" width="17" bestFit="1" customWidth="1"/>
    <col min="55" max="55" width="17.7109375" customWidth="1"/>
    <col min="56" max="56" width="15.42578125" bestFit="1" customWidth="1"/>
    <col min="57" max="57" width="15.42578125" customWidth="1"/>
    <col min="58" max="58" width="1.42578125" style="210" customWidth="1"/>
    <col min="59" max="61" width="20.140625" bestFit="1" customWidth="1"/>
    <col min="62" max="62" width="22" bestFit="1" customWidth="1"/>
    <col min="65" max="65" width="17" bestFit="1" customWidth="1"/>
    <col min="66" max="66" width="15.42578125" bestFit="1" customWidth="1"/>
    <col min="67" max="67" width="14.85546875" customWidth="1"/>
    <col min="68" max="68" width="20.140625" bestFit="1" customWidth="1"/>
    <col min="69" max="69" width="1.42578125" style="210" customWidth="1"/>
    <col min="70" max="72" width="20.140625" bestFit="1" customWidth="1"/>
    <col min="73" max="73" width="22" bestFit="1" customWidth="1"/>
    <col min="76" max="76" width="18.42578125" bestFit="1" customWidth="1"/>
    <col min="77" max="77" width="18.140625" customWidth="1"/>
    <col min="78" max="78" width="15.42578125" bestFit="1" customWidth="1"/>
    <col min="79" max="79" width="1.42578125" style="210" customWidth="1"/>
    <col min="80" max="82" width="20.140625" bestFit="1" customWidth="1"/>
    <col min="83" max="83" width="22" bestFit="1" customWidth="1"/>
    <col min="86" max="86" width="18.42578125" bestFit="1" customWidth="1"/>
    <col min="87" max="87" width="17" bestFit="1" customWidth="1"/>
    <col min="88" max="88" width="16.5703125" customWidth="1"/>
    <col min="89" max="89" width="1.42578125" style="210" customWidth="1"/>
    <col min="90" max="92" width="20.140625" bestFit="1" customWidth="1"/>
    <col min="93" max="93" width="22" bestFit="1" customWidth="1"/>
    <col min="96" max="96" width="18.42578125" bestFit="1" customWidth="1"/>
    <col min="97" max="97" width="15.42578125" bestFit="1" customWidth="1"/>
    <col min="99" max="99" width="15.42578125" bestFit="1" customWidth="1"/>
    <col min="100" max="100" width="1.42578125" style="210" customWidth="1"/>
    <col min="101" max="103" width="20.140625" bestFit="1" customWidth="1"/>
    <col min="104" max="104" width="22" bestFit="1" customWidth="1"/>
    <col min="107" max="108" width="17" bestFit="1" customWidth="1"/>
    <col min="109" max="109" width="15.42578125" bestFit="1" customWidth="1"/>
    <col min="110" max="110" width="1.42578125" style="210" customWidth="1"/>
    <col min="111" max="113" width="20.140625" bestFit="1" customWidth="1"/>
    <col min="114" max="114" width="22" bestFit="1" customWidth="1"/>
    <col min="117" max="117" width="18.7109375" customWidth="1"/>
    <col min="118" max="118" width="15.42578125" bestFit="1" customWidth="1"/>
    <col min="119" max="119" width="1.42578125" style="210" customWidth="1"/>
    <col min="120" max="122" width="20.140625" bestFit="1" customWidth="1"/>
    <col min="123" max="123" width="22" bestFit="1" customWidth="1"/>
    <col min="126" max="126" width="17.42578125" customWidth="1"/>
    <col min="127" max="127" width="15.42578125" bestFit="1" customWidth="1"/>
    <col min="128" max="128" width="1.42578125" style="210" customWidth="1"/>
    <col min="129" max="131" width="20.140625" bestFit="1" customWidth="1"/>
    <col min="132" max="132" width="22" bestFit="1" customWidth="1"/>
    <col min="135" max="135" width="18.5703125" customWidth="1"/>
    <col min="136" max="136" width="17.7109375" customWidth="1"/>
    <col min="137" max="137" width="1.42578125" style="210" customWidth="1"/>
    <col min="138" max="140" width="12.5703125" hidden="1" customWidth="1"/>
    <col min="141" max="141" width="15" hidden="1" customWidth="1"/>
    <col min="144" max="144" width="17" bestFit="1" customWidth="1"/>
    <col min="145" max="145" width="15.42578125" bestFit="1" customWidth="1"/>
    <col min="146" max="146" width="1.42578125" style="210" customWidth="1"/>
    <col min="147" max="149" width="12.5703125" hidden="1" customWidth="1"/>
    <col min="150" max="150" width="15" hidden="1" customWidth="1"/>
  </cols>
  <sheetData>
    <row r="1" spans="2:150" ht="6" customHeight="1" x14ac:dyDescent="0.25"/>
    <row r="2" spans="2:150" ht="18" customHeight="1" x14ac:dyDescent="0.35">
      <c r="B2" s="341" t="s">
        <v>0</v>
      </c>
      <c r="C2" s="341"/>
      <c r="D2" s="1"/>
      <c r="E2" s="1"/>
      <c r="F2" s="211"/>
      <c r="G2" s="1"/>
      <c r="H2" s="1"/>
      <c r="I2" s="1"/>
      <c r="J2" s="1"/>
      <c r="K2" s="1"/>
      <c r="L2" s="341" t="s">
        <v>1</v>
      </c>
      <c r="M2" s="341"/>
      <c r="N2" s="341"/>
      <c r="P2" s="211"/>
      <c r="Q2" s="1"/>
      <c r="R2" s="1"/>
      <c r="S2" s="1"/>
      <c r="T2" s="1"/>
      <c r="V2" s="341" t="s">
        <v>2</v>
      </c>
      <c r="W2" s="341"/>
      <c r="X2" s="2"/>
      <c r="Z2" s="211"/>
      <c r="AA2" s="1"/>
      <c r="AB2" s="1"/>
      <c r="AC2" s="1"/>
      <c r="AD2" s="1"/>
      <c r="AF2" s="341" t="s">
        <v>3</v>
      </c>
      <c r="AG2" s="341"/>
      <c r="AJ2" s="211"/>
      <c r="AK2" s="1"/>
      <c r="AL2" s="1"/>
      <c r="AM2" s="1"/>
      <c r="AN2" s="1"/>
      <c r="AP2" s="341" t="s">
        <v>4</v>
      </c>
      <c r="AQ2" s="341"/>
      <c r="AR2" s="2"/>
      <c r="AU2" s="211"/>
      <c r="AV2" s="1"/>
      <c r="AW2" s="1"/>
      <c r="AX2" s="1"/>
      <c r="AY2" s="1"/>
      <c r="BA2" s="341" t="s">
        <v>5</v>
      </c>
      <c r="BB2" s="341"/>
      <c r="BC2" s="2"/>
      <c r="BF2" s="211"/>
      <c r="BG2" s="1"/>
      <c r="BH2" s="1"/>
      <c r="BI2" s="1"/>
      <c r="BJ2" s="1"/>
      <c r="BL2" s="341" t="s">
        <v>6</v>
      </c>
      <c r="BM2" s="341"/>
      <c r="BN2" s="2"/>
      <c r="BQ2" s="211"/>
      <c r="BR2" s="1"/>
      <c r="BS2" s="1"/>
      <c r="BT2" s="1"/>
      <c r="BU2" s="1"/>
      <c r="BW2" s="341" t="s">
        <v>7</v>
      </c>
      <c r="BX2" s="341"/>
      <c r="CA2" s="211"/>
      <c r="CB2" s="1"/>
      <c r="CC2" s="1"/>
      <c r="CD2" s="1"/>
      <c r="CE2" s="1"/>
      <c r="CG2" s="341" t="s">
        <v>8</v>
      </c>
      <c r="CH2" s="341"/>
      <c r="CI2" s="2"/>
      <c r="CK2" s="211"/>
      <c r="CL2" s="1"/>
      <c r="CM2" s="1"/>
      <c r="CN2" s="1"/>
      <c r="CO2" s="1"/>
      <c r="CQ2" s="341" t="s">
        <v>9</v>
      </c>
      <c r="CR2" s="341"/>
      <c r="CS2" s="2"/>
      <c r="CV2" s="211"/>
      <c r="CW2" s="1"/>
      <c r="CX2" s="1"/>
      <c r="CY2" s="1"/>
      <c r="CZ2" s="1"/>
      <c r="DB2" s="341" t="s">
        <v>10</v>
      </c>
      <c r="DC2" s="341"/>
      <c r="DF2" s="211"/>
      <c r="DG2" s="1"/>
      <c r="DH2" s="1"/>
      <c r="DI2" s="1"/>
      <c r="DJ2" s="1"/>
      <c r="DL2" s="341" t="s">
        <v>11</v>
      </c>
      <c r="DM2" s="341"/>
      <c r="DO2" s="211"/>
      <c r="DP2" s="1"/>
      <c r="DQ2" s="1"/>
      <c r="DR2" s="1"/>
      <c r="DS2" s="1"/>
      <c r="DU2" s="3" t="s">
        <v>12</v>
      </c>
      <c r="DV2" s="3"/>
      <c r="DX2" s="211"/>
      <c r="DY2" s="1"/>
      <c r="DZ2" s="1"/>
      <c r="EA2" s="1"/>
      <c r="EB2" s="1"/>
      <c r="ED2" s="341" t="s">
        <v>13</v>
      </c>
      <c r="EE2" s="341"/>
      <c r="EG2" s="211"/>
      <c r="EH2" s="1"/>
      <c r="EI2" s="1"/>
      <c r="EJ2" s="1"/>
      <c r="EK2" s="1"/>
      <c r="EM2" s="341" t="s">
        <v>14</v>
      </c>
      <c r="EN2" s="341"/>
      <c r="EP2" s="211"/>
      <c r="EQ2" s="1"/>
      <c r="ER2" s="1"/>
      <c r="ES2" s="1"/>
      <c r="ET2" s="1"/>
    </row>
    <row r="3" spans="2:150" ht="7.5" customHeight="1" thickBot="1" x14ac:dyDescent="0.3"/>
    <row r="4" spans="2:150" x14ac:dyDescent="0.25">
      <c r="B4" s="339" t="s">
        <v>15</v>
      </c>
      <c r="C4" s="4" t="s">
        <v>16</v>
      </c>
      <c r="D4" s="4" t="s">
        <v>16</v>
      </c>
      <c r="E4" s="205" t="s">
        <v>17</v>
      </c>
      <c r="F4" s="212"/>
      <c r="G4" s="217" t="s">
        <v>17</v>
      </c>
      <c r="H4" s="219" t="s">
        <v>17</v>
      </c>
      <c r="I4" s="221" t="s">
        <v>17</v>
      </c>
      <c r="J4" s="223" t="s">
        <v>23</v>
      </c>
      <c r="L4" s="339" t="s">
        <v>15</v>
      </c>
      <c r="M4" s="4" t="s">
        <v>16</v>
      </c>
      <c r="N4" s="4" t="s">
        <v>16</v>
      </c>
      <c r="O4" s="5" t="s">
        <v>17</v>
      </c>
      <c r="P4" s="212"/>
      <c r="Q4" s="217" t="s">
        <v>17</v>
      </c>
      <c r="R4" s="219" t="s">
        <v>17</v>
      </c>
      <c r="S4" s="221" t="s">
        <v>17</v>
      </c>
      <c r="T4" s="223" t="s">
        <v>23</v>
      </c>
      <c r="V4" s="339" t="s">
        <v>15</v>
      </c>
      <c r="W4" s="4" t="s">
        <v>16</v>
      </c>
      <c r="X4" s="4" t="s">
        <v>16</v>
      </c>
      <c r="Y4" s="5" t="s">
        <v>17</v>
      </c>
      <c r="Z4" s="212"/>
      <c r="AA4" s="217" t="s">
        <v>17</v>
      </c>
      <c r="AB4" s="219" t="s">
        <v>17</v>
      </c>
      <c r="AC4" s="221" t="s">
        <v>17</v>
      </c>
      <c r="AD4" s="223" t="s">
        <v>23</v>
      </c>
      <c r="AF4" s="339" t="s">
        <v>15</v>
      </c>
      <c r="AG4" s="4" t="s">
        <v>16</v>
      </c>
      <c r="AH4" s="4" t="s">
        <v>16</v>
      </c>
      <c r="AI4" s="5" t="s">
        <v>17</v>
      </c>
      <c r="AJ4" s="212"/>
      <c r="AK4" s="217" t="s">
        <v>17</v>
      </c>
      <c r="AL4" s="219" t="s">
        <v>17</v>
      </c>
      <c r="AM4" s="221" t="s">
        <v>17</v>
      </c>
      <c r="AN4" s="223" t="s">
        <v>23</v>
      </c>
      <c r="AP4" s="339" t="s">
        <v>15</v>
      </c>
      <c r="AQ4" s="4" t="s">
        <v>16</v>
      </c>
      <c r="AR4" s="4" t="s">
        <v>16</v>
      </c>
      <c r="AS4" s="4" t="s">
        <v>16</v>
      </c>
      <c r="AT4" s="5" t="s">
        <v>17</v>
      </c>
      <c r="AU4" s="212"/>
      <c r="AV4" s="217" t="s">
        <v>17</v>
      </c>
      <c r="AW4" s="219" t="s">
        <v>17</v>
      </c>
      <c r="AX4" s="221" t="s">
        <v>17</v>
      </c>
      <c r="AY4" s="223" t="s">
        <v>23</v>
      </c>
      <c r="BA4" s="342" t="s">
        <v>15</v>
      </c>
      <c r="BB4" s="6" t="s">
        <v>16</v>
      </c>
      <c r="BC4" s="6" t="s">
        <v>16</v>
      </c>
      <c r="BD4" s="7" t="s">
        <v>17</v>
      </c>
      <c r="BE4" s="8" t="s">
        <v>18</v>
      </c>
      <c r="BF4" s="212"/>
      <c r="BG4" s="217" t="s">
        <v>17</v>
      </c>
      <c r="BH4" s="219" t="s">
        <v>17</v>
      </c>
      <c r="BI4" s="221" t="s">
        <v>17</v>
      </c>
      <c r="BJ4" s="223" t="s">
        <v>23</v>
      </c>
      <c r="BL4" s="342" t="s">
        <v>15</v>
      </c>
      <c r="BM4" s="6" t="s">
        <v>16</v>
      </c>
      <c r="BN4" s="6" t="s">
        <v>16</v>
      </c>
      <c r="BO4" s="8" t="s">
        <v>17</v>
      </c>
      <c r="BP4" s="7" t="s">
        <v>17</v>
      </c>
      <c r="BQ4" s="212"/>
      <c r="BR4" s="217" t="s">
        <v>17</v>
      </c>
      <c r="BS4" s="219" t="s">
        <v>17</v>
      </c>
      <c r="BT4" s="221" t="s">
        <v>17</v>
      </c>
      <c r="BU4" s="223" t="s">
        <v>23</v>
      </c>
      <c r="BW4" s="339" t="s">
        <v>15</v>
      </c>
      <c r="BX4" s="4" t="s">
        <v>16</v>
      </c>
      <c r="BY4" s="4" t="s">
        <v>16</v>
      </c>
      <c r="BZ4" s="5" t="s">
        <v>17</v>
      </c>
      <c r="CA4" s="212"/>
      <c r="CB4" s="217" t="s">
        <v>17</v>
      </c>
      <c r="CC4" s="219" t="s">
        <v>17</v>
      </c>
      <c r="CD4" s="221" t="s">
        <v>17</v>
      </c>
      <c r="CE4" s="223" t="s">
        <v>23</v>
      </c>
      <c r="CG4" s="339" t="s">
        <v>15</v>
      </c>
      <c r="CH4" s="4" t="s">
        <v>16</v>
      </c>
      <c r="CI4" s="4" t="s">
        <v>16</v>
      </c>
      <c r="CJ4" s="5" t="s">
        <v>17</v>
      </c>
      <c r="CK4" s="212"/>
      <c r="CL4" s="217" t="s">
        <v>17</v>
      </c>
      <c r="CM4" s="219" t="s">
        <v>17</v>
      </c>
      <c r="CN4" s="221" t="s">
        <v>17</v>
      </c>
      <c r="CO4" s="223" t="s">
        <v>23</v>
      </c>
      <c r="CQ4" s="339" t="s">
        <v>15</v>
      </c>
      <c r="CR4" s="4" t="s">
        <v>16</v>
      </c>
      <c r="CS4" s="4" t="s">
        <v>16</v>
      </c>
      <c r="CU4" s="5" t="s">
        <v>17</v>
      </c>
      <c r="CV4" s="212"/>
      <c r="CW4" s="217" t="s">
        <v>17</v>
      </c>
      <c r="CX4" s="219" t="s">
        <v>17</v>
      </c>
      <c r="CY4" s="221" t="s">
        <v>17</v>
      </c>
      <c r="CZ4" s="223" t="s">
        <v>23</v>
      </c>
      <c r="DB4" s="339" t="s">
        <v>15</v>
      </c>
      <c r="DC4" s="4" t="s">
        <v>16</v>
      </c>
      <c r="DD4" s="4" t="s">
        <v>16</v>
      </c>
      <c r="DE4" s="5" t="s">
        <v>17</v>
      </c>
      <c r="DF4" s="212"/>
      <c r="DG4" s="217" t="s">
        <v>17</v>
      </c>
      <c r="DH4" s="219" t="s">
        <v>17</v>
      </c>
      <c r="DI4" s="221" t="s">
        <v>17</v>
      </c>
      <c r="DJ4" s="223" t="s">
        <v>23</v>
      </c>
      <c r="DL4" s="339" t="s">
        <v>15</v>
      </c>
      <c r="DM4" s="4" t="s">
        <v>16</v>
      </c>
      <c r="DN4" s="5" t="s">
        <v>17</v>
      </c>
      <c r="DO4" s="212"/>
      <c r="DP4" s="217" t="s">
        <v>17</v>
      </c>
      <c r="DQ4" s="219" t="s">
        <v>17</v>
      </c>
      <c r="DR4" s="221" t="s">
        <v>17</v>
      </c>
      <c r="DS4" s="223" t="s">
        <v>23</v>
      </c>
      <c r="DU4" s="339" t="s">
        <v>15</v>
      </c>
      <c r="DV4" s="4" t="s">
        <v>16</v>
      </c>
      <c r="DW4" s="5" t="s">
        <v>17</v>
      </c>
      <c r="DX4" s="212"/>
      <c r="DY4" s="217" t="s">
        <v>17</v>
      </c>
      <c r="DZ4" s="219" t="s">
        <v>17</v>
      </c>
      <c r="EA4" s="221" t="s">
        <v>17</v>
      </c>
      <c r="EB4" s="223" t="s">
        <v>23</v>
      </c>
      <c r="ED4" s="344" t="s">
        <v>15</v>
      </c>
      <c r="EE4" s="9" t="s">
        <v>16</v>
      </c>
      <c r="EF4" s="10" t="s">
        <v>17</v>
      </c>
      <c r="EG4" s="212"/>
      <c r="EH4" s="217" t="s">
        <v>17</v>
      </c>
      <c r="EI4" s="219" t="s">
        <v>17</v>
      </c>
      <c r="EJ4" s="221" t="s">
        <v>17</v>
      </c>
      <c r="EK4" s="223" t="s">
        <v>23</v>
      </c>
      <c r="EM4" s="344" t="s">
        <v>15</v>
      </c>
      <c r="EN4" s="9" t="s">
        <v>16</v>
      </c>
      <c r="EO4" s="10" t="s">
        <v>17</v>
      </c>
      <c r="EP4" s="212"/>
      <c r="EQ4" s="217" t="s">
        <v>17</v>
      </c>
      <c r="ER4" s="219" t="s">
        <v>17</v>
      </c>
      <c r="ES4" s="221" t="s">
        <v>17</v>
      </c>
      <c r="ET4" s="223" t="s">
        <v>23</v>
      </c>
    </row>
    <row r="5" spans="2:150" ht="15.75" thickBot="1" x14ac:dyDescent="0.3">
      <c r="B5" s="340"/>
      <c r="C5" s="11" t="s">
        <v>19</v>
      </c>
      <c r="D5" s="11" t="s">
        <v>20</v>
      </c>
      <c r="E5" s="206" t="s">
        <v>21</v>
      </c>
      <c r="F5" s="212"/>
      <c r="G5" s="218" t="s">
        <v>64</v>
      </c>
      <c r="H5" s="220" t="s">
        <v>65</v>
      </c>
      <c r="I5" s="222" t="s">
        <v>66</v>
      </c>
      <c r="J5" s="224" t="s">
        <v>67</v>
      </c>
      <c r="L5" s="340"/>
      <c r="M5" s="11" t="s">
        <v>19</v>
      </c>
      <c r="N5" s="11" t="s">
        <v>20</v>
      </c>
      <c r="O5" s="12" t="s">
        <v>21</v>
      </c>
      <c r="P5" s="212"/>
      <c r="Q5" s="218" t="s">
        <v>64</v>
      </c>
      <c r="R5" s="220" t="s">
        <v>65</v>
      </c>
      <c r="S5" s="222" t="s">
        <v>66</v>
      </c>
      <c r="T5" s="224" t="s">
        <v>67</v>
      </c>
      <c r="V5" s="340"/>
      <c r="W5" s="11" t="s">
        <v>19</v>
      </c>
      <c r="X5" s="11" t="s">
        <v>20</v>
      </c>
      <c r="Y5" s="12" t="s">
        <v>21</v>
      </c>
      <c r="Z5" s="212"/>
      <c r="AA5" s="218" t="s">
        <v>64</v>
      </c>
      <c r="AB5" s="220" t="s">
        <v>65</v>
      </c>
      <c r="AC5" s="222" t="s">
        <v>66</v>
      </c>
      <c r="AD5" s="224" t="s">
        <v>67</v>
      </c>
      <c r="AF5" s="340"/>
      <c r="AG5" s="11" t="s">
        <v>19</v>
      </c>
      <c r="AH5" s="11" t="s">
        <v>20</v>
      </c>
      <c r="AI5" s="12" t="s">
        <v>21</v>
      </c>
      <c r="AJ5" s="212"/>
      <c r="AK5" s="218" t="s">
        <v>64</v>
      </c>
      <c r="AL5" s="220" t="s">
        <v>65</v>
      </c>
      <c r="AM5" s="222" t="s">
        <v>66</v>
      </c>
      <c r="AN5" s="224" t="s">
        <v>67</v>
      </c>
      <c r="AP5" s="340"/>
      <c r="AQ5" s="11" t="s">
        <v>19</v>
      </c>
      <c r="AR5" s="11" t="s">
        <v>20</v>
      </c>
      <c r="AS5" s="11" t="s">
        <v>22</v>
      </c>
      <c r="AT5" s="12" t="s">
        <v>21</v>
      </c>
      <c r="AU5" s="212"/>
      <c r="AV5" s="218" t="s">
        <v>64</v>
      </c>
      <c r="AW5" s="220" t="s">
        <v>65</v>
      </c>
      <c r="AX5" s="222" t="s">
        <v>66</v>
      </c>
      <c r="AY5" s="224" t="s">
        <v>67</v>
      </c>
      <c r="BA5" s="343"/>
      <c r="BB5" s="4" t="s">
        <v>19</v>
      </c>
      <c r="BC5" s="4" t="s">
        <v>20</v>
      </c>
      <c r="BD5" s="5" t="s">
        <v>21</v>
      </c>
      <c r="BE5" s="13" t="s">
        <v>20</v>
      </c>
      <c r="BF5" s="212"/>
      <c r="BG5" s="218" t="s">
        <v>64</v>
      </c>
      <c r="BH5" s="220" t="s">
        <v>65</v>
      </c>
      <c r="BI5" s="222" t="s">
        <v>66</v>
      </c>
      <c r="BJ5" s="224" t="s">
        <v>67</v>
      </c>
      <c r="BL5" s="343"/>
      <c r="BM5" s="4" t="s">
        <v>19</v>
      </c>
      <c r="BN5" s="4" t="s">
        <v>20</v>
      </c>
      <c r="BO5" s="13" t="s">
        <v>20</v>
      </c>
      <c r="BP5" s="5" t="s">
        <v>21</v>
      </c>
      <c r="BQ5" s="212"/>
      <c r="BR5" s="218" t="s">
        <v>64</v>
      </c>
      <c r="BS5" s="220" t="s">
        <v>65</v>
      </c>
      <c r="BT5" s="222" t="s">
        <v>66</v>
      </c>
      <c r="BU5" s="224" t="s">
        <v>67</v>
      </c>
      <c r="BW5" s="340"/>
      <c r="BX5" s="11" t="s">
        <v>19</v>
      </c>
      <c r="BY5" s="11" t="s">
        <v>20</v>
      </c>
      <c r="BZ5" s="12" t="s">
        <v>21</v>
      </c>
      <c r="CA5" s="212"/>
      <c r="CB5" s="218" t="s">
        <v>64</v>
      </c>
      <c r="CC5" s="220" t="s">
        <v>65</v>
      </c>
      <c r="CD5" s="222" t="s">
        <v>66</v>
      </c>
      <c r="CE5" s="224" t="s">
        <v>67</v>
      </c>
      <c r="CG5" s="340"/>
      <c r="CH5" s="11" t="s">
        <v>19</v>
      </c>
      <c r="CI5" s="11" t="s">
        <v>20</v>
      </c>
      <c r="CJ5" s="12" t="s">
        <v>21</v>
      </c>
      <c r="CK5" s="212"/>
      <c r="CL5" s="218" t="s">
        <v>64</v>
      </c>
      <c r="CM5" s="220" t="s">
        <v>65</v>
      </c>
      <c r="CN5" s="222" t="s">
        <v>66</v>
      </c>
      <c r="CO5" s="224" t="s">
        <v>67</v>
      </c>
      <c r="CQ5" s="340"/>
      <c r="CR5" s="11" t="s">
        <v>19</v>
      </c>
      <c r="CS5" s="11" t="s">
        <v>20</v>
      </c>
      <c r="CU5" s="12" t="s">
        <v>21</v>
      </c>
      <c r="CV5" s="212"/>
      <c r="CW5" s="218" t="s">
        <v>64</v>
      </c>
      <c r="CX5" s="220" t="s">
        <v>65</v>
      </c>
      <c r="CY5" s="222" t="s">
        <v>66</v>
      </c>
      <c r="CZ5" s="224" t="s">
        <v>67</v>
      </c>
      <c r="DB5" s="340"/>
      <c r="DC5" s="11" t="s">
        <v>19</v>
      </c>
      <c r="DD5" s="11" t="s">
        <v>20</v>
      </c>
      <c r="DE5" s="12" t="s">
        <v>21</v>
      </c>
      <c r="DF5" s="212"/>
      <c r="DG5" s="218" t="s">
        <v>64</v>
      </c>
      <c r="DH5" s="220" t="s">
        <v>65</v>
      </c>
      <c r="DI5" s="222" t="s">
        <v>66</v>
      </c>
      <c r="DJ5" s="224" t="s">
        <v>67</v>
      </c>
      <c r="DL5" s="340"/>
      <c r="DM5" s="11" t="s">
        <v>19</v>
      </c>
      <c r="DN5" s="12" t="s">
        <v>21</v>
      </c>
      <c r="DO5" s="212"/>
      <c r="DP5" s="218" t="s">
        <v>64</v>
      </c>
      <c r="DQ5" s="220" t="s">
        <v>65</v>
      </c>
      <c r="DR5" s="222" t="s">
        <v>66</v>
      </c>
      <c r="DS5" s="224" t="s">
        <v>67</v>
      </c>
      <c r="DU5" s="340"/>
      <c r="DV5" s="11" t="s">
        <v>19</v>
      </c>
      <c r="DW5" s="12" t="s">
        <v>21</v>
      </c>
      <c r="DX5" s="212"/>
      <c r="DY5" s="218" t="s">
        <v>64</v>
      </c>
      <c r="DZ5" s="220" t="s">
        <v>65</v>
      </c>
      <c r="EA5" s="222" t="s">
        <v>66</v>
      </c>
      <c r="EB5" s="224" t="s">
        <v>67</v>
      </c>
      <c r="ED5" s="345"/>
      <c r="EE5" s="4" t="s">
        <v>19</v>
      </c>
      <c r="EF5" s="5" t="s">
        <v>21</v>
      </c>
      <c r="EG5" s="212"/>
      <c r="EH5" s="218" t="s">
        <v>64</v>
      </c>
      <c r="EI5" s="220" t="s">
        <v>65</v>
      </c>
      <c r="EJ5" s="222" t="s">
        <v>66</v>
      </c>
      <c r="EK5" s="224" t="s">
        <v>67</v>
      </c>
      <c r="EM5" s="345"/>
      <c r="EN5" s="4" t="s">
        <v>19</v>
      </c>
      <c r="EO5" s="5" t="s">
        <v>21</v>
      </c>
      <c r="EP5" s="212"/>
      <c r="EQ5" s="218" t="s">
        <v>64</v>
      </c>
      <c r="ER5" s="220" t="s">
        <v>65</v>
      </c>
      <c r="ES5" s="222" t="s">
        <v>66</v>
      </c>
      <c r="ET5" s="224" t="s">
        <v>67</v>
      </c>
    </row>
    <row r="6" spans="2:150" ht="15.75" x14ac:dyDescent="0.25">
      <c r="B6" s="338">
        <v>46023</v>
      </c>
      <c r="C6" s="14"/>
      <c r="D6" s="14"/>
      <c r="E6" s="207"/>
      <c r="F6" s="204"/>
      <c r="G6" s="88"/>
      <c r="H6" s="329"/>
      <c r="I6" s="15"/>
      <c r="J6" s="225">
        <f t="shared" ref="J6:J36" si="0">SUM(E6:I6)</f>
        <v>0</v>
      </c>
      <c r="L6" s="338">
        <v>46023</v>
      </c>
      <c r="M6" s="14"/>
      <c r="N6" s="14"/>
      <c r="O6" s="16"/>
      <c r="P6" s="204"/>
      <c r="Q6" s="88"/>
      <c r="R6" s="328"/>
      <c r="S6" s="15"/>
      <c r="T6" s="225">
        <f t="shared" ref="T6:T36" si="1">SUM(O6:S6)</f>
        <v>0</v>
      </c>
      <c r="V6" s="338">
        <v>46023</v>
      </c>
      <c r="W6" s="14"/>
      <c r="X6" s="14"/>
      <c r="Y6" s="17"/>
      <c r="Z6" s="204"/>
      <c r="AA6" s="214"/>
      <c r="AB6" s="329"/>
      <c r="AC6" s="15"/>
      <c r="AD6" s="225">
        <f t="shared" ref="AD6:AD36" si="2">SUM(Y6:AC6)</f>
        <v>0</v>
      </c>
      <c r="AF6" s="338">
        <v>46023</v>
      </c>
      <c r="AG6" s="14"/>
      <c r="AH6" s="14"/>
      <c r="AI6" s="18"/>
      <c r="AJ6" s="204"/>
      <c r="AK6" s="88"/>
      <c r="AL6" s="328"/>
      <c r="AM6" s="15"/>
      <c r="AN6" s="225">
        <f t="shared" ref="AN6:AN36" si="3">SUM(AI6:AM6)</f>
        <v>0</v>
      </c>
      <c r="AP6" s="338">
        <v>46023</v>
      </c>
      <c r="AQ6" s="14"/>
      <c r="AR6" s="14"/>
      <c r="AS6" s="14"/>
      <c r="AT6" s="16"/>
      <c r="AU6" s="204"/>
      <c r="AV6" s="88"/>
      <c r="AW6" s="15"/>
      <c r="AX6" s="15"/>
      <c r="AY6" s="225">
        <f t="shared" ref="AY6:AY36" si="4">SUM(AT6:AX6)</f>
        <v>0</v>
      </c>
      <c r="AZ6" s="2"/>
      <c r="BA6" s="338">
        <v>46023</v>
      </c>
      <c r="BB6" s="14"/>
      <c r="BC6" s="19"/>
      <c r="BD6" s="20"/>
      <c r="BE6" s="16"/>
      <c r="BF6" s="204"/>
      <c r="BG6" s="214"/>
      <c r="BH6" s="328"/>
      <c r="BI6" s="335"/>
      <c r="BJ6" s="225">
        <f t="shared" ref="BJ6:BJ36" si="5">SUM(BE6:BI6)</f>
        <v>0</v>
      </c>
      <c r="BK6" s="2"/>
      <c r="BL6" s="338">
        <v>46023</v>
      </c>
      <c r="BM6" s="19"/>
      <c r="BN6" s="19"/>
      <c r="BO6" s="16"/>
      <c r="BP6" s="20"/>
      <c r="BQ6" s="204"/>
      <c r="BR6" s="88"/>
      <c r="BS6" s="328"/>
      <c r="BT6" s="15"/>
      <c r="BU6" s="225">
        <f>SUM(BP6:BT6)</f>
        <v>0</v>
      </c>
      <c r="BV6" s="2"/>
      <c r="BW6" s="338">
        <v>46023</v>
      </c>
      <c r="BX6" s="14"/>
      <c r="BY6" s="19"/>
      <c r="BZ6" s="21"/>
      <c r="CA6" s="204"/>
      <c r="CB6" s="88"/>
      <c r="CC6" s="328"/>
      <c r="CD6" s="335"/>
      <c r="CE6" s="225">
        <f t="shared" ref="CE6:CE36" si="6">SUM(BZ6:CD6)</f>
        <v>0</v>
      </c>
      <c r="CF6" s="2"/>
      <c r="CG6" s="338">
        <v>46023</v>
      </c>
      <c r="CH6" s="14"/>
      <c r="CI6" s="14"/>
      <c r="CJ6" s="22"/>
      <c r="CK6" s="204"/>
      <c r="CL6" s="214"/>
      <c r="CM6" s="329">
        <v>14.389376000000013</v>
      </c>
      <c r="CN6" s="15"/>
      <c r="CO6" s="225">
        <f t="shared" ref="CO6:CO36" si="7">SUM(CJ6:CN6)</f>
        <v>14.389376000000013</v>
      </c>
      <c r="CP6" s="2"/>
      <c r="CQ6" s="338">
        <v>46023</v>
      </c>
      <c r="CR6" s="14"/>
      <c r="CS6" s="19"/>
      <c r="CT6" s="2"/>
      <c r="CU6" s="23"/>
      <c r="CV6" s="204"/>
      <c r="CW6" s="88"/>
      <c r="CX6" s="329"/>
      <c r="CY6" s="335"/>
      <c r="CZ6" s="225">
        <f>SUM(CU6:CY6)</f>
        <v>0</v>
      </c>
      <c r="DA6" s="2"/>
      <c r="DB6" s="338">
        <v>46023</v>
      </c>
      <c r="DC6" s="24"/>
      <c r="DD6" s="19"/>
      <c r="DE6" s="16"/>
      <c r="DF6" s="204"/>
      <c r="DG6" s="88"/>
      <c r="DH6" s="328"/>
      <c r="DI6" s="335"/>
      <c r="DJ6" s="225">
        <f t="shared" ref="DJ6:DJ36" si="8">SUM(DE6:DI6)</f>
        <v>0</v>
      </c>
      <c r="DK6" s="2"/>
      <c r="DL6" s="338">
        <v>46023</v>
      </c>
      <c r="DM6" s="19"/>
      <c r="DN6" s="15"/>
      <c r="DO6" s="204"/>
      <c r="DP6" s="88"/>
      <c r="DQ6" s="15"/>
      <c r="DR6" s="15"/>
      <c r="DS6" s="225">
        <f t="shared" ref="DS6:DS36" si="9">SUM(DN6:DR6)</f>
        <v>0</v>
      </c>
      <c r="DT6" s="2"/>
      <c r="DU6" s="338">
        <v>46023</v>
      </c>
      <c r="DV6" s="19"/>
      <c r="DW6" s="25"/>
      <c r="DX6" s="204"/>
      <c r="DY6" s="214"/>
      <c r="DZ6" s="15"/>
      <c r="EA6" s="15"/>
      <c r="EB6" s="225">
        <f t="shared" ref="EB6:EB36" si="10">SUM(DW6:EA6)</f>
        <v>0</v>
      </c>
      <c r="EC6" s="2"/>
      <c r="ED6" s="338">
        <v>46023</v>
      </c>
      <c r="EE6" s="14"/>
      <c r="EF6" s="18"/>
      <c r="EG6" s="204"/>
      <c r="EH6" s="214"/>
      <c r="EI6" s="15"/>
      <c r="EJ6" s="15"/>
      <c r="EK6" s="225">
        <f t="shared" ref="EK6:EK36" si="11">SUM(EF6:EJ6)</f>
        <v>0</v>
      </c>
      <c r="EL6" s="2"/>
      <c r="EM6" s="338">
        <v>46023</v>
      </c>
      <c r="EN6" s="14"/>
      <c r="EO6" s="15"/>
      <c r="EP6" s="204"/>
      <c r="EQ6" s="88">
        <v>19.52455699999998</v>
      </c>
      <c r="ER6" s="15"/>
      <c r="ES6" s="15"/>
      <c r="ET6" s="225">
        <f t="shared" ref="ET6:ET36" si="12">SUM(EO6:ES6)</f>
        <v>19.52455699999998</v>
      </c>
    </row>
    <row r="7" spans="2:150" ht="15.75" x14ac:dyDescent="0.25">
      <c r="B7" s="338">
        <v>46024</v>
      </c>
      <c r="C7" s="26"/>
      <c r="D7" s="27"/>
      <c r="E7" s="208"/>
      <c r="F7" s="204"/>
      <c r="G7" s="88"/>
      <c r="H7" s="329"/>
      <c r="I7" s="28"/>
      <c r="J7" s="226">
        <f t="shared" si="0"/>
        <v>0</v>
      </c>
      <c r="L7" s="338">
        <v>46024</v>
      </c>
      <c r="M7" s="26"/>
      <c r="N7" s="26"/>
      <c r="O7" s="29"/>
      <c r="P7" s="204"/>
      <c r="Q7" s="88"/>
      <c r="R7" s="328"/>
      <c r="S7" s="28"/>
      <c r="T7" s="226">
        <f t="shared" si="1"/>
        <v>0</v>
      </c>
      <c r="V7" s="338">
        <v>46024</v>
      </c>
      <c r="W7" s="26"/>
      <c r="X7" s="26"/>
      <c r="Y7" s="30"/>
      <c r="Z7" s="204"/>
      <c r="AA7" s="215"/>
      <c r="AB7" s="329"/>
      <c r="AC7" s="28"/>
      <c r="AD7" s="226">
        <f t="shared" si="2"/>
        <v>0</v>
      </c>
      <c r="AF7" s="338">
        <v>46024</v>
      </c>
      <c r="AG7" s="26"/>
      <c r="AH7" s="26"/>
      <c r="AI7" s="31"/>
      <c r="AJ7" s="204"/>
      <c r="AK7" s="88"/>
      <c r="AL7" s="328"/>
      <c r="AM7" s="28"/>
      <c r="AN7" s="226">
        <f t="shared" si="3"/>
        <v>0</v>
      </c>
      <c r="AP7" s="338">
        <v>46024</v>
      </c>
      <c r="AQ7" s="26"/>
      <c r="AR7" s="26"/>
      <c r="AS7" s="26"/>
      <c r="AT7" s="32"/>
      <c r="AU7" s="204"/>
      <c r="AV7" s="88"/>
      <c r="AW7" s="28"/>
      <c r="AX7" s="28"/>
      <c r="AY7" s="226">
        <f t="shared" si="4"/>
        <v>0</v>
      </c>
      <c r="AZ7" s="2"/>
      <c r="BA7" s="338">
        <v>46024</v>
      </c>
      <c r="BB7" s="27"/>
      <c r="BC7" s="27"/>
      <c r="BD7" s="33"/>
      <c r="BE7" s="29"/>
      <c r="BF7" s="204"/>
      <c r="BG7" s="215"/>
      <c r="BH7" s="328"/>
      <c r="BI7" s="335"/>
      <c r="BJ7" s="226">
        <f t="shared" si="5"/>
        <v>0</v>
      </c>
      <c r="BK7" s="2"/>
      <c r="BL7" s="338">
        <v>46024</v>
      </c>
      <c r="BM7" s="27"/>
      <c r="BN7" s="27"/>
      <c r="BO7" s="29"/>
      <c r="BP7" s="33"/>
      <c r="BQ7" s="204"/>
      <c r="BR7" s="88"/>
      <c r="BS7" s="328"/>
      <c r="BT7" s="28"/>
      <c r="BU7" s="226">
        <f t="shared" ref="BU7:BU36" si="13">SUM(BP7:BT7)</f>
        <v>0</v>
      </c>
      <c r="BV7" s="2"/>
      <c r="BW7" s="338">
        <v>46024</v>
      </c>
      <c r="BX7" s="26"/>
      <c r="BY7" s="27"/>
      <c r="BZ7" s="34"/>
      <c r="CA7" s="204"/>
      <c r="CB7" s="88"/>
      <c r="CC7" s="328"/>
      <c r="CD7" s="335"/>
      <c r="CE7" s="226">
        <f t="shared" si="6"/>
        <v>0</v>
      </c>
      <c r="CF7" s="2"/>
      <c r="CG7" s="338">
        <v>46024</v>
      </c>
      <c r="CH7" s="26"/>
      <c r="CI7" s="27"/>
      <c r="CJ7" s="31"/>
      <c r="CK7" s="204"/>
      <c r="CL7" s="215"/>
      <c r="CM7" s="329">
        <v>29.470209000000011</v>
      </c>
      <c r="CN7" s="28"/>
      <c r="CO7" s="226">
        <f t="shared" si="7"/>
        <v>29.470209000000011</v>
      </c>
      <c r="CP7" s="2"/>
      <c r="CQ7" s="338">
        <v>46024</v>
      </c>
      <c r="CR7" s="27"/>
      <c r="CS7" s="27"/>
      <c r="CT7" s="2"/>
      <c r="CU7" s="29"/>
      <c r="CV7" s="204"/>
      <c r="CW7" s="88"/>
      <c r="CX7" s="329"/>
      <c r="CY7" s="335"/>
      <c r="CZ7" s="226">
        <f t="shared" ref="CZ7:CZ36" si="14">SUM(CU7:CY7)</f>
        <v>0</v>
      </c>
      <c r="DA7" s="2"/>
      <c r="DB7" s="338">
        <v>46024</v>
      </c>
      <c r="DC7" s="27"/>
      <c r="DD7" s="27"/>
      <c r="DE7" s="29"/>
      <c r="DF7" s="204"/>
      <c r="DG7" s="88"/>
      <c r="DH7" s="328"/>
      <c r="DI7" s="335"/>
      <c r="DJ7" s="226">
        <f t="shared" si="8"/>
        <v>0</v>
      </c>
      <c r="DK7" s="2"/>
      <c r="DL7" s="338">
        <v>46024</v>
      </c>
      <c r="DM7" s="27"/>
      <c r="DN7" s="28"/>
      <c r="DO7" s="204"/>
      <c r="DP7" s="88"/>
      <c r="DQ7" s="28"/>
      <c r="DR7" s="28"/>
      <c r="DS7" s="226">
        <f t="shared" si="9"/>
        <v>0</v>
      </c>
      <c r="DT7" s="2"/>
      <c r="DU7" s="338">
        <v>46024</v>
      </c>
      <c r="DV7" s="26"/>
      <c r="DW7" s="35"/>
      <c r="DX7" s="204"/>
      <c r="DY7" s="215"/>
      <c r="DZ7" s="28"/>
      <c r="EA7" s="28"/>
      <c r="EB7" s="226">
        <f t="shared" si="10"/>
        <v>0</v>
      </c>
      <c r="EC7" s="2"/>
      <c r="ED7" s="338">
        <v>46024</v>
      </c>
      <c r="EE7" s="26"/>
      <c r="EF7" s="36"/>
      <c r="EG7" s="204"/>
      <c r="EH7" s="215"/>
      <c r="EI7" s="28"/>
      <c r="EJ7" s="28"/>
      <c r="EK7" s="226">
        <f t="shared" si="11"/>
        <v>0</v>
      </c>
      <c r="EL7" s="2"/>
      <c r="EM7" s="338">
        <v>46024</v>
      </c>
      <c r="EN7" s="26"/>
      <c r="EO7" s="28"/>
      <c r="EP7" s="204"/>
      <c r="EQ7" s="88">
        <v>12.255556000000002</v>
      </c>
      <c r="ER7" s="28"/>
      <c r="ES7" s="28"/>
      <c r="ET7" s="226">
        <f t="shared" si="12"/>
        <v>12.255556000000002</v>
      </c>
    </row>
    <row r="8" spans="2:150" ht="15.75" x14ac:dyDescent="0.25">
      <c r="B8" s="338">
        <v>46025</v>
      </c>
      <c r="C8" s="26"/>
      <c r="D8" s="26"/>
      <c r="E8" s="208"/>
      <c r="F8" s="204"/>
      <c r="G8" s="88"/>
      <c r="H8" s="329"/>
      <c r="I8" s="28"/>
      <c r="J8" s="226">
        <f t="shared" si="0"/>
        <v>0</v>
      </c>
      <c r="L8" s="338">
        <v>46025</v>
      </c>
      <c r="M8" s="26"/>
      <c r="N8" s="26"/>
      <c r="O8" s="29"/>
      <c r="P8" s="204"/>
      <c r="Q8" s="88"/>
      <c r="R8" s="28"/>
      <c r="S8" s="28"/>
      <c r="T8" s="226">
        <f t="shared" si="1"/>
        <v>0</v>
      </c>
      <c r="V8" s="338">
        <v>46025</v>
      </c>
      <c r="W8" s="26"/>
      <c r="X8" s="26"/>
      <c r="Y8" s="30"/>
      <c r="Z8" s="204"/>
      <c r="AA8" s="215"/>
      <c r="AB8" s="329"/>
      <c r="AC8" s="28"/>
      <c r="AD8" s="226">
        <f t="shared" si="2"/>
        <v>0</v>
      </c>
      <c r="AF8" s="338">
        <v>46025</v>
      </c>
      <c r="AG8" s="26"/>
      <c r="AH8" s="27"/>
      <c r="AI8" s="31"/>
      <c r="AJ8" s="204"/>
      <c r="AK8" s="88"/>
      <c r="AL8" s="328"/>
      <c r="AM8" s="28"/>
      <c r="AN8" s="226">
        <f t="shared" si="3"/>
        <v>0</v>
      </c>
      <c r="AP8" s="338">
        <v>46025</v>
      </c>
      <c r="AQ8" s="26"/>
      <c r="AR8" s="26"/>
      <c r="AS8" s="26"/>
      <c r="AT8" s="32"/>
      <c r="AU8" s="204"/>
      <c r="AV8" s="88"/>
      <c r="AW8" s="28"/>
      <c r="AX8" s="28"/>
      <c r="AY8" s="226">
        <f t="shared" si="4"/>
        <v>0</v>
      </c>
      <c r="AZ8" s="2"/>
      <c r="BA8" s="338">
        <v>46025</v>
      </c>
      <c r="BB8" s="27"/>
      <c r="BC8" s="27"/>
      <c r="BD8" s="33"/>
      <c r="BE8" s="29"/>
      <c r="BF8" s="204"/>
      <c r="BG8" s="215"/>
      <c r="BH8" s="328"/>
      <c r="BI8" s="335"/>
      <c r="BJ8" s="226">
        <f t="shared" si="5"/>
        <v>0</v>
      </c>
      <c r="BK8" s="2"/>
      <c r="BL8" s="338">
        <v>46025</v>
      </c>
      <c r="BM8" s="27"/>
      <c r="BN8" s="27"/>
      <c r="BO8" s="29"/>
      <c r="BP8" s="33"/>
      <c r="BQ8" s="204"/>
      <c r="BR8" s="88"/>
      <c r="BS8" s="328"/>
      <c r="BT8" s="28"/>
      <c r="BU8" s="226">
        <f t="shared" si="13"/>
        <v>0</v>
      </c>
      <c r="BV8" s="2"/>
      <c r="BW8" s="338">
        <v>46025</v>
      </c>
      <c r="BX8" s="26"/>
      <c r="BY8" s="27"/>
      <c r="BZ8" s="34"/>
      <c r="CA8" s="204"/>
      <c r="CB8" s="88"/>
      <c r="CC8" s="328"/>
      <c r="CD8" s="335"/>
      <c r="CE8" s="226">
        <f t="shared" si="6"/>
        <v>0</v>
      </c>
      <c r="CF8" s="2"/>
      <c r="CG8" s="338">
        <v>46025</v>
      </c>
      <c r="CH8" s="26"/>
      <c r="CI8" s="27"/>
      <c r="CJ8" s="31"/>
      <c r="CK8" s="204"/>
      <c r="CL8" s="215"/>
      <c r="CM8" s="329">
        <v>14.890440000000012</v>
      </c>
      <c r="CN8" s="28"/>
      <c r="CO8" s="226">
        <f t="shared" si="7"/>
        <v>14.890440000000012</v>
      </c>
      <c r="CP8" s="2"/>
      <c r="CQ8" s="338">
        <v>46025</v>
      </c>
      <c r="CR8" s="27"/>
      <c r="CS8" s="27"/>
      <c r="CT8" s="2"/>
      <c r="CU8" s="29"/>
      <c r="CV8" s="204"/>
      <c r="CW8" s="88"/>
      <c r="CX8" s="329"/>
      <c r="CY8" s="335"/>
      <c r="CZ8" s="226">
        <f t="shared" si="14"/>
        <v>0</v>
      </c>
      <c r="DA8" s="2"/>
      <c r="DB8" s="338">
        <v>46025</v>
      </c>
      <c r="DC8" s="26"/>
      <c r="DD8" s="27"/>
      <c r="DE8" s="29"/>
      <c r="DF8" s="204"/>
      <c r="DG8" s="88"/>
      <c r="DH8" s="328"/>
      <c r="DI8" s="335"/>
      <c r="DJ8" s="226">
        <f t="shared" si="8"/>
        <v>0</v>
      </c>
      <c r="DK8" s="2"/>
      <c r="DL8" s="338">
        <v>46025</v>
      </c>
      <c r="DM8" s="26"/>
      <c r="DN8" s="28"/>
      <c r="DO8" s="204"/>
      <c r="DP8" s="88"/>
      <c r="DQ8" s="28"/>
      <c r="DR8" s="28"/>
      <c r="DS8" s="226">
        <f t="shared" si="9"/>
        <v>0</v>
      </c>
      <c r="DT8" s="2"/>
      <c r="DU8" s="338">
        <v>46025</v>
      </c>
      <c r="DV8" s="27"/>
      <c r="DW8" s="35"/>
      <c r="DX8" s="204"/>
      <c r="DY8" s="215"/>
      <c r="DZ8" s="28"/>
      <c r="EA8" s="28"/>
      <c r="EB8" s="226">
        <f t="shared" si="10"/>
        <v>0</v>
      </c>
      <c r="EC8" s="2"/>
      <c r="ED8" s="338">
        <v>46025</v>
      </c>
      <c r="EE8" s="26"/>
      <c r="EF8" s="36"/>
      <c r="EG8" s="204"/>
      <c r="EH8" s="215"/>
      <c r="EI8" s="28"/>
      <c r="EJ8" s="28"/>
      <c r="EK8" s="226">
        <f t="shared" si="11"/>
        <v>0</v>
      </c>
      <c r="EL8" s="2"/>
      <c r="EM8" s="338">
        <v>46025</v>
      </c>
      <c r="EN8" s="26"/>
      <c r="EO8" s="28"/>
      <c r="EP8" s="204"/>
      <c r="EQ8" s="88">
        <v>150.75713899999988</v>
      </c>
      <c r="ER8" s="28"/>
      <c r="ES8" s="28"/>
      <c r="ET8" s="226">
        <f t="shared" si="12"/>
        <v>150.75713899999988</v>
      </c>
    </row>
    <row r="9" spans="2:150" ht="15.75" x14ac:dyDescent="0.25">
      <c r="B9" s="338">
        <v>46026</v>
      </c>
      <c r="C9" s="26"/>
      <c r="D9" s="26"/>
      <c r="E9" s="208"/>
      <c r="F9" s="204"/>
      <c r="G9" s="88"/>
      <c r="H9" s="329"/>
      <c r="I9" s="28"/>
      <c r="J9" s="226">
        <f t="shared" si="0"/>
        <v>0</v>
      </c>
      <c r="L9" s="338">
        <v>46026</v>
      </c>
      <c r="M9" s="26"/>
      <c r="N9" s="26"/>
      <c r="O9" s="29"/>
      <c r="P9" s="204"/>
      <c r="Q9" s="88"/>
      <c r="R9" s="28"/>
      <c r="S9" s="28"/>
      <c r="T9" s="226">
        <f t="shared" si="1"/>
        <v>0</v>
      </c>
      <c r="V9" s="338">
        <v>46026</v>
      </c>
      <c r="W9" s="26"/>
      <c r="X9" s="26"/>
      <c r="Y9" s="30"/>
      <c r="Z9" s="204"/>
      <c r="AA9" s="215"/>
      <c r="AB9" s="329"/>
      <c r="AC9" s="28"/>
      <c r="AD9" s="226">
        <f t="shared" si="2"/>
        <v>0</v>
      </c>
      <c r="AF9" s="338">
        <v>46026</v>
      </c>
      <c r="AG9" s="26"/>
      <c r="AH9" s="26"/>
      <c r="AI9" s="31"/>
      <c r="AJ9" s="204"/>
      <c r="AK9" s="88"/>
      <c r="AL9" s="328"/>
      <c r="AM9" s="28"/>
      <c r="AN9" s="226">
        <f t="shared" si="3"/>
        <v>0</v>
      </c>
      <c r="AP9" s="338">
        <v>46026</v>
      </c>
      <c r="AQ9" s="26"/>
      <c r="AR9" s="27"/>
      <c r="AS9" s="26"/>
      <c r="AT9" s="32"/>
      <c r="AU9" s="204"/>
      <c r="AV9" s="88"/>
      <c r="AW9" s="28"/>
      <c r="AX9" s="28"/>
      <c r="AY9" s="226">
        <f t="shared" si="4"/>
        <v>0</v>
      </c>
      <c r="AZ9" s="2"/>
      <c r="BA9" s="338">
        <v>46026</v>
      </c>
      <c r="BB9" s="27"/>
      <c r="BC9" s="27"/>
      <c r="BD9" s="33"/>
      <c r="BE9" s="29"/>
      <c r="BF9" s="204"/>
      <c r="BG9" s="215"/>
      <c r="BH9" s="328"/>
      <c r="BI9" s="335"/>
      <c r="BJ9" s="226">
        <f t="shared" si="5"/>
        <v>0</v>
      </c>
      <c r="BK9" s="2"/>
      <c r="BL9" s="338">
        <v>46026</v>
      </c>
      <c r="BM9" s="27"/>
      <c r="BN9" s="27"/>
      <c r="BO9" s="29"/>
      <c r="BP9" s="33"/>
      <c r="BQ9" s="204"/>
      <c r="BR9" s="88"/>
      <c r="BS9" s="328"/>
      <c r="BT9" s="28"/>
      <c r="BU9" s="226">
        <f t="shared" si="13"/>
        <v>0</v>
      </c>
      <c r="BV9" s="2"/>
      <c r="BW9" s="338">
        <v>46026</v>
      </c>
      <c r="BX9" s="26"/>
      <c r="BY9" s="26"/>
      <c r="BZ9" s="37"/>
      <c r="CA9" s="204"/>
      <c r="CB9" s="88"/>
      <c r="CC9" s="328"/>
      <c r="CD9" s="335"/>
      <c r="CE9" s="226">
        <f t="shared" si="6"/>
        <v>0</v>
      </c>
      <c r="CF9" s="2"/>
      <c r="CG9" s="338">
        <v>46026</v>
      </c>
      <c r="CH9" s="26"/>
      <c r="CI9" s="26"/>
      <c r="CJ9" s="31"/>
      <c r="CK9" s="204"/>
      <c r="CL9" s="215"/>
      <c r="CM9" s="329">
        <v>37.479853999999989</v>
      </c>
      <c r="CN9" s="28"/>
      <c r="CO9" s="226">
        <f t="shared" si="7"/>
        <v>37.479853999999989</v>
      </c>
      <c r="CP9" s="2"/>
      <c r="CQ9" s="338">
        <v>46026</v>
      </c>
      <c r="CR9" s="27"/>
      <c r="CS9" s="27"/>
      <c r="CT9" s="2"/>
      <c r="CU9" s="29"/>
      <c r="CV9" s="204"/>
      <c r="CW9" s="88"/>
      <c r="CX9" s="329"/>
      <c r="CY9" s="335"/>
      <c r="CZ9" s="226">
        <f t="shared" si="14"/>
        <v>0</v>
      </c>
      <c r="DA9" s="2"/>
      <c r="DB9" s="338">
        <v>46026</v>
      </c>
      <c r="DC9" s="26"/>
      <c r="DD9" s="27"/>
      <c r="DE9" s="29"/>
      <c r="DF9" s="204"/>
      <c r="DG9" s="88"/>
      <c r="DH9" s="328"/>
      <c r="DI9" s="335"/>
      <c r="DJ9" s="226">
        <f t="shared" si="8"/>
        <v>0</v>
      </c>
      <c r="DK9" s="2"/>
      <c r="DL9" s="338">
        <v>46026</v>
      </c>
      <c r="DM9" s="27"/>
      <c r="DN9" s="28"/>
      <c r="DO9" s="204"/>
      <c r="DP9" s="88"/>
      <c r="DQ9" s="28"/>
      <c r="DR9" s="28"/>
      <c r="DS9" s="226">
        <f t="shared" si="9"/>
        <v>0</v>
      </c>
      <c r="DT9" s="2"/>
      <c r="DU9" s="338">
        <v>46026</v>
      </c>
      <c r="DV9" s="27"/>
      <c r="DW9" s="35"/>
      <c r="DX9" s="204"/>
      <c r="DY9" s="215"/>
      <c r="DZ9" s="28"/>
      <c r="EA9" s="28"/>
      <c r="EB9" s="226">
        <f t="shared" si="10"/>
        <v>0</v>
      </c>
      <c r="EC9" s="2"/>
      <c r="ED9" s="338">
        <v>46026</v>
      </c>
      <c r="EE9" s="27"/>
      <c r="EF9" s="36"/>
      <c r="EG9" s="204"/>
      <c r="EH9" s="215"/>
      <c r="EI9" s="28"/>
      <c r="EJ9" s="28"/>
      <c r="EK9" s="226">
        <f t="shared" si="11"/>
        <v>0</v>
      </c>
      <c r="EL9" s="2"/>
      <c r="EM9" s="338">
        <v>46026</v>
      </c>
      <c r="EN9" s="26"/>
      <c r="EO9" s="28"/>
      <c r="EP9" s="204"/>
      <c r="EQ9" s="88">
        <v>25.890573999999994</v>
      </c>
      <c r="ER9" s="28"/>
      <c r="ES9" s="28"/>
      <c r="ET9" s="226">
        <f t="shared" si="12"/>
        <v>25.890573999999994</v>
      </c>
    </row>
    <row r="10" spans="2:150" ht="15.75" x14ac:dyDescent="0.25">
      <c r="B10" s="338">
        <v>46027</v>
      </c>
      <c r="C10" s="26"/>
      <c r="D10" s="26"/>
      <c r="E10" s="208"/>
      <c r="F10" s="204"/>
      <c r="G10" s="88"/>
      <c r="H10" s="329"/>
      <c r="I10" s="28"/>
      <c r="J10" s="226">
        <f t="shared" si="0"/>
        <v>0</v>
      </c>
      <c r="L10" s="338">
        <v>46027</v>
      </c>
      <c r="M10" s="26"/>
      <c r="N10" s="26"/>
      <c r="O10" s="29"/>
      <c r="P10" s="204"/>
      <c r="Q10" s="88"/>
      <c r="R10" s="28"/>
      <c r="S10" s="28"/>
      <c r="T10" s="226">
        <f t="shared" si="1"/>
        <v>0</v>
      </c>
      <c r="V10" s="338">
        <v>46027</v>
      </c>
      <c r="W10" s="26"/>
      <c r="X10" s="26"/>
      <c r="Y10" s="30"/>
      <c r="Z10" s="204"/>
      <c r="AA10" s="215"/>
      <c r="AB10" s="329"/>
      <c r="AC10" s="28"/>
      <c r="AD10" s="226">
        <f t="shared" si="2"/>
        <v>0</v>
      </c>
      <c r="AF10" s="338">
        <v>46027</v>
      </c>
      <c r="AG10" s="26"/>
      <c r="AH10" s="27"/>
      <c r="AI10" s="36"/>
      <c r="AJ10" s="204"/>
      <c r="AK10" s="88"/>
      <c r="AL10" s="328"/>
      <c r="AM10" s="28"/>
      <c r="AN10" s="226">
        <f t="shared" si="3"/>
        <v>0</v>
      </c>
      <c r="AP10" s="338">
        <v>46027</v>
      </c>
      <c r="AQ10" s="26"/>
      <c r="AR10" s="26"/>
      <c r="AS10" s="26"/>
      <c r="AT10" s="32"/>
      <c r="AU10" s="204"/>
      <c r="AV10" s="88"/>
      <c r="AW10" s="28"/>
      <c r="AX10" s="28"/>
      <c r="AY10" s="226">
        <f t="shared" si="4"/>
        <v>0</v>
      </c>
      <c r="AZ10" s="2"/>
      <c r="BA10" s="338">
        <v>46027</v>
      </c>
      <c r="BB10" s="26"/>
      <c r="BC10" s="27"/>
      <c r="BD10" s="33"/>
      <c r="BE10" s="32"/>
      <c r="BF10" s="204"/>
      <c r="BG10" s="215"/>
      <c r="BH10" s="328"/>
      <c r="BI10" s="335"/>
      <c r="BJ10" s="226">
        <f t="shared" si="5"/>
        <v>0</v>
      </c>
      <c r="BK10" s="2"/>
      <c r="BL10" s="338">
        <v>46027</v>
      </c>
      <c r="BM10" s="26"/>
      <c r="BN10" s="27"/>
      <c r="BO10" s="29"/>
      <c r="BP10" s="33"/>
      <c r="BQ10" s="204"/>
      <c r="BR10" s="88"/>
      <c r="BS10" s="328"/>
      <c r="BT10" s="28"/>
      <c r="BU10" s="226">
        <f t="shared" si="13"/>
        <v>0</v>
      </c>
      <c r="BV10" s="2"/>
      <c r="BW10" s="338">
        <v>46027</v>
      </c>
      <c r="BX10" s="26"/>
      <c r="BY10" s="27"/>
      <c r="BZ10" s="37"/>
      <c r="CA10" s="204"/>
      <c r="CB10" s="88"/>
      <c r="CC10" s="328"/>
      <c r="CD10" s="335"/>
      <c r="CE10" s="226">
        <f t="shared" si="6"/>
        <v>0</v>
      </c>
      <c r="CF10" s="2"/>
      <c r="CG10" s="338">
        <v>46027</v>
      </c>
      <c r="CH10" s="26"/>
      <c r="CI10" s="27"/>
      <c r="CJ10" s="31"/>
      <c r="CK10" s="204"/>
      <c r="CL10" s="215"/>
      <c r="CM10" s="329">
        <v>81.731150000000127</v>
      </c>
      <c r="CN10" s="28"/>
      <c r="CO10" s="226">
        <f t="shared" si="7"/>
        <v>81.731150000000127</v>
      </c>
      <c r="CP10" s="2"/>
      <c r="CQ10" s="338">
        <v>46027</v>
      </c>
      <c r="CR10" s="27"/>
      <c r="CS10" s="27"/>
      <c r="CT10" s="2"/>
      <c r="CU10" s="29"/>
      <c r="CV10" s="204"/>
      <c r="CW10" s="88"/>
      <c r="CX10" s="329"/>
      <c r="CY10" s="335"/>
      <c r="CZ10" s="226">
        <f t="shared" si="14"/>
        <v>0</v>
      </c>
      <c r="DA10" s="2"/>
      <c r="DB10" s="338">
        <v>46027</v>
      </c>
      <c r="DC10" s="26"/>
      <c r="DD10" s="27"/>
      <c r="DE10" s="29"/>
      <c r="DF10" s="204"/>
      <c r="DG10" s="88"/>
      <c r="DH10" s="328"/>
      <c r="DI10" s="335"/>
      <c r="DJ10" s="226">
        <f t="shared" si="8"/>
        <v>0</v>
      </c>
      <c r="DK10" s="2"/>
      <c r="DL10" s="338">
        <v>46027</v>
      </c>
      <c r="DM10" s="27"/>
      <c r="DN10" s="28"/>
      <c r="DO10" s="204"/>
      <c r="DP10" s="88"/>
      <c r="DQ10" s="28"/>
      <c r="DR10" s="28"/>
      <c r="DS10" s="226">
        <f t="shared" si="9"/>
        <v>0</v>
      </c>
      <c r="DT10" s="2"/>
      <c r="DU10" s="338">
        <v>46027</v>
      </c>
      <c r="DV10" s="27"/>
      <c r="DW10" s="35"/>
      <c r="DX10" s="204"/>
      <c r="DY10" s="215"/>
      <c r="DZ10" s="28"/>
      <c r="EA10" s="28"/>
      <c r="EB10" s="226">
        <f t="shared" si="10"/>
        <v>0</v>
      </c>
      <c r="EC10" s="2"/>
      <c r="ED10" s="338">
        <v>46027</v>
      </c>
      <c r="EE10" s="26"/>
      <c r="EF10" s="36"/>
      <c r="EG10" s="204"/>
      <c r="EH10" s="215"/>
      <c r="EI10" s="28"/>
      <c r="EJ10" s="28"/>
      <c r="EK10" s="226">
        <f t="shared" si="11"/>
        <v>0</v>
      </c>
      <c r="EL10" s="2"/>
      <c r="EM10" s="338">
        <v>46027</v>
      </c>
      <c r="EN10" s="26"/>
      <c r="EO10" s="28"/>
      <c r="EP10" s="204"/>
      <c r="EQ10" s="88">
        <v>152.05175</v>
      </c>
      <c r="ER10" s="28"/>
      <c r="ES10" s="28"/>
      <c r="ET10" s="226">
        <f t="shared" si="12"/>
        <v>152.05175</v>
      </c>
    </row>
    <row r="11" spans="2:150" ht="15.75" x14ac:dyDescent="0.25">
      <c r="B11" s="338">
        <v>46028</v>
      </c>
      <c r="C11" s="26"/>
      <c r="D11" s="27"/>
      <c r="E11" s="208"/>
      <c r="F11" s="204"/>
      <c r="G11" s="88"/>
      <c r="H11" s="329"/>
      <c r="I11" s="28"/>
      <c r="J11" s="226">
        <f t="shared" si="0"/>
        <v>0</v>
      </c>
      <c r="L11" s="338">
        <v>46028</v>
      </c>
      <c r="M11" s="26"/>
      <c r="N11" s="26"/>
      <c r="O11" s="38"/>
      <c r="P11" s="204"/>
      <c r="Q11" s="88"/>
      <c r="R11" s="28"/>
      <c r="S11" s="28"/>
      <c r="T11" s="226">
        <f t="shared" si="1"/>
        <v>0</v>
      </c>
      <c r="V11" s="338">
        <v>46028</v>
      </c>
      <c r="W11" s="26"/>
      <c r="X11" s="26"/>
      <c r="Y11" s="30"/>
      <c r="Z11" s="204"/>
      <c r="AA11" s="215"/>
      <c r="AB11" s="329"/>
      <c r="AC11" s="28"/>
      <c r="AD11" s="226">
        <f t="shared" si="2"/>
        <v>0</v>
      </c>
      <c r="AF11" s="338">
        <v>46028</v>
      </c>
      <c r="AG11" s="26"/>
      <c r="AH11" s="27"/>
      <c r="AI11" s="36"/>
      <c r="AJ11" s="204"/>
      <c r="AK11" s="88"/>
      <c r="AL11" s="328"/>
      <c r="AM11" s="28"/>
      <c r="AN11" s="226">
        <f t="shared" si="3"/>
        <v>0</v>
      </c>
      <c r="AP11" s="338">
        <v>46028</v>
      </c>
      <c r="AQ11" s="26"/>
      <c r="AR11" s="26"/>
      <c r="AS11" s="26"/>
      <c r="AT11" s="32"/>
      <c r="AU11" s="204"/>
      <c r="AV11" s="88"/>
      <c r="AW11" s="28"/>
      <c r="AX11" s="28"/>
      <c r="AY11" s="226">
        <f t="shared" si="4"/>
        <v>0</v>
      </c>
      <c r="AZ11" s="2"/>
      <c r="BA11" s="338">
        <v>46028</v>
      </c>
      <c r="BB11" s="26"/>
      <c r="BC11" s="27"/>
      <c r="BD11" s="33"/>
      <c r="BE11" s="32"/>
      <c r="BF11" s="204"/>
      <c r="BG11" s="215"/>
      <c r="BH11" s="328"/>
      <c r="BI11" s="335"/>
      <c r="BJ11" s="226">
        <f t="shared" si="5"/>
        <v>0</v>
      </c>
      <c r="BK11" s="2"/>
      <c r="BL11" s="338">
        <v>46028</v>
      </c>
      <c r="BM11" s="27"/>
      <c r="BN11" s="27"/>
      <c r="BO11" s="29"/>
      <c r="BP11" s="33"/>
      <c r="BQ11" s="204"/>
      <c r="BR11" s="88"/>
      <c r="BS11" s="328"/>
      <c r="BT11" s="28"/>
      <c r="BU11" s="226">
        <f t="shared" si="13"/>
        <v>0</v>
      </c>
      <c r="BV11" s="2"/>
      <c r="BW11" s="338">
        <v>46028</v>
      </c>
      <c r="BX11" s="26"/>
      <c r="BY11" s="27"/>
      <c r="BZ11" s="34"/>
      <c r="CA11" s="204"/>
      <c r="CB11" s="88"/>
      <c r="CC11" s="328"/>
      <c r="CD11" s="335"/>
      <c r="CE11" s="226">
        <f t="shared" si="6"/>
        <v>0</v>
      </c>
      <c r="CF11" s="2"/>
      <c r="CG11" s="338">
        <v>46028</v>
      </c>
      <c r="CH11" s="26"/>
      <c r="CI11" s="27"/>
      <c r="CJ11" s="31"/>
      <c r="CK11" s="204"/>
      <c r="CL11" s="215"/>
      <c r="CM11" s="329">
        <v>22.720959999999963</v>
      </c>
      <c r="CN11" s="28"/>
      <c r="CO11" s="226">
        <f t="shared" si="7"/>
        <v>22.720959999999963</v>
      </c>
      <c r="CP11" s="2"/>
      <c r="CQ11" s="338">
        <v>46028</v>
      </c>
      <c r="CR11" s="27"/>
      <c r="CS11" s="27"/>
      <c r="CT11" s="2"/>
      <c r="CU11" s="32"/>
      <c r="CV11" s="204"/>
      <c r="CW11" s="88"/>
      <c r="CX11" s="329"/>
      <c r="CY11" s="335"/>
      <c r="CZ11" s="226">
        <f t="shared" si="14"/>
        <v>0</v>
      </c>
      <c r="DA11" s="2"/>
      <c r="DB11" s="338">
        <v>46028</v>
      </c>
      <c r="DC11" s="27"/>
      <c r="DD11" s="27"/>
      <c r="DE11" s="29"/>
      <c r="DF11" s="204"/>
      <c r="DG11" s="88"/>
      <c r="DH11" s="328"/>
      <c r="DI11" s="335"/>
      <c r="DJ11" s="226">
        <f t="shared" si="8"/>
        <v>0</v>
      </c>
      <c r="DK11" s="2"/>
      <c r="DL11" s="338">
        <v>46028</v>
      </c>
      <c r="DM11" s="27"/>
      <c r="DN11" s="28"/>
      <c r="DO11" s="204"/>
      <c r="DP11" s="88"/>
      <c r="DQ11" s="28"/>
      <c r="DR11" s="28"/>
      <c r="DS11" s="226">
        <f t="shared" si="9"/>
        <v>0</v>
      </c>
      <c r="DT11" s="2"/>
      <c r="DU11" s="338">
        <v>46028</v>
      </c>
      <c r="DV11" s="27"/>
      <c r="DW11" s="35"/>
      <c r="DX11" s="204"/>
      <c r="DY11" s="215"/>
      <c r="DZ11" s="28"/>
      <c r="EA11" s="28"/>
      <c r="EB11" s="226">
        <f t="shared" si="10"/>
        <v>0</v>
      </c>
      <c r="EC11" s="2"/>
      <c r="ED11" s="338">
        <v>46028</v>
      </c>
      <c r="EE11" s="26"/>
      <c r="EF11" s="36"/>
      <c r="EG11" s="204"/>
      <c r="EH11" s="215"/>
      <c r="EI11" s="28"/>
      <c r="EJ11" s="28"/>
      <c r="EK11" s="226">
        <f t="shared" si="11"/>
        <v>0</v>
      </c>
      <c r="EL11" s="2"/>
      <c r="EM11" s="338">
        <v>46028</v>
      </c>
      <c r="EN11" s="26"/>
      <c r="EO11" s="28"/>
      <c r="EP11" s="204"/>
      <c r="EQ11" s="88">
        <v>1.2762799999999856</v>
      </c>
      <c r="ER11" s="28"/>
      <c r="ES11" s="28"/>
      <c r="ET11" s="226">
        <f t="shared" si="12"/>
        <v>1.2762799999999856</v>
      </c>
    </row>
    <row r="12" spans="2:150" ht="15.75" x14ac:dyDescent="0.25">
      <c r="B12" s="338">
        <v>46029</v>
      </c>
      <c r="C12" s="26"/>
      <c r="D12" s="26"/>
      <c r="E12" s="208"/>
      <c r="F12" s="204"/>
      <c r="G12" s="88"/>
      <c r="H12" s="329"/>
      <c r="I12" s="28"/>
      <c r="J12" s="226">
        <f t="shared" si="0"/>
        <v>0</v>
      </c>
      <c r="L12" s="338">
        <v>46029</v>
      </c>
      <c r="M12" s="26"/>
      <c r="N12" s="26"/>
      <c r="O12" s="29"/>
      <c r="P12" s="204"/>
      <c r="Q12" s="88"/>
      <c r="R12" s="28"/>
      <c r="S12" s="28"/>
      <c r="T12" s="226">
        <f t="shared" si="1"/>
        <v>0</v>
      </c>
      <c r="V12" s="338">
        <v>46029</v>
      </c>
      <c r="W12" s="26"/>
      <c r="X12" s="26"/>
      <c r="Y12" s="30"/>
      <c r="Z12" s="204"/>
      <c r="AA12" s="215"/>
      <c r="AB12" s="329"/>
      <c r="AC12" s="28"/>
      <c r="AD12" s="226">
        <f t="shared" si="2"/>
        <v>0</v>
      </c>
      <c r="AF12" s="338">
        <v>46029</v>
      </c>
      <c r="AG12" s="26"/>
      <c r="AH12" s="26"/>
      <c r="AI12" s="36"/>
      <c r="AJ12" s="204"/>
      <c r="AK12" s="88"/>
      <c r="AL12" s="328"/>
      <c r="AM12" s="28"/>
      <c r="AN12" s="226">
        <f t="shared" si="3"/>
        <v>0</v>
      </c>
      <c r="AP12" s="338">
        <v>46029</v>
      </c>
      <c r="AQ12" s="26"/>
      <c r="AR12" s="26"/>
      <c r="AS12" s="26"/>
      <c r="AT12" s="32"/>
      <c r="AU12" s="204"/>
      <c r="AV12" s="88"/>
      <c r="AW12" s="28"/>
      <c r="AX12" s="28"/>
      <c r="AY12" s="226">
        <f t="shared" si="4"/>
        <v>0</v>
      </c>
      <c r="AZ12" s="2"/>
      <c r="BA12" s="338">
        <v>46029</v>
      </c>
      <c r="BB12" s="27"/>
      <c r="BC12" s="27"/>
      <c r="BD12" s="33"/>
      <c r="BE12" s="32"/>
      <c r="BF12" s="204"/>
      <c r="BG12" s="215"/>
      <c r="BH12" s="328"/>
      <c r="BI12" s="335"/>
      <c r="BJ12" s="226">
        <f t="shared" si="5"/>
        <v>0</v>
      </c>
      <c r="BK12" s="2"/>
      <c r="BL12" s="338">
        <v>46029</v>
      </c>
      <c r="BM12" s="27"/>
      <c r="BN12" s="27"/>
      <c r="BO12" s="29"/>
      <c r="BP12" s="33"/>
      <c r="BQ12" s="204"/>
      <c r="BR12" s="88"/>
      <c r="BS12" s="328"/>
      <c r="BT12" s="28"/>
      <c r="BU12" s="226">
        <f t="shared" si="13"/>
        <v>0</v>
      </c>
      <c r="BV12" s="2"/>
      <c r="BW12" s="338">
        <v>46029</v>
      </c>
      <c r="BX12" s="26"/>
      <c r="BY12" s="27"/>
      <c r="BZ12" s="37"/>
      <c r="CA12" s="204"/>
      <c r="CB12" s="88"/>
      <c r="CC12" s="328"/>
      <c r="CD12" s="335"/>
      <c r="CE12" s="226">
        <f t="shared" si="6"/>
        <v>0</v>
      </c>
      <c r="CF12" s="2"/>
      <c r="CG12" s="338">
        <v>46029</v>
      </c>
      <c r="CH12" s="26"/>
      <c r="CI12" s="26"/>
      <c r="CJ12" s="31"/>
      <c r="CK12" s="204"/>
      <c r="CL12" s="215"/>
      <c r="CM12" s="329">
        <v>4.7897219999999976</v>
      </c>
      <c r="CN12" s="28"/>
      <c r="CO12" s="226">
        <f t="shared" si="7"/>
        <v>4.7897219999999976</v>
      </c>
      <c r="CP12" s="2"/>
      <c r="CQ12" s="338">
        <v>46029</v>
      </c>
      <c r="CR12" s="27"/>
      <c r="CS12" s="27"/>
      <c r="CT12" s="2"/>
      <c r="CU12" s="32"/>
      <c r="CV12" s="204"/>
      <c r="CW12" s="88"/>
      <c r="CX12" s="329"/>
      <c r="CY12" s="335"/>
      <c r="CZ12" s="226">
        <f t="shared" si="14"/>
        <v>0</v>
      </c>
      <c r="DA12" s="2"/>
      <c r="DB12" s="338">
        <v>46029</v>
      </c>
      <c r="DC12" s="26"/>
      <c r="DD12" s="27"/>
      <c r="DE12" s="29"/>
      <c r="DF12" s="204"/>
      <c r="DG12" s="88"/>
      <c r="DH12" s="328"/>
      <c r="DI12" s="335"/>
      <c r="DJ12" s="226">
        <f t="shared" si="8"/>
        <v>0</v>
      </c>
      <c r="DK12" s="2"/>
      <c r="DL12" s="338">
        <v>46029</v>
      </c>
      <c r="DM12" s="27"/>
      <c r="DN12" s="28"/>
      <c r="DO12" s="204"/>
      <c r="DP12" s="88"/>
      <c r="DQ12" s="28"/>
      <c r="DR12" s="28"/>
      <c r="DS12" s="226">
        <f t="shared" si="9"/>
        <v>0</v>
      </c>
      <c r="DT12" s="2"/>
      <c r="DU12" s="338">
        <v>46029</v>
      </c>
      <c r="DV12" s="27"/>
      <c r="DW12" s="35"/>
      <c r="DX12" s="204"/>
      <c r="DY12" s="215"/>
      <c r="DZ12" s="28"/>
      <c r="EA12" s="28"/>
      <c r="EB12" s="226">
        <f t="shared" si="10"/>
        <v>0</v>
      </c>
      <c r="EC12" s="2"/>
      <c r="ED12" s="338">
        <v>46029</v>
      </c>
      <c r="EE12" s="27"/>
      <c r="EF12" s="36"/>
      <c r="EG12" s="204"/>
      <c r="EH12" s="215"/>
      <c r="EI12" s="28"/>
      <c r="EJ12" s="28"/>
      <c r="EK12" s="226">
        <f t="shared" si="11"/>
        <v>0</v>
      </c>
      <c r="EL12" s="2"/>
      <c r="EM12" s="338">
        <v>46029</v>
      </c>
      <c r="EN12" s="26"/>
      <c r="EO12" s="28"/>
      <c r="EP12" s="204"/>
      <c r="EQ12" s="88">
        <v>0.89061999999999308</v>
      </c>
      <c r="ER12" s="28"/>
      <c r="ES12" s="28"/>
      <c r="ET12" s="226">
        <f t="shared" si="12"/>
        <v>0.89061999999999308</v>
      </c>
    </row>
    <row r="13" spans="2:150" ht="15.75" x14ac:dyDescent="0.25">
      <c r="B13" s="338">
        <v>46030</v>
      </c>
      <c r="C13" s="26"/>
      <c r="D13" s="27"/>
      <c r="E13" s="208"/>
      <c r="F13" s="204"/>
      <c r="G13" s="88"/>
      <c r="H13" s="329"/>
      <c r="I13" s="28"/>
      <c r="J13" s="226">
        <f t="shared" si="0"/>
        <v>0</v>
      </c>
      <c r="L13" s="338">
        <v>46030</v>
      </c>
      <c r="M13" s="26"/>
      <c r="N13" s="26"/>
      <c r="O13" s="29"/>
      <c r="P13" s="204"/>
      <c r="Q13" s="88"/>
      <c r="R13" s="28"/>
      <c r="S13" s="28"/>
      <c r="T13" s="226">
        <f t="shared" si="1"/>
        <v>0</v>
      </c>
      <c r="V13" s="338">
        <v>46030</v>
      </c>
      <c r="W13" s="26"/>
      <c r="X13" s="26"/>
      <c r="Y13" s="30"/>
      <c r="Z13" s="204"/>
      <c r="AA13" s="215"/>
      <c r="AB13" s="329"/>
      <c r="AC13" s="28"/>
      <c r="AD13" s="226">
        <f t="shared" si="2"/>
        <v>0</v>
      </c>
      <c r="AF13" s="338">
        <v>46030</v>
      </c>
      <c r="AG13" s="26"/>
      <c r="AH13" s="27"/>
      <c r="AI13" s="36"/>
      <c r="AJ13" s="204"/>
      <c r="AK13" s="88"/>
      <c r="AL13" s="328"/>
      <c r="AM13" s="28"/>
      <c r="AN13" s="226">
        <f t="shared" si="3"/>
        <v>0</v>
      </c>
      <c r="AP13" s="338">
        <v>46030</v>
      </c>
      <c r="AQ13" s="26"/>
      <c r="AR13" s="26"/>
      <c r="AS13" s="26"/>
      <c r="AT13" s="32"/>
      <c r="AU13" s="204"/>
      <c r="AV13" s="88"/>
      <c r="AW13" s="28"/>
      <c r="AX13" s="28"/>
      <c r="AY13" s="226">
        <f t="shared" si="4"/>
        <v>0</v>
      </c>
      <c r="AZ13" s="2"/>
      <c r="BA13" s="338">
        <v>46030</v>
      </c>
      <c r="BB13" s="26"/>
      <c r="BC13" s="27"/>
      <c r="BD13" s="33"/>
      <c r="BE13" s="32"/>
      <c r="BF13" s="204"/>
      <c r="BG13" s="215"/>
      <c r="BH13" s="328"/>
      <c r="BI13" s="335"/>
      <c r="BJ13" s="226">
        <f t="shared" si="5"/>
        <v>0</v>
      </c>
      <c r="BK13" s="2"/>
      <c r="BL13" s="338">
        <v>46030</v>
      </c>
      <c r="BM13" s="27"/>
      <c r="BN13" s="27"/>
      <c r="BO13" s="29"/>
      <c r="BP13" s="33"/>
      <c r="BQ13" s="204"/>
      <c r="BR13" s="88"/>
      <c r="BS13" s="328"/>
      <c r="BT13" s="28"/>
      <c r="BU13" s="226">
        <f t="shared" si="13"/>
        <v>0</v>
      </c>
      <c r="BV13" s="2"/>
      <c r="BW13" s="338">
        <v>46030</v>
      </c>
      <c r="BX13" s="26"/>
      <c r="BY13" s="27"/>
      <c r="BZ13" s="34"/>
      <c r="CA13" s="204"/>
      <c r="CB13" s="88"/>
      <c r="CC13" s="328"/>
      <c r="CD13" s="335"/>
      <c r="CE13" s="226">
        <f t="shared" si="6"/>
        <v>0</v>
      </c>
      <c r="CF13" s="2"/>
      <c r="CG13" s="338">
        <v>46030</v>
      </c>
      <c r="CH13" s="26"/>
      <c r="CI13" s="27"/>
      <c r="CJ13" s="31"/>
      <c r="CK13" s="204"/>
      <c r="CL13" s="215"/>
      <c r="CM13" s="329">
        <v>11.549663000000024</v>
      </c>
      <c r="CN13" s="28"/>
      <c r="CO13" s="226">
        <f t="shared" si="7"/>
        <v>11.549663000000024</v>
      </c>
      <c r="CP13" s="2"/>
      <c r="CQ13" s="338">
        <v>46030</v>
      </c>
      <c r="CR13" s="27"/>
      <c r="CS13" s="27"/>
      <c r="CT13" s="2"/>
      <c r="CU13" s="29"/>
      <c r="CV13" s="204"/>
      <c r="CW13" s="88"/>
      <c r="CX13" s="329"/>
      <c r="CY13" s="335"/>
      <c r="CZ13" s="226">
        <f t="shared" si="14"/>
        <v>0</v>
      </c>
      <c r="DA13" s="2"/>
      <c r="DB13" s="338">
        <v>46030</v>
      </c>
      <c r="DC13" s="26"/>
      <c r="DD13" s="27"/>
      <c r="DE13" s="32"/>
      <c r="DF13" s="204"/>
      <c r="DG13" s="88"/>
      <c r="DH13" s="328"/>
      <c r="DI13" s="335"/>
      <c r="DJ13" s="226">
        <f t="shared" si="8"/>
        <v>0</v>
      </c>
      <c r="DK13" s="2"/>
      <c r="DL13" s="338">
        <v>46030</v>
      </c>
      <c r="DM13" s="27"/>
      <c r="DN13" s="28"/>
      <c r="DO13" s="204"/>
      <c r="DP13" s="88"/>
      <c r="DQ13" s="28"/>
      <c r="DR13" s="28"/>
      <c r="DS13" s="226">
        <f t="shared" si="9"/>
        <v>0</v>
      </c>
      <c r="DT13" s="2"/>
      <c r="DU13" s="338">
        <v>46030</v>
      </c>
      <c r="DV13" s="27"/>
      <c r="DW13" s="35"/>
      <c r="DX13" s="204"/>
      <c r="DY13" s="215"/>
      <c r="DZ13" s="28"/>
      <c r="EA13" s="28"/>
      <c r="EB13" s="226">
        <f t="shared" si="10"/>
        <v>0</v>
      </c>
      <c r="EC13" s="2"/>
      <c r="ED13" s="338">
        <v>46030</v>
      </c>
      <c r="EE13" s="26"/>
      <c r="EF13" s="36"/>
      <c r="EG13" s="204"/>
      <c r="EH13" s="215"/>
      <c r="EI13" s="28"/>
      <c r="EJ13" s="28"/>
      <c r="EK13" s="226">
        <f t="shared" si="11"/>
        <v>0</v>
      </c>
      <c r="EL13" s="2"/>
      <c r="EM13" s="338">
        <v>46030</v>
      </c>
      <c r="EN13" s="26"/>
      <c r="EO13" s="28"/>
      <c r="EP13" s="204"/>
      <c r="EQ13" s="88">
        <v>99.428794000000011</v>
      </c>
      <c r="ER13" s="28"/>
      <c r="ES13" s="28"/>
      <c r="ET13" s="226">
        <f t="shared" si="12"/>
        <v>99.428794000000011</v>
      </c>
    </row>
    <row r="14" spans="2:150" ht="15.75" x14ac:dyDescent="0.25">
      <c r="B14" s="338">
        <v>46031</v>
      </c>
      <c r="C14" s="26"/>
      <c r="D14" s="27"/>
      <c r="E14" s="208"/>
      <c r="F14" s="204"/>
      <c r="G14" s="88"/>
      <c r="H14" s="329"/>
      <c r="I14" s="28"/>
      <c r="J14" s="226">
        <f t="shared" si="0"/>
        <v>0</v>
      </c>
      <c r="L14" s="338">
        <v>46031</v>
      </c>
      <c r="M14" s="26"/>
      <c r="N14" s="26"/>
      <c r="O14" s="29"/>
      <c r="P14" s="204"/>
      <c r="Q14" s="88"/>
      <c r="R14" s="28"/>
      <c r="S14" s="28"/>
      <c r="T14" s="226">
        <f t="shared" si="1"/>
        <v>0</v>
      </c>
      <c r="V14" s="338">
        <v>46031</v>
      </c>
      <c r="W14" s="26"/>
      <c r="X14" s="26"/>
      <c r="Y14" s="30"/>
      <c r="Z14" s="204"/>
      <c r="AA14" s="215"/>
      <c r="AB14" s="329"/>
      <c r="AC14" s="28"/>
      <c r="AD14" s="226">
        <f t="shared" si="2"/>
        <v>0</v>
      </c>
      <c r="AF14" s="338">
        <v>46031</v>
      </c>
      <c r="AG14" s="26"/>
      <c r="AH14" s="26"/>
      <c r="AI14" s="36"/>
      <c r="AJ14" s="204"/>
      <c r="AK14" s="88"/>
      <c r="AL14" s="328"/>
      <c r="AM14" s="28"/>
      <c r="AN14" s="226">
        <f t="shared" si="3"/>
        <v>0</v>
      </c>
      <c r="AP14" s="338">
        <v>46031</v>
      </c>
      <c r="AQ14" s="26"/>
      <c r="AR14" s="27"/>
      <c r="AS14" s="26"/>
      <c r="AT14" s="29"/>
      <c r="AU14" s="204"/>
      <c r="AV14" s="88"/>
      <c r="AW14" s="28"/>
      <c r="AX14" s="28"/>
      <c r="AY14" s="226">
        <f t="shared" si="4"/>
        <v>0</v>
      </c>
      <c r="AZ14" s="2"/>
      <c r="BA14" s="338">
        <v>46031</v>
      </c>
      <c r="BB14" s="27"/>
      <c r="BC14" s="27"/>
      <c r="BD14" s="39"/>
      <c r="BE14" s="38"/>
      <c r="BF14" s="204"/>
      <c r="BG14" s="215"/>
      <c r="BH14" s="328"/>
      <c r="BI14" s="335"/>
      <c r="BJ14" s="226">
        <f t="shared" si="5"/>
        <v>0</v>
      </c>
      <c r="BK14" s="2"/>
      <c r="BL14" s="338">
        <v>46031</v>
      </c>
      <c r="BM14" s="27"/>
      <c r="BN14" s="27"/>
      <c r="BO14" s="32"/>
      <c r="BP14" s="33"/>
      <c r="BQ14" s="204"/>
      <c r="BR14" s="88"/>
      <c r="BS14" s="328"/>
      <c r="BT14" s="28"/>
      <c r="BU14" s="226">
        <f t="shared" si="13"/>
        <v>0</v>
      </c>
      <c r="BV14" s="2"/>
      <c r="BW14" s="338">
        <v>46031</v>
      </c>
      <c r="BX14" s="26"/>
      <c r="BY14" s="27"/>
      <c r="BZ14" s="37"/>
      <c r="CA14" s="204"/>
      <c r="CB14" s="88"/>
      <c r="CC14" s="328"/>
      <c r="CD14" s="335"/>
      <c r="CE14" s="226">
        <f t="shared" si="6"/>
        <v>0</v>
      </c>
      <c r="CF14" s="2"/>
      <c r="CG14" s="338">
        <v>46031</v>
      </c>
      <c r="CH14" s="26"/>
      <c r="CI14" s="27"/>
      <c r="CJ14" s="31"/>
      <c r="CK14" s="204"/>
      <c r="CL14" s="215"/>
      <c r="CM14" s="329"/>
      <c r="CN14" s="28"/>
      <c r="CO14" s="226">
        <f t="shared" si="7"/>
        <v>0</v>
      </c>
      <c r="CP14" s="2"/>
      <c r="CQ14" s="338">
        <v>46031</v>
      </c>
      <c r="CR14" s="27"/>
      <c r="CS14" s="27"/>
      <c r="CT14" s="2"/>
      <c r="CU14" s="29"/>
      <c r="CV14" s="204"/>
      <c r="CW14" s="88"/>
      <c r="CX14" s="329"/>
      <c r="CY14" s="335"/>
      <c r="CZ14" s="226">
        <f t="shared" si="14"/>
        <v>0</v>
      </c>
      <c r="DA14" s="2"/>
      <c r="DB14" s="338">
        <v>46031</v>
      </c>
      <c r="DC14" s="26"/>
      <c r="DD14" s="27"/>
      <c r="DE14" s="29"/>
      <c r="DF14" s="204"/>
      <c r="DG14" s="88"/>
      <c r="DH14" s="328"/>
      <c r="DI14" s="335"/>
      <c r="DJ14" s="226">
        <f t="shared" si="8"/>
        <v>0</v>
      </c>
      <c r="DK14" s="2"/>
      <c r="DL14" s="338">
        <v>46031</v>
      </c>
      <c r="DM14" s="27"/>
      <c r="DN14" s="28"/>
      <c r="DO14" s="204"/>
      <c r="DP14" s="88"/>
      <c r="DQ14" s="28"/>
      <c r="DR14" s="28"/>
      <c r="DS14" s="226">
        <f t="shared" si="9"/>
        <v>0</v>
      </c>
      <c r="DT14" s="2"/>
      <c r="DU14" s="338">
        <v>46031</v>
      </c>
      <c r="DV14" s="27"/>
      <c r="DW14" s="35"/>
      <c r="DX14" s="204"/>
      <c r="DY14" s="215"/>
      <c r="DZ14" s="28"/>
      <c r="EA14" s="28"/>
      <c r="EB14" s="226">
        <f t="shared" si="10"/>
        <v>0</v>
      </c>
      <c r="EC14" s="2"/>
      <c r="ED14" s="338">
        <v>46031</v>
      </c>
      <c r="EE14" s="26"/>
      <c r="EF14" s="31"/>
      <c r="EG14" s="204"/>
      <c r="EH14" s="215"/>
      <c r="EI14" s="28"/>
      <c r="EJ14" s="28"/>
      <c r="EK14" s="226">
        <f t="shared" si="11"/>
        <v>0</v>
      </c>
      <c r="EL14" s="2"/>
      <c r="EM14" s="338">
        <v>46031</v>
      </c>
      <c r="EN14" s="26"/>
      <c r="EO14" s="28"/>
      <c r="EP14" s="204"/>
      <c r="EQ14" s="88">
        <v>39.489198999999971</v>
      </c>
      <c r="ER14" s="28"/>
      <c r="ES14" s="28"/>
      <c r="ET14" s="226">
        <f t="shared" si="12"/>
        <v>39.489198999999971</v>
      </c>
    </row>
    <row r="15" spans="2:150" ht="15.75" x14ac:dyDescent="0.25">
      <c r="B15" s="338">
        <v>46032</v>
      </c>
      <c r="C15" s="26"/>
      <c r="D15" s="27"/>
      <c r="E15" s="208"/>
      <c r="F15" s="204"/>
      <c r="G15" s="88"/>
      <c r="H15" s="329"/>
      <c r="I15" s="28"/>
      <c r="J15" s="226">
        <f t="shared" si="0"/>
        <v>0</v>
      </c>
      <c r="L15" s="338">
        <v>46032</v>
      </c>
      <c r="M15" s="26"/>
      <c r="N15" s="26"/>
      <c r="O15" s="29"/>
      <c r="P15" s="204"/>
      <c r="Q15" s="88"/>
      <c r="R15" s="28"/>
      <c r="S15" s="28"/>
      <c r="T15" s="226">
        <f t="shared" si="1"/>
        <v>0</v>
      </c>
      <c r="V15" s="338">
        <v>46032</v>
      </c>
      <c r="W15" s="26"/>
      <c r="X15" s="26"/>
      <c r="Y15" s="30"/>
      <c r="Z15" s="204"/>
      <c r="AA15" s="215"/>
      <c r="AB15" s="329"/>
      <c r="AC15" s="28"/>
      <c r="AD15" s="226">
        <f t="shared" si="2"/>
        <v>0</v>
      </c>
      <c r="AF15" s="338">
        <v>46032</v>
      </c>
      <c r="AG15" s="26"/>
      <c r="AH15" s="27"/>
      <c r="AI15" s="31"/>
      <c r="AJ15" s="204"/>
      <c r="AK15" s="88"/>
      <c r="AL15" s="328"/>
      <c r="AM15" s="28"/>
      <c r="AN15" s="226">
        <f t="shared" si="3"/>
        <v>0</v>
      </c>
      <c r="AP15" s="338">
        <v>46032</v>
      </c>
      <c r="AQ15" s="26"/>
      <c r="AR15" s="26"/>
      <c r="AS15" s="26"/>
      <c r="AT15" s="32"/>
      <c r="AU15" s="204"/>
      <c r="AV15" s="88"/>
      <c r="AW15" s="28"/>
      <c r="AX15" s="28"/>
      <c r="AY15" s="226">
        <f t="shared" si="4"/>
        <v>0</v>
      </c>
      <c r="AZ15" s="2"/>
      <c r="BA15" s="338">
        <v>46032</v>
      </c>
      <c r="BB15" s="26"/>
      <c r="BC15" s="27"/>
      <c r="BD15" s="40"/>
      <c r="BE15" s="30"/>
      <c r="BF15" s="204"/>
      <c r="BG15" s="215"/>
      <c r="BH15" s="328"/>
      <c r="BI15" s="335"/>
      <c r="BJ15" s="226">
        <f t="shared" si="5"/>
        <v>0</v>
      </c>
      <c r="BK15" s="2"/>
      <c r="BL15" s="338">
        <v>46032</v>
      </c>
      <c r="BM15" s="27"/>
      <c r="BN15" s="27"/>
      <c r="BO15" s="32"/>
      <c r="BP15" s="33"/>
      <c r="BQ15" s="204"/>
      <c r="BR15" s="88"/>
      <c r="BS15" s="328"/>
      <c r="BT15" s="28"/>
      <c r="BU15" s="226">
        <f t="shared" si="13"/>
        <v>0</v>
      </c>
      <c r="BV15" s="2"/>
      <c r="BW15" s="338">
        <v>46032</v>
      </c>
      <c r="BX15" s="26"/>
      <c r="BY15" s="27"/>
      <c r="BZ15" s="37"/>
      <c r="CA15" s="204"/>
      <c r="CB15" s="88"/>
      <c r="CC15" s="328"/>
      <c r="CD15" s="335"/>
      <c r="CE15" s="226">
        <f t="shared" si="6"/>
        <v>0</v>
      </c>
      <c r="CF15" s="2"/>
      <c r="CG15" s="338">
        <v>46032</v>
      </c>
      <c r="CH15" s="26"/>
      <c r="CI15" s="27"/>
      <c r="CJ15" s="31"/>
      <c r="CK15" s="204"/>
      <c r="CL15" s="215"/>
      <c r="CM15" s="329">
        <v>35.170692999999972</v>
      </c>
      <c r="CN15" s="28"/>
      <c r="CO15" s="226">
        <f t="shared" si="7"/>
        <v>35.170692999999972</v>
      </c>
      <c r="CP15" s="2"/>
      <c r="CQ15" s="338">
        <v>46032</v>
      </c>
      <c r="CR15" s="27"/>
      <c r="CS15" s="27"/>
      <c r="CT15" s="2"/>
      <c r="CU15" s="32"/>
      <c r="CV15" s="204"/>
      <c r="CW15" s="88"/>
      <c r="CX15" s="329"/>
      <c r="CY15" s="335"/>
      <c r="CZ15" s="226">
        <f t="shared" si="14"/>
        <v>0</v>
      </c>
      <c r="DA15" s="2"/>
      <c r="DB15" s="338">
        <v>46032</v>
      </c>
      <c r="DC15" s="26"/>
      <c r="DD15" s="27"/>
      <c r="DE15" s="32"/>
      <c r="DF15" s="204"/>
      <c r="DG15" s="88"/>
      <c r="DH15" s="328"/>
      <c r="DI15" s="335"/>
      <c r="DJ15" s="226">
        <f t="shared" si="8"/>
        <v>0</v>
      </c>
      <c r="DK15" s="2"/>
      <c r="DL15" s="338">
        <v>46032</v>
      </c>
      <c r="DM15" s="27"/>
      <c r="DN15" s="28"/>
      <c r="DO15" s="204"/>
      <c r="DP15" s="88"/>
      <c r="DQ15" s="28"/>
      <c r="DR15" s="28"/>
      <c r="DS15" s="226">
        <f t="shared" si="9"/>
        <v>0</v>
      </c>
      <c r="DT15" s="2"/>
      <c r="DU15" s="338">
        <v>46032</v>
      </c>
      <c r="DV15" s="27"/>
      <c r="DW15" s="35"/>
      <c r="DX15" s="204"/>
      <c r="DY15" s="215"/>
      <c r="DZ15" s="28"/>
      <c r="EA15" s="28"/>
      <c r="EB15" s="226">
        <f t="shared" si="10"/>
        <v>0</v>
      </c>
      <c r="EC15" s="2"/>
      <c r="ED15" s="338">
        <v>46032</v>
      </c>
      <c r="EE15" s="26"/>
      <c r="EF15" s="36"/>
      <c r="EG15" s="204"/>
      <c r="EH15" s="215"/>
      <c r="EI15" s="28"/>
      <c r="EJ15" s="28"/>
      <c r="EK15" s="226">
        <f t="shared" si="11"/>
        <v>0</v>
      </c>
      <c r="EL15" s="2"/>
      <c r="EM15" s="338">
        <v>46032</v>
      </c>
      <c r="EN15" s="26"/>
      <c r="EO15" s="28"/>
      <c r="EP15" s="204"/>
      <c r="EQ15" s="88">
        <v>16.637209999999996</v>
      </c>
      <c r="ER15" s="28"/>
      <c r="ES15" s="28"/>
      <c r="ET15" s="226">
        <f t="shared" si="12"/>
        <v>16.637209999999996</v>
      </c>
    </row>
    <row r="16" spans="2:150" ht="15.75" x14ac:dyDescent="0.25">
      <c r="B16" s="338">
        <v>46033</v>
      </c>
      <c r="C16" s="26"/>
      <c r="D16" s="26"/>
      <c r="E16" s="208"/>
      <c r="F16" s="204"/>
      <c r="G16" s="88"/>
      <c r="H16" s="329"/>
      <c r="I16" s="28"/>
      <c r="J16" s="226">
        <f t="shared" si="0"/>
        <v>0</v>
      </c>
      <c r="L16" s="338">
        <v>46033</v>
      </c>
      <c r="M16" s="26"/>
      <c r="N16" s="26"/>
      <c r="O16" s="29"/>
      <c r="P16" s="204"/>
      <c r="Q16" s="88"/>
      <c r="R16" s="28"/>
      <c r="S16" s="28"/>
      <c r="T16" s="226">
        <f t="shared" si="1"/>
        <v>0</v>
      </c>
      <c r="V16" s="338">
        <v>46033</v>
      </c>
      <c r="W16" s="26"/>
      <c r="X16" s="26"/>
      <c r="Y16" s="30"/>
      <c r="Z16" s="204"/>
      <c r="AA16" s="215"/>
      <c r="AB16" s="329"/>
      <c r="AC16" s="28"/>
      <c r="AD16" s="226">
        <f t="shared" si="2"/>
        <v>0</v>
      </c>
      <c r="AF16" s="338">
        <v>46033</v>
      </c>
      <c r="AG16" s="26"/>
      <c r="AH16" s="27"/>
      <c r="AI16" s="36"/>
      <c r="AJ16" s="204"/>
      <c r="AK16" s="88"/>
      <c r="AL16" s="328"/>
      <c r="AM16" s="28"/>
      <c r="AN16" s="226">
        <f t="shared" si="3"/>
        <v>0</v>
      </c>
      <c r="AP16" s="338">
        <v>46033</v>
      </c>
      <c r="AQ16" s="26"/>
      <c r="AR16" s="26"/>
      <c r="AS16" s="26"/>
      <c r="AT16" s="32"/>
      <c r="AU16" s="204"/>
      <c r="AV16" s="88"/>
      <c r="AW16" s="28"/>
      <c r="AX16" s="28"/>
      <c r="AY16" s="226">
        <f t="shared" si="4"/>
        <v>0</v>
      </c>
      <c r="AZ16" s="2"/>
      <c r="BA16" s="338">
        <v>46033</v>
      </c>
      <c r="BB16" s="27"/>
      <c r="BC16" s="27"/>
      <c r="BD16" s="33"/>
      <c r="BE16" s="29"/>
      <c r="BF16" s="204"/>
      <c r="BG16" s="215"/>
      <c r="BH16" s="328"/>
      <c r="BI16" s="335"/>
      <c r="BJ16" s="226">
        <f t="shared" si="5"/>
        <v>0</v>
      </c>
      <c r="BK16" s="2"/>
      <c r="BL16" s="338">
        <v>46033</v>
      </c>
      <c r="BM16" s="27"/>
      <c r="BN16" s="27"/>
      <c r="BO16" s="32"/>
      <c r="BP16" s="33"/>
      <c r="BQ16" s="204"/>
      <c r="BR16" s="88"/>
      <c r="BS16" s="328"/>
      <c r="BT16" s="28"/>
      <c r="BU16" s="226">
        <f t="shared" si="13"/>
        <v>0</v>
      </c>
      <c r="BV16" s="2"/>
      <c r="BW16" s="338">
        <v>46033</v>
      </c>
      <c r="BX16" s="26"/>
      <c r="BY16" s="27"/>
      <c r="BZ16" s="37"/>
      <c r="CA16" s="204"/>
      <c r="CB16" s="88"/>
      <c r="CC16" s="328"/>
      <c r="CD16" s="335"/>
      <c r="CE16" s="226">
        <f t="shared" si="6"/>
        <v>0</v>
      </c>
      <c r="CF16" s="2"/>
      <c r="CG16" s="338">
        <v>46033</v>
      </c>
      <c r="CH16" s="26"/>
      <c r="CI16" s="27"/>
      <c r="CJ16" s="31"/>
      <c r="CK16" s="204"/>
      <c r="CL16" s="215"/>
      <c r="CM16" s="329">
        <v>32.739142000000072</v>
      </c>
      <c r="CN16" s="28"/>
      <c r="CO16" s="226">
        <f t="shared" si="7"/>
        <v>32.739142000000072</v>
      </c>
      <c r="CP16" s="2"/>
      <c r="CQ16" s="338">
        <v>46033</v>
      </c>
      <c r="CR16" s="27"/>
      <c r="CS16" s="27"/>
      <c r="CT16" s="2"/>
      <c r="CU16" s="29"/>
      <c r="CV16" s="204"/>
      <c r="CW16" s="88"/>
      <c r="CX16" s="329"/>
      <c r="CY16" s="335"/>
      <c r="CZ16" s="226">
        <f t="shared" si="14"/>
        <v>0</v>
      </c>
      <c r="DA16" s="2"/>
      <c r="DB16" s="338">
        <v>46033</v>
      </c>
      <c r="DC16" s="26"/>
      <c r="DD16" s="27"/>
      <c r="DE16" s="29"/>
      <c r="DF16" s="204"/>
      <c r="DG16" s="88"/>
      <c r="DH16" s="328"/>
      <c r="DI16" s="335"/>
      <c r="DJ16" s="226">
        <f t="shared" si="8"/>
        <v>0</v>
      </c>
      <c r="DK16" s="2"/>
      <c r="DL16" s="338">
        <v>46033</v>
      </c>
      <c r="DM16" s="27"/>
      <c r="DN16" s="28"/>
      <c r="DO16" s="204"/>
      <c r="DP16" s="88"/>
      <c r="DQ16" s="28"/>
      <c r="DR16" s="28"/>
      <c r="DS16" s="226">
        <f t="shared" si="9"/>
        <v>0</v>
      </c>
      <c r="DT16" s="2"/>
      <c r="DU16" s="338">
        <v>46033</v>
      </c>
      <c r="DV16" s="27"/>
      <c r="DW16" s="35"/>
      <c r="DX16" s="204"/>
      <c r="DY16" s="215"/>
      <c r="DZ16" s="28"/>
      <c r="EA16" s="28"/>
      <c r="EB16" s="226">
        <f t="shared" si="10"/>
        <v>0</v>
      </c>
      <c r="EC16" s="2"/>
      <c r="ED16" s="338">
        <v>46033</v>
      </c>
      <c r="EE16" s="26"/>
      <c r="EF16" s="36"/>
      <c r="EG16" s="204"/>
      <c r="EH16" s="215"/>
      <c r="EI16" s="28"/>
      <c r="EJ16" s="28"/>
      <c r="EK16" s="226">
        <f t="shared" si="11"/>
        <v>0</v>
      </c>
      <c r="EL16" s="2"/>
      <c r="EM16" s="338">
        <v>46033</v>
      </c>
      <c r="EN16" s="26"/>
      <c r="EO16" s="28"/>
      <c r="EP16" s="204"/>
      <c r="EQ16" s="88">
        <v>0.42674799999999991</v>
      </c>
      <c r="ER16" s="28"/>
      <c r="ES16" s="28"/>
      <c r="ET16" s="226">
        <f t="shared" si="12"/>
        <v>0.42674799999999991</v>
      </c>
    </row>
    <row r="17" spans="2:150" ht="15.75" x14ac:dyDescent="0.25">
      <c r="B17" s="338">
        <v>46034</v>
      </c>
      <c r="C17" s="26"/>
      <c r="D17" s="27"/>
      <c r="E17" s="208"/>
      <c r="F17" s="204"/>
      <c r="G17" s="88"/>
      <c r="H17" s="329"/>
      <c r="I17" s="28"/>
      <c r="J17" s="226">
        <f t="shared" si="0"/>
        <v>0</v>
      </c>
      <c r="L17" s="338">
        <v>46034</v>
      </c>
      <c r="M17" s="26"/>
      <c r="N17" s="26"/>
      <c r="O17" s="29"/>
      <c r="P17" s="204"/>
      <c r="Q17" s="88"/>
      <c r="R17" s="28"/>
      <c r="S17" s="28"/>
      <c r="T17" s="226">
        <f t="shared" si="1"/>
        <v>0</v>
      </c>
      <c r="V17" s="338">
        <v>46034</v>
      </c>
      <c r="W17" s="26"/>
      <c r="X17" s="26"/>
      <c r="Y17" s="30"/>
      <c r="Z17" s="204"/>
      <c r="AA17" s="215"/>
      <c r="AB17" s="329"/>
      <c r="AC17" s="28"/>
      <c r="AD17" s="226">
        <f t="shared" si="2"/>
        <v>0</v>
      </c>
      <c r="AF17" s="338">
        <v>46034</v>
      </c>
      <c r="AG17" s="26"/>
      <c r="AH17" s="26"/>
      <c r="AI17" s="36"/>
      <c r="AJ17" s="204"/>
      <c r="AK17" s="88"/>
      <c r="AL17" s="328"/>
      <c r="AM17" s="28"/>
      <c r="AN17" s="226">
        <f t="shared" si="3"/>
        <v>0</v>
      </c>
      <c r="AP17" s="338">
        <v>46034</v>
      </c>
      <c r="AQ17" s="26"/>
      <c r="AR17" s="26"/>
      <c r="AS17" s="26"/>
      <c r="AT17" s="32"/>
      <c r="AU17" s="204"/>
      <c r="AV17" s="88"/>
      <c r="AW17" s="28"/>
      <c r="AX17" s="28"/>
      <c r="AY17" s="226">
        <f t="shared" si="4"/>
        <v>0</v>
      </c>
      <c r="AZ17" s="2"/>
      <c r="BA17" s="338">
        <v>46034</v>
      </c>
      <c r="BB17" s="27"/>
      <c r="BC17" s="27"/>
      <c r="BD17" s="33"/>
      <c r="BE17" s="32"/>
      <c r="BF17" s="204"/>
      <c r="BG17" s="215"/>
      <c r="BH17" s="328"/>
      <c r="BI17" s="335"/>
      <c r="BJ17" s="226">
        <f t="shared" si="5"/>
        <v>0</v>
      </c>
      <c r="BK17" s="2"/>
      <c r="BL17" s="338">
        <v>46034</v>
      </c>
      <c r="BM17" s="27"/>
      <c r="BN17" s="27"/>
      <c r="BO17" s="29"/>
      <c r="BP17" s="33"/>
      <c r="BQ17" s="204"/>
      <c r="BR17" s="88"/>
      <c r="BS17" s="328"/>
      <c r="BT17" s="28"/>
      <c r="BU17" s="226">
        <f t="shared" si="13"/>
        <v>0</v>
      </c>
      <c r="BV17" s="2"/>
      <c r="BW17" s="338">
        <v>46034</v>
      </c>
      <c r="BX17" s="26"/>
      <c r="BY17" s="26"/>
      <c r="BZ17" s="34"/>
      <c r="CA17" s="204"/>
      <c r="CB17" s="88"/>
      <c r="CC17" s="328"/>
      <c r="CD17" s="335"/>
      <c r="CE17" s="226">
        <f t="shared" si="6"/>
        <v>0</v>
      </c>
      <c r="CF17" s="2"/>
      <c r="CG17" s="338">
        <v>46034</v>
      </c>
      <c r="CH17" s="26"/>
      <c r="CI17" s="27"/>
      <c r="CJ17" s="31"/>
      <c r="CK17" s="204"/>
      <c r="CL17" s="215"/>
      <c r="CM17" s="329">
        <v>6.5499810000000025</v>
      </c>
      <c r="CN17" s="28"/>
      <c r="CO17" s="226">
        <f t="shared" si="7"/>
        <v>6.5499810000000025</v>
      </c>
      <c r="CP17" s="2"/>
      <c r="CQ17" s="338">
        <v>46034</v>
      </c>
      <c r="CR17" s="27"/>
      <c r="CS17" s="27"/>
      <c r="CT17" s="2"/>
      <c r="CU17" s="32"/>
      <c r="CV17" s="204"/>
      <c r="CW17" s="88"/>
      <c r="CX17" s="329"/>
      <c r="CY17" s="335"/>
      <c r="CZ17" s="226">
        <f t="shared" si="14"/>
        <v>0</v>
      </c>
      <c r="DA17" s="2"/>
      <c r="DB17" s="338">
        <v>46034</v>
      </c>
      <c r="DC17" s="26"/>
      <c r="DD17" s="27"/>
      <c r="DE17" s="29"/>
      <c r="DF17" s="204"/>
      <c r="DG17" s="88"/>
      <c r="DH17" s="328"/>
      <c r="DI17" s="335"/>
      <c r="DJ17" s="226">
        <f t="shared" si="8"/>
        <v>0</v>
      </c>
      <c r="DK17" s="2"/>
      <c r="DL17" s="338">
        <v>46034</v>
      </c>
      <c r="DM17" s="26"/>
      <c r="DN17" s="28"/>
      <c r="DO17" s="204"/>
      <c r="DP17" s="88"/>
      <c r="DQ17" s="28"/>
      <c r="DR17" s="28"/>
      <c r="DS17" s="226">
        <f t="shared" si="9"/>
        <v>0</v>
      </c>
      <c r="DT17" s="2"/>
      <c r="DU17" s="338">
        <v>46034</v>
      </c>
      <c r="DV17" s="27"/>
      <c r="DW17" s="35"/>
      <c r="DX17" s="204"/>
      <c r="DY17" s="215"/>
      <c r="DZ17" s="28"/>
      <c r="EA17" s="28"/>
      <c r="EB17" s="226">
        <f t="shared" si="10"/>
        <v>0</v>
      </c>
      <c r="EC17" s="2"/>
      <c r="ED17" s="338">
        <v>46034</v>
      </c>
      <c r="EE17" s="26"/>
      <c r="EF17" s="36"/>
      <c r="EG17" s="204"/>
      <c r="EH17" s="215"/>
      <c r="EI17" s="28"/>
      <c r="EJ17" s="28"/>
      <c r="EK17" s="226">
        <f t="shared" si="11"/>
        <v>0</v>
      </c>
      <c r="EL17" s="2"/>
      <c r="EM17" s="338">
        <v>46034</v>
      </c>
      <c r="EN17" s="26"/>
      <c r="EO17" s="28"/>
      <c r="EP17" s="204"/>
      <c r="EQ17" s="88">
        <v>90.866540999999984</v>
      </c>
      <c r="ER17" s="28"/>
      <c r="ES17" s="28"/>
      <c r="ET17" s="226">
        <f t="shared" si="12"/>
        <v>90.866540999999984</v>
      </c>
    </row>
    <row r="18" spans="2:150" ht="15.75" x14ac:dyDescent="0.25">
      <c r="B18" s="338">
        <v>46035</v>
      </c>
      <c r="C18" s="26"/>
      <c r="D18" s="27"/>
      <c r="E18" s="208"/>
      <c r="F18" s="204"/>
      <c r="G18" s="88"/>
      <c r="H18" s="329"/>
      <c r="I18" s="28"/>
      <c r="J18" s="226">
        <f t="shared" si="0"/>
        <v>0</v>
      </c>
      <c r="L18" s="338">
        <v>46035</v>
      </c>
      <c r="M18" s="26"/>
      <c r="N18" s="26"/>
      <c r="O18" s="29"/>
      <c r="P18" s="204"/>
      <c r="Q18" s="88"/>
      <c r="R18" s="28"/>
      <c r="S18" s="28"/>
      <c r="T18" s="226">
        <f t="shared" si="1"/>
        <v>0</v>
      </c>
      <c r="V18" s="338">
        <v>46035</v>
      </c>
      <c r="W18" s="26"/>
      <c r="X18" s="26"/>
      <c r="Y18" s="30"/>
      <c r="Z18" s="204"/>
      <c r="AA18" s="215"/>
      <c r="AB18" s="329"/>
      <c r="AC18" s="28"/>
      <c r="AD18" s="226">
        <f t="shared" si="2"/>
        <v>0</v>
      </c>
      <c r="AF18" s="338">
        <v>46035</v>
      </c>
      <c r="AG18" s="26"/>
      <c r="AH18" s="26"/>
      <c r="AI18" s="31"/>
      <c r="AJ18" s="204"/>
      <c r="AK18" s="88"/>
      <c r="AL18" s="328"/>
      <c r="AM18" s="28"/>
      <c r="AN18" s="226">
        <f t="shared" si="3"/>
        <v>0</v>
      </c>
      <c r="AP18" s="338">
        <v>46035</v>
      </c>
      <c r="AQ18" s="26"/>
      <c r="AR18" s="26"/>
      <c r="AS18" s="26"/>
      <c r="AT18" s="32"/>
      <c r="AU18" s="204"/>
      <c r="AV18" s="88"/>
      <c r="AW18" s="28"/>
      <c r="AX18" s="28"/>
      <c r="AY18" s="226">
        <f t="shared" si="4"/>
        <v>0</v>
      </c>
      <c r="AZ18" s="2"/>
      <c r="BA18" s="338">
        <v>46035</v>
      </c>
      <c r="BB18" s="26"/>
      <c r="BC18" s="27"/>
      <c r="BD18" s="33"/>
      <c r="BE18" s="32"/>
      <c r="BF18" s="204"/>
      <c r="BG18" s="215"/>
      <c r="BH18" s="328"/>
      <c r="BI18" s="335"/>
      <c r="BJ18" s="226">
        <f t="shared" si="5"/>
        <v>0</v>
      </c>
      <c r="BK18" s="2"/>
      <c r="BL18" s="338">
        <v>46035</v>
      </c>
      <c r="BM18" s="27"/>
      <c r="BN18" s="27"/>
      <c r="BO18" s="29"/>
      <c r="BP18" s="33"/>
      <c r="BQ18" s="204"/>
      <c r="BR18" s="88"/>
      <c r="BS18" s="328"/>
      <c r="BT18" s="28"/>
      <c r="BU18" s="226">
        <f t="shared" si="13"/>
        <v>0</v>
      </c>
      <c r="BV18" s="2"/>
      <c r="BW18" s="338">
        <v>46035</v>
      </c>
      <c r="BX18" s="26"/>
      <c r="BY18" s="26"/>
      <c r="BZ18" s="41"/>
      <c r="CA18" s="204"/>
      <c r="CB18" s="88"/>
      <c r="CC18" s="328"/>
      <c r="CD18" s="335"/>
      <c r="CE18" s="226">
        <f t="shared" si="6"/>
        <v>0</v>
      </c>
      <c r="CF18" s="2"/>
      <c r="CG18" s="338">
        <v>46035</v>
      </c>
      <c r="CH18" s="26"/>
      <c r="CI18" s="26"/>
      <c r="CJ18" s="31"/>
      <c r="CK18" s="204"/>
      <c r="CL18" s="215"/>
      <c r="CM18" s="329">
        <v>15.190202000000056</v>
      </c>
      <c r="CN18" s="28"/>
      <c r="CO18" s="226">
        <f t="shared" si="7"/>
        <v>15.190202000000056</v>
      </c>
      <c r="CP18" s="2"/>
      <c r="CQ18" s="338">
        <v>46035</v>
      </c>
      <c r="CR18" s="26"/>
      <c r="CS18" s="27"/>
      <c r="CT18" s="2"/>
      <c r="CU18" s="32"/>
      <c r="CV18" s="204"/>
      <c r="CW18" s="88"/>
      <c r="CX18" s="329"/>
      <c r="CY18" s="335"/>
      <c r="CZ18" s="226">
        <f t="shared" si="14"/>
        <v>0</v>
      </c>
      <c r="DA18" s="2"/>
      <c r="DB18" s="338">
        <v>46035</v>
      </c>
      <c r="DC18" s="26"/>
      <c r="DD18" s="27"/>
      <c r="DE18" s="32"/>
      <c r="DF18" s="204"/>
      <c r="DG18" s="88"/>
      <c r="DH18" s="328"/>
      <c r="DI18" s="335"/>
      <c r="DJ18" s="226">
        <f t="shared" si="8"/>
        <v>0</v>
      </c>
      <c r="DK18" s="2"/>
      <c r="DL18" s="338">
        <v>46035</v>
      </c>
      <c r="DM18" s="27"/>
      <c r="DN18" s="28"/>
      <c r="DO18" s="204"/>
      <c r="DP18" s="88"/>
      <c r="DQ18" s="28"/>
      <c r="DR18" s="28"/>
      <c r="DS18" s="226">
        <f t="shared" si="9"/>
        <v>0</v>
      </c>
      <c r="DT18" s="2"/>
      <c r="DU18" s="338">
        <v>46035</v>
      </c>
      <c r="DV18" s="27"/>
      <c r="DW18" s="35"/>
      <c r="DX18" s="204"/>
      <c r="DY18" s="215"/>
      <c r="DZ18" s="28"/>
      <c r="EA18" s="28"/>
      <c r="EB18" s="226">
        <f t="shared" si="10"/>
        <v>0</v>
      </c>
      <c r="EC18" s="2"/>
      <c r="ED18" s="338">
        <v>46035</v>
      </c>
      <c r="EE18" s="26"/>
      <c r="EF18" s="36"/>
      <c r="EG18" s="204"/>
      <c r="EH18" s="215"/>
      <c r="EI18" s="28"/>
      <c r="EJ18" s="28"/>
      <c r="EK18" s="226">
        <f t="shared" si="11"/>
        <v>0</v>
      </c>
      <c r="EL18" s="2"/>
      <c r="EM18" s="338">
        <v>46035</v>
      </c>
      <c r="EN18" s="26"/>
      <c r="EO18" s="28"/>
      <c r="EP18" s="204"/>
      <c r="EQ18" s="88">
        <v>44.722784999999931</v>
      </c>
      <c r="ER18" s="28"/>
      <c r="ES18" s="28"/>
      <c r="ET18" s="226">
        <f t="shared" si="12"/>
        <v>44.722784999999931</v>
      </c>
    </row>
    <row r="19" spans="2:150" ht="15.75" x14ac:dyDescent="0.25">
      <c r="B19" s="338">
        <v>46036</v>
      </c>
      <c r="C19" s="26"/>
      <c r="D19" s="27"/>
      <c r="E19" s="208"/>
      <c r="F19" s="204"/>
      <c r="G19" s="88"/>
      <c r="H19" s="329"/>
      <c r="I19" s="28"/>
      <c r="J19" s="226">
        <f t="shared" si="0"/>
        <v>0</v>
      </c>
      <c r="L19" s="338">
        <v>46036</v>
      </c>
      <c r="M19" s="26"/>
      <c r="N19" s="26"/>
      <c r="O19" s="29"/>
      <c r="P19" s="204"/>
      <c r="Q19" s="88"/>
      <c r="R19" s="28"/>
      <c r="S19" s="28"/>
      <c r="T19" s="226">
        <f t="shared" si="1"/>
        <v>0</v>
      </c>
      <c r="V19" s="338">
        <v>46036</v>
      </c>
      <c r="W19" s="26"/>
      <c r="X19" s="26"/>
      <c r="Y19" s="30"/>
      <c r="Z19" s="204"/>
      <c r="AA19" s="215"/>
      <c r="AB19" s="329"/>
      <c r="AC19" s="28"/>
      <c r="AD19" s="226">
        <f t="shared" si="2"/>
        <v>0</v>
      </c>
      <c r="AF19" s="338">
        <v>46036</v>
      </c>
      <c r="AG19" s="26"/>
      <c r="AH19" s="27"/>
      <c r="AI19" s="31"/>
      <c r="AJ19" s="204"/>
      <c r="AK19" s="88"/>
      <c r="AL19" s="328"/>
      <c r="AM19" s="28"/>
      <c r="AN19" s="226">
        <f t="shared" si="3"/>
        <v>0</v>
      </c>
      <c r="AP19" s="338">
        <v>46036</v>
      </c>
      <c r="AQ19" s="26"/>
      <c r="AR19" s="26"/>
      <c r="AS19" s="26"/>
      <c r="AT19" s="29"/>
      <c r="AU19" s="204"/>
      <c r="AV19" s="88"/>
      <c r="AW19" s="28"/>
      <c r="AX19" s="28"/>
      <c r="AY19" s="226">
        <f t="shared" si="4"/>
        <v>0</v>
      </c>
      <c r="AZ19" s="2"/>
      <c r="BA19" s="338">
        <v>46036</v>
      </c>
      <c r="BB19" s="27"/>
      <c r="BC19" s="27"/>
      <c r="BD19" s="33"/>
      <c r="BE19" s="32"/>
      <c r="BF19" s="204"/>
      <c r="BG19" s="215"/>
      <c r="BH19" s="328"/>
      <c r="BI19" s="335"/>
      <c r="BJ19" s="226">
        <f t="shared" si="5"/>
        <v>0</v>
      </c>
      <c r="BK19" s="2"/>
      <c r="BL19" s="338">
        <v>46036</v>
      </c>
      <c r="BM19" s="27"/>
      <c r="BN19" s="27"/>
      <c r="BO19" s="29"/>
      <c r="BP19" s="33"/>
      <c r="BQ19" s="204"/>
      <c r="BR19" s="88"/>
      <c r="BS19" s="328"/>
      <c r="BT19" s="28"/>
      <c r="BU19" s="226">
        <f t="shared" si="13"/>
        <v>0</v>
      </c>
      <c r="BV19" s="2"/>
      <c r="BW19" s="338">
        <v>46036</v>
      </c>
      <c r="BX19" s="26"/>
      <c r="BY19" s="26"/>
      <c r="BZ19" s="37"/>
      <c r="CA19" s="204"/>
      <c r="CB19" s="88"/>
      <c r="CC19" s="328"/>
      <c r="CD19" s="335"/>
      <c r="CE19" s="226">
        <f t="shared" si="6"/>
        <v>0</v>
      </c>
      <c r="CF19" s="2"/>
      <c r="CG19" s="338">
        <v>46036</v>
      </c>
      <c r="CH19" s="26"/>
      <c r="CI19" s="27"/>
      <c r="CJ19" s="31"/>
      <c r="CK19" s="204"/>
      <c r="CL19" s="215"/>
      <c r="CM19" s="329">
        <v>8.6897070000000269</v>
      </c>
      <c r="CN19" s="28"/>
      <c r="CO19" s="226">
        <f t="shared" si="7"/>
        <v>8.6897070000000269</v>
      </c>
      <c r="CP19" s="2"/>
      <c r="CQ19" s="338">
        <v>46036</v>
      </c>
      <c r="CR19" s="27"/>
      <c r="CS19" s="27"/>
      <c r="CT19" s="2"/>
      <c r="CU19" s="29"/>
      <c r="CV19" s="204"/>
      <c r="CW19" s="88"/>
      <c r="CX19" s="329"/>
      <c r="CY19" s="335"/>
      <c r="CZ19" s="226">
        <f t="shared" si="14"/>
        <v>0</v>
      </c>
      <c r="DA19" s="2"/>
      <c r="DB19" s="338">
        <v>46036</v>
      </c>
      <c r="DC19" s="26"/>
      <c r="DD19" s="27"/>
      <c r="DE19" s="29"/>
      <c r="DF19" s="204"/>
      <c r="DG19" s="88"/>
      <c r="DH19" s="328"/>
      <c r="DI19" s="335"/>
      <c r="DJ19" s="226">
        <f t="shared" si="8"/>
        <v>0</v>
      </c>
      <c r="DK19" s="2"/>
      <c r="DL19" s="338">
        <v>46036</v>
      </c>
      <c r="DM19" s="27"/>
      <c r="DN19" s="28"/>
      <c r="DO19" s="204"/>
      <c r="DP19" s="88"/>
      <c r="DQ19" s="28"/>
      <c r="DR19" s="28"/>
      <c r="DS19" s="226">
        <f t="shared" si="9"/>
        <v>0</v>
      </c>
      <c r="DT19" s="2"/>
      <c r="DU19" s="338">
        <v>46036</v>
      </c>
      <c r="DV19" s="27"/>
      <c r="DW19" s="35"/>
      <c r="DX19" s="204"/>
      <c r="DY19" s="215"/>
      <c r="DZ19" s="28"/>
      <c r="EA19" s="28"/>
      <c r="EB19" s="226">
        <f t="shared" si="10"/>
        <v>0</v>
      </c>
      <c r="EC19" s="2"/>
      <c r="ED19" s="338">
        <v>46036</v>
      </c>
      <c r="EE19" s="26"/>
      <c r="EF19" s="36"/>
      <c r="EG19" s="204"/>
      <c r="EH19" s="215"/>
      <c r="EI19" s="28"/>
      <c r="EJ19" s="28"/>
      <c r="EK19" s="226">
        <f t="shared" si="11"/>
        <v>0</v>
      </c>
      <c r="EL19" s="2"/>
      <c r="EM19" s="338">
        <v>46036</v>
      </c>
      <c r="EN19" s="26"/>
      <c r="EO19" s="28"/>
      <c r="EP19" s="204"/>
      <c r="EQ19" s="88">
        <v>27.536889999999971</v>
      </c>
      <c r="ER19" s="28"/>
      <c r="ES19" s="28"/>
      <c r="ET19" s="226">
        <f t="shared" si="12"/>
        <v>27.536889999999971</v>
      </c>
    </row>
    <row r="20" spans="2:150" ht="15.75" x14ac:dyDescent="0.25">
      <c r="B20" s="338">
        <v>46037</v>
      </c>
      <c r="C20" s="26"/>
      <c r="D20" s="27"/>
      <c r="E20" s="208"/>
      <c r="F20" s="204"/>
      <c r="G20" s="88"/>
      <c r="H20" s="329"/>
      <c r="I20" s="28"/>
      <c r="J20" s="226">
        <f t="shared" si="0"/>
        <v>0</v>
      </c>
      <c r="L20" s="338">
        <v>46037</v>
      </c>
      <c r="M20" s="26"/>
      <c r="N20" s="26"/>
      <c r="O20" s="29"/>
      <c r="P20" s="204"/>
      <c r="Q20" s="88"/>
      <c r="R20" s="28"/>
      <c r="S20" s="28"/>
      <c r="T20" s="226">
        <f t="shared" si="1"/>
        <v>0</v>
      </c>
      <c r="V20" s="338">
        <v>46037</v>
      </c>
      <c r="W20" s="26"/>
      <c r="X20" s="26"/>
      <c r="Y20" s="30"/>
      <c r="Z20" s="204"/>
      <c r="AA20" s="215"/>
      <c r="AB20" s="329"/>
      <c r="AC20" s="28"/>
      <c r="AD20" s="226">
        <f t="shared" si="2"/>
        <v>0</v>
      </c>
      <c r="AF20" s="338">
        <v>46037</v>
      </c>
      <c r="AG20" s="26"/>
      <c r="AH20" s="27"/>
      <c r="AI20" s="31"/>
      <c r="AJ20" s="204"/>
      <c r="AK20" s="88"/>
      <c r="AL20" s="328"/>
      <c r="AM20" s="28"/>
      <c r="AN20" s="226">
        <f t="shared" si="3"/>
        <v>0</v>
      </c>
      <c r="AP20" s="338">
        <v>46037</v>
      </c>
      <c r="AQ20" s="26"/>
      <c r="AR20" s="27"/>
      <c r="AS20" s="26"/>
      <c r="AT20" s="32"/>
      <c r="AU20" s="204"/>
      <c r="AV20" s="88"/>
      <c r="AW20" s="28"/>
      <c r="AX20" s="28"/>
      <c r="AY20" s="226">
        <f t="shared" si="4"/>
        <v>0</v>
      </c>
      <c r="AZ20" s="2"/>
      <c r="BA20" s="338">
        <v>46037</v>
      </c>
      <c r="BB20" s="27"/>
      <c r="BC20" s="27"/>
      <c r="BD20" s="33"/>
      <c r="BE20" s="32"/>
      <c r="BF20" s="204"/>
      <c r="BG20" s="215"/>
      <c r="BH20" s="328"/>
      <c r="BI20" s="335"/>
      <c r="BJ20" s="226">
        <f t="shared" si="5"/>
        <v>0</v>
      </c>
      <c r="BK20" s="2"/>
      <c r="BL20" s="338">
        <v>46037</v>
      </c>
      <c r="BM20" s="27"/>
      <c r="BN20" s="27"/>
      <c r="BO20" s="29"/>
      <c r="BP20" s="33"/>
      <c r="BQ20" s="204"/>
      <c r="BR20" s="88"/>
      <c r="BS20" s="328"/>
      <c r="BT20" s="28"/>
      <c r="BU20" s="226">
        <f t="shared" si="13"/>
        <v>0</v>
      </c>
      <c r="BV20" s="2"/>
      <c r="BW20" s="338">
        <v>46037</v>
      </c>
      <c r="BX20" s="26"/>
      <c r="BY20" s="27"/>
      <c r="BZ20" s="37"/>
      <c r="CA20" s="204"/>
      <c r="CB20" s="88"/>
      <c r="CC20" s="328"/>
      <c r="CD20" s="335"/>
      <c r="CE20" s="226">
        <f t="shared" si="6"/>
        <v>0</v>
      </c>
      <c r="CF20" s="2"/>
      <c r="CG20" s="338">
        <v>46037</v>
      </c>
      <c r="CH20" s="26"/>
      <c r="CI20" s="27"/>
      <c r="CJ20" s="31"/>
      <c r="CK20" s="204"/>
      <c r="CL20" s="215"/>
      <c r="CM20" s="329">
        <v>54.690777000000111</v>
      </c>
      <c r="CN20" s="28"/>
      <c r="CO20" s="226">
        <f t="shared" si="7"/>
        <v>54.690777000000111</v>
      </c>
      <c r="CP20" s="2"/>
      <c r="CQ20" s="338">
        <v>46037</v>
      </c>
      <c r="CR20" s="27"/>
      <c r="CS20" s="27"/>
      <c r="CT20" s="2"/>
      <c r="CU20" s="32"/>
      <c r="CV20" s="204"/>
      <c r="CW20" s="88"/>
      <c r="CX20" s="329"/>
      <c r="CY20" s="335"/>
      <c r="CZ20" s="226">
        <f t="shared" si="14"/>
        <v>0</v>
      </c>
      <c r="DA20" s="2"/>
      <c r="DB20" s="338">
        <v>46037</v>
      </c>
      <c r="DC20" s="26"/>
      <c r="DD20" s="27"/>
      <c r="DE20" s="32"/>
      <c r="DF20" s="204"/>
      <c r="DG20" s="88"/>
      <c r="DH20" s="328"/>
      <c r="DI20" s="335"/>
      <c r="DJ20" s="226">
        <f t="shared" si="8"/>
        <v>0</v>
      </c>
      <c r="DK20" s="2"/>
      <c r="DL20" s="338">
        <v>46037</v>
      </c>
      <c r="DM20" s="27"/>
      <c r="DN20" s="28"/>
      <c r="DO20" s="204"/>
      <c r="DP20" s="88"/>
      <c r="DQ20" s="28"/>
      <c r="DR20" s="28"/>
      <c r="DS20" s="226">
        <f t="shared" si="9"/>
        <v>0</v>
      </c>
      <c r="DT20" s="2"/>
      <c r="DU20" s="338">
        <v>46037</v>
      </c>
      <c r="DV20" s="27"/>
      <c r="DW20" s="35"/>
      <c r="DX20" s="204"/>
      <c r="DY20" s="215"/>
      <c r="DZ20" s="28"/>
      <c r="EA20" s="28"/>
      <c r="EB20" s="226">
        <f t="shared" si="10"/>
        <v>0</v>
      </c>
      <c r="EC20" s="2"/>
      <c r="ED20" s="338">
        <v>46037</v>
      </c>
      <c r="EE20" s="26"/>
      <c r="EF20" s="36"/>
      <c r="EG20" s="204"/>
      <c r="EH20" s="215"/>
      <c r="EI20" s="28"/>
      <c r="EJ20" s="28"/>
      <c r="EK20" s="226">
        <f t="shared" si="11"/>
        <v>0</v>
      </c>
      <c r="EL20" s="2"/>
      <c r="EM20" s="338">
        <v>46037</v>
      </c>
      <c r="EN20" s="26"/>
      <c r="EO20" s="28"/>
      <c r="EP20" s="204"/>
      <c r="EQ20" s="88">
        <v>117.10961499999993</v>
      </c>
      <c r="ER20" s="28"/>
      <c r="ES20" s="28"/>
      <c r="ET20" s="226">
        <f t="shared" si="12"/>
        <v>117.10961499999993</v>
      </c>
    </row>
    <row r="21" spans="2:150" ht="15.75" x14ac:dyDescent="0.25">
      <c r="B21" s="338">
        <v>46038</v>
      </c>
      <c r="C21" s="26"/>
      <c r="D21" s="26"/>
      <c r="E21" s="208"/>
      <c r="F21" s="204"/>
      <c r="G21" s="88"/>
      <c r="H21" s="329"/>
      <c r="I21" s="28"/>
      <c r="J21" s="226">
        <f t="shared" si="0"/>
        <v>0</v>
      </c>
      <c r="L21" s="338">
        <v>46038</v>
      </c>
      <c r="M21" s="26"/>
      <c r="N21" s="26"/>
      <c r="O21" s="29"/>
      <c r="P21" s="204"/>
      <c r="Q21" s="88"/>
      <c r="R21" s="28"/>
      <c r="S21" s="28"/>
      <c r="T21" s="226">
        <f t="shared" si="1"/>
        <v>0</v>
      </c>
      <c r="V21" s="338">
        <v>46038</v>
      </c>
      <c r="W21" s="26"/>
      <c r="X21" s="26"/>
      <c r="Y21" s="30"/>
      <c r="Z21" s="204"/>
      <c r="AA21" s="215"/>
      <c r="AB21" s="329"/>
      <c r="AC21" s="28"/>
      <c r="AD21" s="226">
        <f t="shared" si="2"/>
        <v>0</v>
      </c>
      <c r="AF21" s="338">
        <v>46038</v>
      </c>
      <c r="AG21" s="26"/>
      <c r="AH21" s="26"/>
      <c r="AI21" s="36"/>
      <c r="AJ21" s="204"/>
      <c r="AK21" s="88"/>
      <c r="AL21" s="328"/>
      <c r="AM21" s="28"/>
      <c r="AN21" s="226">
        <f t="shared" si="3"/>
        <v>0</v>
      </c>
      <c r="AP21" s="338">
        <v>46038</v>
      </c>
      <c r="AQ21" s="26"/>
      <c r="AR21" s="26"/>
      <c r="AS21" s="26"/>
      <c r="AT21" s="32"/>
      <c r="AU21" s="204"/>
      <c r="AV21" s="88"/>
      <c r="AW21" s="28"/>
      <c r="AX21" s="28"/>
      <c r="AY21" s="226">
        <f t="shared" si="4"/>
        <v>0</v>
      </c>
      <c r="AZ21" s="2"/>
      <c r="BA21" s="338">
        <v>46038</v>
      </c>
      <c r="BB21" s="27"/>
      <c r="BC21" s="27"/>
      <c r="BD21" s="33"/>
      <c r="BE21" s="29"/>
      <c r="BF21" s="204"/>
      <c r="BG21" s="215"/>
      <c r="BH21" s="328"/>
      <c r="BI21" s="335"/>
      <c r="BJ21" s="226">
        <f t="shared" si="5"/>
        <v>0</v>
      </c>
      <c r="BK21" s="2"/>
      <c r="BL21" s="338">
        <v>46038</v>
      </c>
      <c r="BM21" s="27"/>
      <c r="BN21" s="27"/>
      <c r="BO21" s="32"/>
      <c r="BP21" s="33"/>
      <c r="BQ21" s="204"/>
      <c r="BR21" s="88"/>
      <c r="BS21" s="328"/>
      <c r="BT21" s="28"/>
      <c r="BU21" s="226">
        <f t="shared" si="13"/>
        <v>0</v>
      </c>
      <c r="BV21" s="2"/>
      <c r="BW21" s="338">
        <v>46038</v>
      </c>
      <c r="BX21" s="26"/>
      <c r="BY21" s="27"/>
      <c r="BZ21" s="41"/>
      <c r="CA21" s="204"/>
      <c r="CB21" s="88"/>
      <c r="CC21" s="328"/>
      <c r="CD21" s="335"/>
      <c r="CE21" s="226">
        <f t="shared" si="6"/>
        <v>0</v>
      </c>
      <c r="CF21" s="2"/>
      <c r="CG21" s="338">
        <v>46038</v>
      </c>
      <c r="CH21" s="26"/>
      <c r="CI21" s="27"/>
      <c r="CJ21" s="31"/>
      <c r="CK21" s="204"/>
      <c r="CL21" s="215"/>
      <c r="CM21" s="329">
        <v>100.38961199999991</v>
      </c>
      <c r="CN21" s="28"/>
      <c r="CO21" s="226">
        <f t="shared" si="7"/>
        <v>100.38961199999991</v>
      </c>
      <c r="CP21" s="2"/>
      <c r="CQ21" s="338">
        <v>46038</v>
      </c>
      <c r="CR21" s="26"/>
      <c r="CS21" s="27"/>
      <c r="CT21" s="2"/>
      <c r="CU21" s="32"/>
      <c r="CV21" s="204"/>
      <c r="CW21" s="88"/>
      <c r="CX21" s="329"/>
      <c r="CY21" s="335"/>
      <c r="CZ21" s="226">
        <f t="shared" si="14"/>
        <v>0</v>
      </c>
      <c r="DA21" s="2"/>
      <c r="DB21" s="338">
        <v>46038</v>
      </c>
      <c r="DC21" s="26"/>
      <c r="DD21" s="27"/>
      <c r="DE21" s="32"/>
      <c r="DF21" s="204"/>
      <c r="DG21" s="88"/>
      <c r="DH21" s="328"/>
      <c r="DI21" s="335"/>
      <c r="DJ21" s="226">
        <f t="shared" si="8"/>
        <v>0</v>
      </c>
      <c r="DK21" s="2"/>
      <c r="DL21" s="338">
        <v>46038</v>
      </c>
      <c r="DM21" s="27"/>
      <c r="DN21" s="28"/>
      <c r="DO21" s="204"/>
      <c r="DP21" s="88"/>
      <c r="DQ21" s="28"/>
      <c r="DR21" s="28"/>
      <c r="DS21" s="226">
        <f t="shared" si="9"/>
        <v>0</v>
      </c>
      <c r="DT21" s="2"/>
      <c r="DU21" s="338">
        <v>46038</v>
      </c>
      <c r="DV21" s="42"/>
      <c r="DW21" s="35"/>
      <c r="DX21" s="204"/>
      <c r="DY21" s="215"/>
      <c r="DZ21" s="28"/>
      <c r="EA21" s="28"/>
      <c r="EB21" s="226">
        <f t="shared" si="10"/>
        <v>0</v>
      </c>
      <c r="EC21" s="2"/>
      <c r="ED21" s="338">
        <v>46038</v>
      </c>
      <c r="EE21" s="26"/>
      <c r="EF21" s="36"/>
      <c r="EG21" s="204"/>
      <c r="EH21" s="215"/>
      <c r="EI21" s="28"/>
      <c r="EJ21" s="28"/>
      <c r="EK21" s="226">
        <f t="shared" si="11"/>
        <v>0</v>
      </c>
      <c r="EL21" s="2"/>
      <c r="EM21" s="338">
        <v>46038</v>
      </c>
      <c r="EN21" s="26"/>
      <c r="EO21" s="28"/>
      <c r="EP21" s="204"/>
      <c r="EQ21" s="88">
        <v>23.983411999999955</v>
      </c>
      <c r="ER21" s="28"/>
      <c r="ES21" s="28"/>
      <c r="ET21" s="226">
        <f t="shared" si="12"/>
        <v>23.983411999999955</v>
      </c>
    </row>
    <row r="22" spans="2:150" ht="15.75" x14ac:dyDescent="0.25">
      <c r="B22" s="338">
        <v>46039</v>
      </c>
      <c r="C22" s="26"/>
      <c r="D22" s="26"/>
      <c r="E22" s="208"/>
      <c r="F22" s="204"/>
      <c r="G22" s="88"/>
      <c r="H22" s="329"/>
      <c r="I22" s="28"/>
      <c r="J22" s="226">
        <f t="shared" si="0"/>
        <v>0</v>
      </c>
      <c r="L22" s="338">
        <v>46039</v>
      </c>
      <c r="M22" s="26"/>
      <c r="N22" s="26"/>
      <c r="O22" s="29"/>
      <c r="P22" s="204"/>
      <c r="Q22" s="88"/>
      <c r="R22" s="28"/>
      <c r="S22" s="28"/>
      <c r="T22" s="226">
        <f t="shared" si="1"/>
        <v>0</v>
      </c>
      <c r="V22" s="338">
        <v>46039</v>
      </c>
      <c r="W22" s="26"/>
      <c r="X22" s="26"/>
      <c r="Y22" s="30"/>
      <c r="Z22" s="204"/>
      <c r="AA22" s="215"/>
      <c r="AB22" s="329"/>
      <c r="AC22" s="28"/>
      <c r="AD22" s="226">
        <f t="shared" si="2"/>
        <v>0</v>
      </c>
      <c r="AF22" s="338">
        <v>46039</v>
      </c>
      <c r="AG22" s="26"/>
      <c r="AH22" s="27"/>
      <c r="AI22" s="31"/>
      <c r="AJ22" s="204"/>
      <c r="AK22" s="88"/>
      <c r="AL22" s="328"/>
      <c r="AM22" s="28"/>
      <c r="AN22" s="226">
        <f t="shared" si="3"/>
        <v>0</v>
      </c>
      <c r="AP22" s="338">
        <v>46039</v>
      </c>
      <c r="AQ22" s="26"/>
      <c r="AR22" s="26"/>
      <c r="AS22" s="26"/>
      <c r="AT22" s="32"/>
      <c r="AU22" s="204"/>
      <c r="AV22" s="88"/>
      <c r="AW22" s="28"/>
      <c r="AX22" s="28"/>
      <c r="AY22" s="226">
        <f t="shared" si="4"/>
        <v>0</v>
      </c>
      <c r="AZ22" s="2"/>
      <c r="BA22" s="338">
        <v>46039</v>
      </c>
      <c r="BB22" s="27"/>
      <c r="BC22" s="27"/>
      <c r="BD22" s="33"/>
      <c r="BE22" s="29"/>
      <c r="BF22" s="204"/>
      <c r="BG22" s="215"/>
      <c r="BH22" s="328"/>
      <c r="BI22" s="335"/>
      <c r="BJ22" s="226">
        <f t="shared" si="5"/>
        <v>0</v>
      </c>
      <c r="BK22" s="2"/>
      <c r="BL22" s="338">
        <v>46039</v>
      </c>
      <c r="BM22" s="27"/>
      <c r="BN22" s="27"/>
      <c r="BO22" s="29"/>
      <c r="BP22" s="33"/>
      <c r="BQ22" s="204"/>
      <c r="BR22" s="88"/>
      <c r="BS22" s="328"/>
      <c r="BT22" s="28"/>
      <c r="BU22" s="226">
        <f t="shared" si="13"/>
        <v>0</v>
      </c>
      <c r="BV22" s="2"/>
      <c r="BW22" s="338">
        <v>46039</v>
      </c>
      <c r="BX22" s="26"/>
      <c r="BY22" s="27"/>
      <c r="BZ22" s="41"/>
      <c r="CA22" s="204"/>
      <c r="CB22" s="88"/>
      <c r="CC22" s="328"/>
      <c r="CD22" s="335"/>
      <c r="CE22" s="226">
        <f t="shared" si="6"/>
        <v>0</v>
      </c>
      <c r="CF22" s="2"/>
      <c r="CG22" s="338">
        <v>46039</v>
      </c>
      <c r="CH22" s="26"/>
      <c r="CI22" s="27"/>
      <c r="CJ22" s="31"/>
      <c r="CK22" s="204"/>
      <c r="CL22" s="215"/>
      <c r="CM22" s="329">
        <v>7.7993890000000192</v>
      </c>
      <c r="CN22" s="28"/>
      <c r="CO22" s="226">
        <f t="shared" si="7"/>
        <v>7.7993890000000192</v>
      </c>
      <c r="CP22" s="2"/>
      <c r="CQ22" s="338">
        <v>46039</v>
      </c>
      <c r="CR22" s="27"/>
      <c r="CS22" s="27"/>
      <c r="CT22" s="2"/>
      <c r="CU22" s="32"/>
      <c r="CV22" s="204"/>
      <c r="CW22" s="88"/>
      <c r="CX22" s="329"/>
      <c r="CY22" s="335"/>
      <c r="CZ22" s="226">
        <f t="shared" si="14"/>
        <v>0</v>
      </c>
      <c r="DA22" s="2"/>
      <c r="DB22" s="338">
        <v>46039</v>
      </c>
      <c r="DC22" s="26"/>
      <c r="DD22" s="27"/>
      <c r="DE22" s="29"/>
      <c r="DF22" s="204"/>
      <c r="DG22" s="88"/>
      <c r="DH22" s="328"/>
      <c r="DI22" s="335"/>
      <c r="DJ22" s="226">
        <f t="shared" si="8"/>
        <v>0</v>
      </c>
      <c r="DK22" s="2"/>
      <c r="DL22" s="338">
        <v>46039</v>
      </c>
      <c r="DM22" s="27"/>
      <c r="DN22" s="28"/>
      <c r="DO22" s="204"/>
      <c r="DP22" s="88"/>
      <c r="DQ22" s="28"/>
      <c r="DR22" s="28"/>
      <c r="DS22" s="226">
        <f t="shared" si="9"/>
        <v>0</v>
      </c>
      <c r="DT22" s="2"/>
      <c r="DU22" s="338">
        <v>46039</v>
      </c>
      <c r="DV22" s="27"/>
      <c r="DW22" s="35"/>
      <c r="DX22" s="204"/>
      <c r="DY22" s="215"/>
      <c r="DZ22" s="28"/>
      <c r="EA22" s="28"/>
      <c r="EB22" s="226">
        <f t="shared" si="10"/>
        <v>0</v>
      </c>
      <c r="EC22" s="2"/>
      <c r="ED22" s="338">
        <v>46039</v>
      </c>
      <c r="EE22" s="26"/>
      <c r="EF22" s="36"/>
      <c r="EG22" s="204"/>
      <c r="EH22" s="215"/>
      <c r="EI22" s="28"/>
      <c r="EJ22" s="28"/>
      <c r="EK22" s="226">
        <f t="shared" si="11"/>
        <v>0</v>
      </c>
      <c r="EL22" s="2"/>
      <c r="EM22" s="338">
        <v>46039</v>
      </c>
      <c r="EN22" s="26"/>
      <c r="EO22" s="28"/>
      <c r="EP22" s="204"/>
      <c r="EQ22" s="88">
        <v>102.26528799999994</v>
      </c>
      <c r="ER22" s="28"/>
      <c r="ES22" s="28"/>
      <c r="ET22" s="226">
        <f t="shared" si="12"/>
        <v>102.26528799999994</v>
      </c>
    </row>
    <row r="23" spans="2:150" ht="15.75" x14ac:dyDescent="0.25">
      <c r="B23" s="338">
        <v>46040</v>
      </c>
      <c r="C23" s="26"/>
      <c r="D23" s="27"/>
      <c r="E23" s="208"/>
      <c r="F23" s="204"/>
      <c r="G23" s="88"/>
      <c r="H23" s="329"/>
      <c r="I23" s="28"/>
      <c r="J23" s="226">
        <f t="shared" si="0"/>
        <v>0</v>
      </c>
      <c r="L23" s="338">
        <v>46040</v>
      </c>
      <c r="M23" s="26"/>
      <c r="N23" s="26"/>
      <c r="O23" s="29"/>
      <c r="P23" s="204"/>
      <c r="Q23" s="88"/>
      <c r="R23" s="28"/>
      <c r="S23" s="28"/>
      <c r="T23" s="226">
        <f t="shared" si="1"/>
        <v>0</v>
      </c>
      <c r="V23" s="338">
        <v>46040</v>
      </c>
      <c r="W23" s="26"/>
      <c r="X23" s="26"/>
      <c r="Y23" s="30"/>
      <c r="Z23" s="204"/>
      <c r="AA23" s="215"/>
      <c r="AB23" s="329"/>
      <c r="AC23" s="28"/>
      <c r="AD23" s="226">
        <f t="shared" si="2"/>
        <v>0</v>
      </c>
      <c r="AF23" s="338">
        <v>46040</v>
      </c>
      <c r="AG23" s="26"/>
      <c r="AH23" s="26"/>
      <c r="AI23" s="31"/>
      <c r="AJ23" s="204"/>
      <c r="AK23" s="88"/>
      <c r="AL23" s="328"/>
      <c r="AM23" s="28"/>
      <c r="AN23" s="226">
        <f t="shared" si="3"/>
        <v>0</v>
      </c>
      <c r="AP23" s="338">
        <v>46040</v>
      </c>
      <c r="AQ23" s="26"/>
      <c r="AR23" s="26"/>
      <c r="AS23" s="26"/>
      <c r="AT23" s="32"/>
      <c r="AU23" s="204"/>
      <c r="AV23" s="88"/>
      <c r="AW23" s="28"/>
      <c r="AX23" s="28"/>
      <c r="AY23" s="226">
        <f t="shared" si="4"/>
        <v>0</v>
      </c>
      <c r="AZ23" s="2"/>
      <c r="BA23" s="338">
        <v>46040</v>
      </c>
      <c r="BB23" s="26"/>
      <c r="BC23" s="27"/>
      <c r="BD23" s="33"/>
      <c r="BE23" s="32"/>
      <c r="BF23" s="204"/>
      <c r="BG23" s="215"/>
      <c r="BH23" s="328"/>
      <c r="BI23" s="335"/>
      <c r="BJ23" s="226">
        <f t="shared" si="5"/>
        <v>0</v>
      </c>
      <c r="BK23" s="2"/>
      <c r="BL23" s="338">
        <v>46040</v>
      </c>
      <c r="BM23" s="27"/>
      <c r="BN23" s="27"/>
      <c r="BO23" s="29"/>
      <c r="BP23" s="33"/>
      <c r="BQ23" s="204"/>
      <c r="BR23" s="88"/>
      <c r="BS23" s="328"/>
      <c r="BT23" s="28"/>
      <c r="BU23" s="226">
        <f t="shared" si="13"/>
        <v>0</v>
      </c>
      <c r="BV23" s="2"/>
      <c r="BW23" s="338">
        <v>46040</v>
      </c>
      <c r="BX23" s="26"/>
      <c r="BY23" s="27"/>
      <c r="BZ23" s="37"/>
      <c r="CA23" s="204"/>
      <c r="CB23" s="88"/>
      <c r="CC23" s="328"/>
      <c r="CD23" s="335"/>
      <c r="CE23" s="226">
        <f t="shared" si="6"/>
        <v>0</v>
      </c>
      <c r="CF23" s="2"/>
      <c r="CG23" s="338">
        <v>46040</v>
      </c>
      <c r="CH23" s="26"/>
      <c r="CI23" s="27"/>
      <c r="CJ23" s="31"/>
      <c r="CK23" s="204"/>
      <c r="CL23" s="215"/>
      <c r="CM23" s="329">
        <v>44.648896000000065</v>
      </c>
      <c r="CN23" s="28"/>
      <c r="CO23" s="226">
        <f t="shared" si="7"/>
        <v>44.648896000000065</v>
      </c>
      <c r="CP23" s="2"/>
      <c r="CQ23" s="338">
        <v>46040</v>
      </c>
      <c r="CR23" s="26"/>
      <c r="CS23" s="27"/>
      <c r="CT23" s="2"/>
      <c r="CU23" s="29"/>
      <c r="CV23" s="204"/>
      <c r="CW23" s="88"/>
      <c r="CX23" s="329"/>
      <c r="CY23" s="335"/>
      <c r="CZ23" s="226">
        <f t="shared" si="14"/>
        <v>0</v>
      </c>
      <c r="DA23" s="2"/>
      <c r="DB23" s="338">
        <v>46040</v>
      </c>
      <c r="DC23" s="26"/>
      <c r="DD23" s="27"/>
      <c r="DE23" s="32"/>
      <c r="DF23" s="204"/>
      <c r="DG23" s="88"/>
      <c r="DH23" s="328"/>
      <c r="DI23" s="335"/>
      <c r="DJ23" s="226">
        <f t="shared" si="8"/>
        <v>0</v>
      </c>
      <c r="DK23" s="2"/>
      <c r="DL23" s="338">
        <v>46040</v>
      </c>
      <c r="DM23" s="27"/>
      <c r="DN23" s="28"/>
      <c r="DO23" s="204"/>
      <c r="DP23" s="88"/>
      <c r="DQ23" s="28"/>
      <c r="DR23" s="28"/>
      <c r="DS23" s="226">
        <f t="shared" si="9"/>
        <v>0</v>
      </c>
      <c r="DT23" s="2"/>
      <c r="DU23" s="338">
        <v>46040</v>
      </c>
      <c r="DV23" s="27"/>
      <c r="DW23" s="35"/>
      <c r="DX23" s="204"/>
      <c r="DY23" s="215"/>
      <c r="DZ23" s="28"/>
      <c r="EA23" s="28"/>
      <c r="EB23" s="226">
        <f t="shared" si="10"/>
        <v>0</v>
      </c>
      <c r="EC23" s="2"/>
      <c r="ED23" s="338">
        <v>46040</v>
      </c>
      <c r="EE23" s="26"/>
      <c r="EF23" s="36"/>
      <c r="EG23" s="204"/>
      <c r="EH23" s="215"/>
      <c r="EI23" s="28"/>
      <c r="EJ23" s="28"/>
      <c r="EK23" s="226">
        <f t="shared" si="11"/>
        <v>0</v>
      </c>
      <c r="EL23" s="2"/>
      <c r="EM23" s="338">
        <v>46040</v>
      </c>
      <c r="EN23" s="26"/>
      <c r="EO23" s="28"/>
      <c r="EP23" s="204"/>
      <c r="EQ23" s="88">
        <v>31.828823000000007</v>
      </c>
      <c r="ER23" s="28"/>
      <c r="ES23" s="28"/>
      <c r="ET23" s="226">
        <f t="shared" si="12"/>
        <v>31.828823000000007</v>
      </c>
    </row>
    <row r="24" spans="2:150" ht="15.75" x14ac:dyDescent="0.25">
      <c r="B24" s="338">
        <v>46041</v>
      </c>
      <c r="C24" s="26"/>
      <c r="D24" s="26"/>
      <c r="E24" s="208"/>
      <c r="F24" s="204"/>
      <c r="G24" s="88"/>
      <c r="H24" s="329"/>
      <c r="I24" s="28"/>
      <c r="J24" s="226">
        <f t="shared" si="0"/>
        <v>0</v>
      </c>
      <c r="L24" s="338">
        <v>46041</v>
      </c>
      <c r="M24" s="26"/>
      <c r="N24" s="26"/>
      <c r="O24" s="29"/>
      <c r="P24" s="204"/>
      <c r="Q24" s="88"/>
      <c r="R24" s="28"/>
      <c r="S24" s="28"/>
      <c r="T24" s="226">
        <f t="shared" si="1"/>
        <v>0</v>
      </c>
      <c r="V24" s="338">
        <v>46041</v>
      </c>
      <c r="W24" s="26"/>
      <c r="X24" s="26"/>
      <c r="Y24" s="30"/>
      <c r="Z24" s="204"/>
      <c r="AA24" s="215"/>
      <c r="AB24" s="329"/>
      <c r="AC24" s="28"/>
      <c r="AD24" s="226">
        <f t="shared" si="2"/>
        <v>0</v>
      </c>
      <c r="AF24" s="338">
        <v>46041</v>
      </c>
      <c r="AG24" s="26"/>
      <c r="AH24" s="27"/>
      <c r="AI24" s="36"/>
      <c r="AJ24" s="204"/>
      <c r="AK24" s="88"/>
      <c r="AL24" s="328"/>
      <c r="AM24" s="28"/>
      <c r="AN24" s="226">
        <f t="shared" si="3"/>
        <v>0</v>
      </c>
      <c r="AP24" s="338">
        <v>46041</v>
      </c>
      <c r="AQ24" s="26"/>
      <c r="AR24" s="26"/>
      <c r="AS24" s="26"/>
      <c r="AT24" s="32"/>
      <c r="AU24" s="204"/>
      <c r="AV24" s="88"/>
      <c r="AW24" s="28"/>
      <c r="AX24" s="28"/>
      <c r="AY24" s="226">
        <f t="shared" si="4"/>
        <v>0</v>
      </c>
      <c r="AZ24" s="2"/>
      <c r="BA24" s="338">
        <v>46041</v>
      </c>
      <c r="BB24" s="26"/>
      <c r="BC24" s="27"/>
      <c r="BD24" s="33"/>
      <c r="BE24" s="32"/>
      <c r="BF24" s="204"/>
      <c r="BG24" s="215"/>
      <c r="BH24" s="328"/>
      <c r="BI24" s="335"/>
      <c r="BJ24" s="226">
        <f t="shared" si="5"/>
        <v>0</v>
      </c>
      <c r="BK24" s="2"/>
      <c r="BL24" s="338">
        <v>46041</v>
      </c>
      <c r="BM24" s="27"/>
      <c r="BN24" s="27"/>
      <c r="BO24" s="29"/>
      <c r="BP24" s="33"/>
      <c r="BQ24" s="204"/>
      <c r="BR24" s="88"/>
      <c r="BS24" s="328"/>
      <c r="BT24" s="28"/>
      <c r="BU24" s="226">
        <f t="shared" si="13"/>
        <v>0</v>
      </c>
      <c r="BV24" s="2"/>
      <c r="BW24" s="338">
        <v>46041</v>
      </c>
      <c r="BX24" s="26"/>
      <c r="BY24" s="27"/>
      <c r="BZ24" s="41"/>
      <c r="CA24" s="204"/>
      <c r="CB24" s="88"/>
      <c r="CC24" s="328"/>
      <c r="CD24" s="335"/>
      <c r="CE24" s="226">
        <f t="shared" si="6"/>
        <v>0</v>
      </c>
      <c r="CF24" s="2"/>
      <c r="CG24" s="338">
        <v>46041</v>
      </c>
      <c r="CH24" s="27"/>
      <c r="CI24" s="27"/>
      <c r="CJ24" s="31"/>
      <c r="CK24" s="204"/>
      <c r="CL24" s="215"/>
      <c r="CM24" s="329"/>
      <c r="CN24" s="28"/>
      <c r="CO24" s="226">
        <f t="shared" si="7"/>
        <v>0</v>
      </c>
      <c r="CP24" s="2"/>
      <c r="CQ24" s="338">
        <v>46041</v>
      </c>
      <c r="CR24" s="27"/>
      <c r="CS24" s="27"/>
      <c r="CT24" s="2"/>
      <c r="CU24" s="29"/>
      <c r="CV24" s="204"/>
      <c r="CW24" s="88"/>
      <c r="CX24" s="329"/>
      <c r="CY24" s="335"/>
      <c r="CZ24" s="226">
        <f t="shared" si="14"/>
        <v>0</v>
      </c>
      <c r="DA24" s="2"/>
      <c r="DB24" s="338">
        <v>46041</v>
      </c>
      <c r="DC24" s="26"/>
      <c r="DD24" s="27"/>
      <c r="DE24" s="29"/>
      <c r="DF24" s="204"/>
      <c r="DG24" s="88"/>
      <c r="DH24" s="328"/>
      <c r="DI24" s="335"/>
      <c r="DJ24" s="226">
        <f t="shared" si="8"/>
        <v>0</v>
      </c>
      <c r="DK24" s="2"/>
      <c r="DL24" s="338">
        <v>46041</v>
      </c>
      <c r="DM24" s="27"/>
      <c r="DN24" s="28"/>
      <c r="DO24" s="204"/>
      <c r="DP24" s="88"/>
      <c r="DQ24" s="28"/>
      <c r="DR24" s="28"/>
      <c r="DS24" s="226">
        <f t="shared" si="9"/>
        <v>0</v>
      </c>
      <c r="DT24" s="2"/>
      <c r="DU24" s="338">
        <v>46041</v>
      </c>
      <c r="DV24" s="27"/>
      <c r="DW24" s="35"/>
      <c r="DX24" s="204"/>
      <c r="DY24" s="215"/>
      <c r="DZ24" s="28"/>
      <c r="EA24" s="28"/>
      <c r="EB24" s="226">
        <f t="shared" si="10"/>
        <v>0</v>
      </c>
      <c r="EC24" s="2"/>
      <c r="ED24" s="338">
        <v>46041</v>
      </c>
      <c r="EE24" s="26"/>
      <c r="EF24" s="36"/>
      <c r="EG24" s="204"/>
      <c r="EH24" s="215"/>
      <c r="EI24" s="28"/>
      <c r="EJ24" s="28"/>
      <c r="EK24" s="226">
        <f t="shared" si="11"/>
        <v>0</v>
      </c>
      <c r="EL24" s="2"/>
      <c r="EM24" s="338">
        <v>46041</v>
      </c>
      <c r="EN24" s="26"/>
      <c r="EO24" s="28"/>
      <c r="EP24" s="204"/>
      <c r="EQ24" s="88">
        <v>12.358416000000048</v>
      </c>
      <c r="ER24" s="28"/>
      <c r="ES24" s="28"/>
      <c r="ET24" s="226">
        <f t="shared" si="12"/>
        <v>12.358416000000048</v>
      </c>
    </row>
    <row r="25" spans="2:150" ht="15.75" x14ac:dyDescent="0.25">
      <c r="B25" s="338">
        <v>46042</v>
      </c>
      <c r="C25" s="26"/>
      <c r="D25" s="27"/>
      <c r="E25" s="208"/>
      <c r="F25" s="204"/>
      <c r="G25" s="88"/>
      <c r="H25" s="329"/>
      <c r="I25" s="28"/>
      <c r="J25" s="226">
        <f t="shared" si="0"/>
        <v>0</v>
      </c>
      <c r="L25" s="338">
        <v>46042</v>
      </c>
      <c r="M25" s="26"/>
      <c r="N25" s="26"/>
      <c r="O25" s="29"/>
      <c r="P25" s="204"/>
      <c r="Q25" s="88"/>
      <c r="R25" s="28"/>
      <c r="S25" s="28"/>
      <c r="T25" s="226">
        <f t="shared" si="1"/>
        <v>0</v>
      </c>
      <c r="V25" s="338">
        <v>46042</v>
      </c>
      <c r="W25" s="26"/>
      <c r="X25" s="26"/>
      <c r="Y25" s="30"/>
      <c r="Z25" s="204"/>
      <c r="AA25" s="215"/>
      <c r="AB25" s="329"/>
      <c r="AC25" s="28"/>
      <c r="AD25" s="226">
        <f t="shared" si="2"/>
        <v>0</v>
      </c>
      <c r="AF25" s="338">
        <v>46042</v>
      </c>
      <c r="AG25" s="26"/>
      <c r="AH25" s="27"/>
      <c r="AI25" s="31"/>
      <c r="AJ25" s="204"/>
      <c r="AK25" s="88"/>
      <c r="AL25" s="328"/>
      <c r="AM25" s="28"/>
      <c r="AN25" s="226">
        <f t="shared" si="3"/>
        <v>0</v>
      </c>
      <c r="AP25" s="338">
        <v>46042</v>
      </c>
      <c r="AQ25" s="26"/>
      <c r="AR25" s="26"/>
      <c r="AS25" s="26"/>
      <c r="AT25" s="32"/>
      <c r="AU25" s="204"/>
      <c r="AV25" s="88"/>
      <c r="AW25" s="28"/>
      <c r="AX25" s="28"/>
      <c r="AY25" s="226">
        <f t="shared" si="4"/>
        <v>0</v>
      </c>
      <c r="AZ25" s="2"/>
      <c r="BA25" s="338">
        <v>46042</v>
      </c>
      <c r="BB25" s="27"/>
      <c r="BC25" s="27"/>
      <c r="BD25" s="33"/>
      <c r="BE25" s="32"/>
      <c r="BF25" s="204"/>
      <c r="BG25" s="215"/>
      <c r="BH25" s="328"/>
      <c r="BI25" s="335"/>
      <c r="BJ25" s="226">
        <f t="shared" si="5"/>
        <v>0</v>
      </c>
      <c r="BK25" s="2"/>
      <c r="BL25" s="338">
        <v>46042</v>
      </c>
      <c r="BM25" s="27"/>
      <c r="BN25" s="27"/>
      <c r="BO25" s="32"/>
      <c r="BP25" s="33"/>
      <c r="BQ25" s="204"/>
      <c r="BR25" s="88"/>
      <c r="BS25" s="328"/>
      <c r="BT25" s="28"/>
      <c r="BU25" s="226">
        <f t="shared" si="13"/>
        <v>0</v>
      </c>
      <c r="BV25" s="2"/>
      <c r="BW25" s="338">
        <v>46042</v>
      </c>
      <c r="BX25" s="26"/>
      <c r="BY25" s="27"/>
      <c r="BZ25" s="37"/>
      <c r="CA25" s="204"/>
      <c r="CB25" s="88"/>
      <c r="CC25" s="328"/>
      <c r="CD25" s="335"/>
      <c r="CE25" s="226">
        <f t="shared" si="6"/>
        <v>0</v>
      </c>
      <c r="CF25" s="2"/>
      <c r="CG25" s="338">
        <v>46042</v>
      </c>
      <c r="CH25" s="26"/>
      <c r="CI25" s="26"/>
      <c r="CJ25" s="31"/>
      <c r="CK25" s="204"/>
      <c r="CL25" s="215"/>
      <c r="CM25" s="329">
        <v>19.089939000000015</v>
      </c>
      <c r="CN25" s="28"/>
      <c r="CO25" s="226">
        <f t="shared" si="7"/>
        <v>19.089939000000015</v>
      </c>
      <c r="CP25" s="2"/>
      <c r="CQ25" s="338">
        <v>46042</v>
      </c>
      <c r="CR25" s="27"/>
      <c r="CS25" s="27"/>
      <c r="CT25" s="2"/>
      <c r="CU25" s="32"/>
      <c r="CV25" s="204"/>
      <c r="CW25" s="88"/>
      <c r="CX25" s="329"/>
      <c r="CY25" s="335"/>
      <c r="CZ25" s="226">
        <f t="shared" si="14"/>
        <v>0</v>
      </c>
      <c r="DA25" s="2"/>
      <c r="DB25" s="338">
        <v>46042</v>
      </c>
      <c r="DC25" s="27"/>
      <c r="DD25" s="27"/>
      <c r="DE25" s="29"/>
      <c r="DF25" s="204"/>
      <c r="DG25" s="88"/>
      <c r="DH25" s="328"/>
      <c r="DI25" s="335"/>
      <c r="DJ25" s="226">
        <f t="shared" si="8"/>
        <v>0</v>
      </c>
      <c r="DK25" s="2"/>
      <c r="DL25" s="338">
        <v>46042</v>
      </c>
      <c r="DM25" s="27"/>
      <c r="DN25" s="28"/>
      <c r="DO25" s="204"/>
      <c r="DP25" s="88"/>
      <c r="DQ25" s="28"/>
      <c r="DR25" s="28"/>
      <c r="DS25" s="226">
        <f t="shared" si="9"/>
        <v>0</v>
      </c>
      <c r="DT25" s="2"/>
      <c r="DU25" s="338">
        <v>46042</v>
      </c>
      <c r="DV25" s="27"/>
      <c r="DW25" s="35"/>
      <c r="DX25" s="204"/>
      <c r="DY25" s="215"/>
      <c r="DZ25" s="28"/>
      <c r="EA25" s="28"/>
      <c r="EB25" s="226">
        <f t="shared" si="10"/>
        <v>0</v>
      </c>
      <c r="EC25" s="2"/>
      <c r="ED25" s="338">
        <v>46042</v>
      </c>
      <c r="EE25" s="26"/>
      <c r="EF25" s="36"/>
      <c r="EG25" s="204"/>
      <c r="EH25" s="215"/>
      <c r="EI25" s="28"/>
      <c r="EJ25" s="28"/>
      <c r="EK25" s="226">
        <f t="shared" si="11"/>
        <v>0</v>
      </c>
      <c r="EL25" s="2"/>
      <c r="EM25" s="338">
        <v>46042</v>
      </c>
      <c r="EN25" s="26"/>
      <c r="EO25" s="28"/>
      <c r="EP25" s="204"/>
      <c r="EQ25" s="88"/>
      <c r="ER25" s="28"/>
      <c r="ES25" s="28"/>
      <c r="ET25" s="226">
        <f t="shared" si="12"/>
        <v>0</v>
      </c>
    </row>
    <row r="26" spans="2:150" ht="15.75" x14ac:dyDescent="0.25">
      <c r="B26" s="338">
        <v>46043</v>
      </c>
      <c r="C26" s="26"/>
      <c r="D26" s="26"/>
      <c r="E26" s="208"/>
      <c r="F26" s="204"/>
      <c r="G26" s="88"/>
      <c r="H26" s="329"/>
      <c r="I26" s="28"/>
      <c r="J26" s="226">
        <f t="shared" si="0"/>
        <v>0</v>
      </c>
      <c r="L26" s="338">
        <v>46043</v>
      </c>
      <c r="M26" s="26"/>
      <c r="N26" s="26"/>
      <c r="O26" s="29"/>
      <c r="P26" s="204"/>
      <c r="Q26" s="88"/>
      <c r="R26" s="28"/>
      <c r="S26" s="28"/>
      <c r="T26" s="226">
        <f t="shared" si="1"/>
        <v>0</v>
      </c>
      <c r="V26" s="338">
        <v>46043</v>
      </c>
      <c r="W26" s="26"/>
      <c r="X26" s="26"/>
      <c r="Y26" s="30"/>
      <c r="Z26" s="204"/>
      <c r="AA26" s="215"/>
      <c r="AB26" s="329"/>
      <c r="AC26" s="28"/>
      <c r="AD26" s="226">
        <f t="shared" si="2"/>
        <v>0</v>
      </c>
      <c r="AF26" s="338">
        <v>46043</v>
      </c>
      <c r="AG26" s="26"/>
      <c r="AH26" s="26"/>
      <c r="AI26" s="31"/>
      <c r="AJ26" s="204"/>
      <c r="AK26" s="88"/>
      <c r="AL26" s="328"/>
      <c r="AM26" s="28"/>
      <c r="AN26" s="226">
        <f t="shared" si="3"/>
        <v>0</v>
      </c>
      <c r="AP26" s="338">
        <v>46043</v>
      </c>
      <c r="AQ26" s="26"/>
      <c r="AR26" s="27"/>
      <c r="AS26" s="26"/>
      <c r="AT26" s="43"/>
      <c r="AU26" s="204"/>
      <c r="AV26" s="88"/>
      <c r="AW26" s="328"/>
      <c r="AX26" s="28"/>
      <c r="AY26" s="226">
        <f t="shared" si="4"/>
        <v>0</v>
      </c>
      <c r="AZ26" s="2"/>
      <c r="BA26" s="338">
        <v>46043</v>
      </c>
      <c r="BB26" s="27"/>
      <c r="BC26" s="27"/>
      <c r="BD26" s="33"/>
      <c r="BE26" s="32"/>
      <c r="BF26" s="204"/>
      <c r="BG26" s="215"/>
      <c r="BH26" s="328"/>
      <c r="BI26" s="335"/>
      <c r="BJ26" s="226">
        <f t="shared" si="5"/>
        <v>0</v>
      </c>
      <c r="BK26" s="2"/>
      <c r="BL26" s="338">
        <v>46043</v>
      </c>
      <c r="BM26" s="27"/>
      <c r="BN26" s="27"/>
      <c r="BO26" s="32"/>
      <c r="BP26" s="33"/>
      <c r="BQ26" s="204"/>
      <c r="BR26" s="88"/>
      <c r="BS26" s="328"/>
      <c r="BT26" s="28"/>
      <c r="BU26" s="226">
        <f t="shared" si="13"/>
        <v>0</v>
      </c>
      <c r="BV26" s="2"/>
      <c r="BW26" s="338">
        <v>46043</v>
      </c>
      <c r="BX26" s="26"/>
      <c r="BY26" s="27"/>
      <c r="BZ26" s="34"/>
      <c r="CA26" s="204"/>
      <c r="CB26" s="88"/>
      <c r="CC26" s="328"/>
      <c r="CD26" s="335"/>
      <c r="CE26" s="226">
        <f t="shared" si="6"/>
        <v>0</v>
      </c>
      <c r="CF26" s="2"/>
      <c r="CG26" s="338">
        <v>46043</v>
      </c>
      <c r="CH26" s="26"/>
      <c r="CI26" s="27"/>
      <c r="CJ26" s="31"/>
      <c r="CK26" s="204"/>
      <c r="CL26" s="215"/>
      <c r="CM26" s="329">
        <v>79.0507419999999</v>
      </c>
      <c r="CN26" s="28"/>
      <c r="CO26" s="226">
        <f t="shared" si="7"/>
        <v>79.0507419999999</v>
      </c>
      <c r="CP26" s="2"/>
      <c r="CQ26" s="338">
        <v>46043</v>
      </c>
      <c r="CR26" s="26"/>
      <c r="CS26" s="27"/>
      <c r="CT26" s="2"/>
      <c r="CU26" s="29"/>
      <c r="CV26" s="204"/>
      <c r="CW26" s="88"/>
      <c r="CX26" s="329"/>
      <c r="CY26" s="335"/>
      <c r="CZ26" s="226">
        <f t="shared" si="14"/>
        <v>0</v>
      </c>
      <c r="DA26" s="2"/>
      <c r="DB26" s="338">
        <v>46043</v>
      </c>
      <c r="DC26" s="26"/>
      <c r="DD26" s="27"/>
      <c r="DE26" s="29"/>
      <c r="DF26" s="204"/>
      <c r="DG26" s="88"/>
      <c r="DH26" s="328"/>
      <c r="DI26" s="335"/>
      <c r="DJ26" s="226">
        <f t="shared" si="8"/>
        <v>0</v>
      </c>
      <c r="DK26" s="2"/>
      <c r="DL26" s="338">
        <v>46043</v>
      </c>
      <c r="DM26" s="27"/>
      <c r="DN26" s="28"/>
      <c r="DO26" s="204"/>
      <c r="DP26" s="88"/>
      <c r="DQ26" s="28"/>
      <c r="DR26" s="28"/>
      <c r="DS26" s="226">
        <f t="shared" si="9"/>
        <v>0</v>
      </c>
      <c r="DT26" s="2"/>
      <c r="DU26" s="338">
        <v>46043</v>
      </c>
      <c r="DV26" s="27"/>
      <c r="DW26" s="35"/>
      <c r="DX26" s="204"/>
      <c r="DY26" s="215"/>
      <c r="DZ26" s="28"/>
      <c r="EA26" s="28"/>
      <c r="EB26" s="226">
        <f t="shared" si="10"/>
        <v>0</v>
      </c>
      <c r="EC26" s="2"/>
      <c r="ED26" s="338">
        <v>46043</v>
      </c>
      <c r="EE26" s="26"/>
      <c r="EF26" s="36"/>
      <c r="EG26" s="204"/>
      <c r="EH26" s="215"/>
      <c r="EI26" s="28"/>
      <c r="EJ26" s="28"/>
      <c r="EK26" s="226">
        <f t="shared" si="11"/>
        <v>0</v>
      </c>
      <c r="EL26" s="2"/>
      <c r="EM26" s="338">
        <v>46043</v>
      </c>
      <c r="EN26" s="26"/>
      <c r="EO26" s="28"/>
      <c r="EP26" s="204"/>
      <c r="EQ26" s="88">
        <v>71.760687999999988</v>
      </c>
      <c r="ER26" s="28"/>
      <c r="ES26" s="28"/>
      <c r="ET26" s="226">
        <f t="shared" si="12"/>
        <v>71.760687999999988</v>
      </c>
    </row>
    <row r="27" spans="2:150" ht="15.75" x14ac:dyDescent="0.25">
      <c r="B27" s="338">
        <v>46044</v>
      </c>
      <c r="C27" s="26"/>
      <c r="D27" s="27"/>
      <c r="E27" s="208"/>
      <c r="F27" s="204"/>
      <c r="G27" s="88"/>
      <c r="H27" s="329"/>
      <c r="I27" s="28"/>
      <c r="J27" s="226">
        <f t="shared" si="0"/>
        <v>0</v>
      </c>
      <c r="L27" s="338">
        <v>46044</v>
      </c>
      <c r="M27" s="26"/>
      <c r="N27" s="26"/>
      <c r="O27" s="29"/>
      <c r="P27" s="204"/>
      <c r="Q27" s="88"/>
      <c r="R27" s="28"/>
      <c r="S27" s="28"/>
      <c r="T27" s="226">
        <f t="shared" si="1"/>
        <v>0</v>
      </c>
      <c r="V27" s="338">
        <v>46044</v>
      </c>
      <c r="W27" s="26"/>
      <c r="X27" s="26"/>
      <c r="Y27" s="30"/>
      <c r="Z27" s="204"/>
      <c r="AA27" s="215"/>
      <c r="AB27" s="329"/>
      <c r="AC27" s="28"/>
      <c r="AD27" s="226">
        <f t="shared" si="2"/>
        <v>0</v>
      </c>
      <c r="AF27" s="338">
        <v>46044</v>
      </c>
      <c r="AG27" s="26"/>
      <c r="AH27" s="27"/>
      <c r="AI27" s="31"/>
      <c r="AJ27" s="204"/>
      <c r="AK27" s="88"/>
      <c r="AL27" s="328"/>
      <c r="AM27" s="28"/>
      <c r="AN27" s="226">
        <f t="shared" si="3"/>
        <v>0</v>
      </c>
      <c r="AP27" s="338">
        <v>46044</v>
      </c>
      <c r="AQ27" s="26"/>
      <c r="AR27" s="26"/>
      <c r="AS27" s="26"/>
      <c r="AT27" s="32"/>
      <c r="AU27" s="204"/>
      <c r="AV27" s="88"/>
      <c r="AW27" s="328"/>
      <c r="AX27" s="28"/>
      <c r="AY27" s="226">
        <f t="shared" si="4"/>
        <v>0</v>
      </c>
      <c r="AZ27" s="2"/>
      <c r="BA27" s="338">
        <v>46044</v>
      </c>
      <c r="BB27" s="27"/>
      <c r="BC27" s="27"/>
      <c r="BD27" s="33"/>
      <c r="BE27" s="32"/>
      <c r="BF27" s="204"/>
      <c r="BG27" s="215"/>
      <c r="BH27" s="328"/>
      <c r="BI27" s="335"/>
      <c r="BJ27" s="226">
        <f t="shared" si="5"/>
        <v>0</v>
      </c>
      <c r="BK27" s="2"/>
      <c r="BL27" s="338">
        <v>46044</v>
      </c>
      <c r="BM27" s="27"/>
      <c r="BN27" s="27"/>
      <c r="BO27" s="29"/>
      <c r="BP27" s="33"/>
      <c r="BQ27" s="204"/>
      <c r="BR27" s="88"/>
      <c r="BS27" s="328"/>
      <c r="BT27" s="28"/>
      <c r="BU27" s="226">
        <f t="shared" si="13"/>
        <v>0</v>
      </c>
      <c r="BV27" s="2"/>
      <c r="BW27" s="338">
        <v>46044</v>
      </c>
      <c r="BX27" s="26"/>
      <c r="BY27" s="27"/>
      <c r="BZ27" s="34"/>
      <c r="CA27" s="204"/>
      <c r="CB27" s="88"/>
      <c r="CC27" s="328"/>
      <c r="CD27" s="335"/>
      <c r="CE27" s="226">
        <f t="shared" si="6"/>
        <v>0</v>
      </c>
      <c r="CF27" s="2"/>
      <c r="CG27" s="338">
        <v>46044</v>
      </c>
      <c r="CH27" s="26"/>
      <c r="CI27" s="27"/>
      <c r="CJ27" s="31"/>
      <c r="CK27" s="204"/>
      <c r="CL27" s="215"/>
      <c r="CM27" s="329">
        <v>22.739049000000023</v>
      </c>
      <c r="CN27" s="28"/>
      <c r="CO27" s="226">
        <f t="shared" si="7"/>
        <v>22.739049000000023</v>
      </c>
      <c r="CP27" s="2"/>
      <c r="CQ27" s="338">
        <v>46044</v>
      </c>
      <c r="CR27" s="26"/>
      <c r="CS27" s="27"/>
      <c r="CT27" s="2"/>
      <c r="CU27" s="29"/>
      <c r="CV27" s="204"/>
      <c r="CW27" s="88"/>
      <c r="CX27" s="329"/>
      <c r="CY27" s="335"/>
      <c r="CZ27" s="226">
        <f t="shared" si="14"/>
        <v>0</v>
      </c>
      <c r="DA27" s="2"/>
      <c r="DB27" s="338">
        <v>46044</v>
      </c>
      <c r="DC27" s="26"/>
      <c r="DD27" s="27"/>
      <c r="DE27" s="29"/>
      <c r="DF27" s="204"/>
      <c r="DG27" s="88"/>
      <c r="DH27" s="328"/>
      <c r="DI27" s="335"/>
      <c r="DJ27" s="226">
        <f t="shared" si="8"/>
        <v>0</v>
      </c>
      <c r="DK27" s="2"/>
      <c r="DL27" s="338">
        <v>46044</v>
      </c>
      <c r="DM27" s="27"/>
      <c r="DN27" s="28"/>
      <c r="DO27" s="204"/>
      <c r="DP27" s="88"/>
      <c r="DQ27" s="28"/>
      <c r="DR27" s="28"/>
      <c r="DS27" s="226">
        <f t="shared" si="9"/>
        <v>0</v>
      </c>
      <c r="DT27" s="2"/>
      <c r="DU27" s="338">
        <v>46044</v>
      </c>
      <c r="DV27" s="27"/>
      <c r="DW27" s="35"/>
      <c r="DX27" s="204"/>
      <c r="DY27" s="215"/>
      <c r="DZ27" s="28"/>
      <c r="EA27" s="28"/>
      <c r="EB27" s="226">
        <f t="shared" si="10"/>
        <v>0</v>
      </c>
      <c r="EC27" s="2"/>
      <c r="ED27" s="338">
        <v>46044</v>
      </c>
      <c r="EE27" s="26"/>
      <c r="EF27" s="36"/>
      <c r="EG27" s="204"/>
      <c r="EH27" s="215"/>
      <c r="EI27" s="28"/>
      <c r="EJ27" s="28"/>
      <c r="EK27" s="226">
        <f t="shared" si="11"/>
        <v>0</v>
      </c>
      <c r="EL27" s="2"/>
      <c r="EM27" s="338">
        <v>46044</v>
      </c>
      <c r="EN27" s="26"/>
      <c r="EO27" s="28"/>
      <c r="EP27" s="204"/>
      <c r="EQ27" s="88">
        <v>108.93112799999997</v>
      </c>
      <c r="ER27" s="28"/>
      <c r="ES27" s="28"/>
      <c r="ET27" s="226">
        <f t="shared" si="12"/>
        <v>108.93112799999997</v>
      </c>
    </row>
    <row r="28" spans="2:150" ht="15.75" x14ac:dyDescent="0.25">
      <c r="B28" s="338">
        <v>46045</v>
      </c>
      <c r="C28" s="26"/>
      <c r="D28" s="26"/>
      <c r="E28" s="208"/>
      <c r="F28" s="204"/>
      <c r="G28" s="88"/>
      <c r="H28" s="329"/>
      <c r="I28" s="28"/>
      <c r="J28" s="226">
        <f t="shared" si="0"/>
        <v>0</v>
      </c>
      <c r="L28" s="338">
        <v>46045</v>
      </c>
      <c r="M28" s="26"/>
      <c r="N28" s="26"/>
      <c r="O28" s="29"/>
      <c r="P28" s="204"/>
      <c r="Q28" s="88"/>
      <c r="R28" s="28"/>
      <c r="S28" s="28"/>
      <c r="T28" s="226">
        <f t="shared" si="1"/>
        <v>0</v>
      </c>
      <c r="V28" s="338">
        <v>46045</v>
      </c>
      <c r="W28" s="26"/>
      <c r="X28" s="26"/>
      <c r="Y28" s="30"/>
      <c r="Z28" s="204"/>
      <c r="AA28" s="215"/>
      <c r="AB28" s="329"/>
      <c r="AC28" s="28"/>
      <c r="AD28" s="226">
        <f t="shared" si="2"/>
        <v>0</v>
      </c>
      <c r="AF28" s="338">
        <v>46045</v>
      </c>
      <c r="AG28" s="26"/>
      <c r="AH28" s="27"/>
      <c r="AI28" s="31"/>
      <c r="AJ28" s="204"/>
      <c r="AK28" s="88"/>
      <c r="AL28" s="328"/>
      <c r="AM28" s="28"/>
      <c r="AN28" s="226">
        <f t="shared" si="3"/>
        <v>0</v>
      </c>
      <c r="AP28" s="338">
        <v>46045</v>
      </c>
      <c r="AQ28" s="26"/>
      <c r="AR28" s="27"/>
      <c r="AS28" s="26"/>
      <c r="AT28" s="32"/>
      <c r="AU28" s="204"/>
      <c r="AV28" s="88"/>
      <c r="AW28" s="328"/>
      <c r="AX28" s="28"/>
      <c r="AY28" s="226">
        <f t="shared" si="4"/>
        <v>0</v>
      </c>
      <c r="AZ28" s="2"/>
      <c r="BA28" s="338">
        <v>46045</v>
      </c>
      <c r="BB28" s="27"/>
      <c r="BC28" s="27"/>
      <c r="BD28" s="33"/>
      <c r="BE28" s="32"/>
      <c r="BF28" s="204"/>
      <c r="BG28" s="215"/>
      <c r="BH28" s="328"/>
      <c r="BI28" s="335"/>
      <c r="BJ28" s="226">
        <f t="shared" si="5"/>
        <v>0</v>
      </c>
      <c r="BK28" s="2"/>
      <c r="BL28" s="338">
        <v>46045</v>
      </c>
      <c r="BM28" s="27"/>
      <c r="BN28" s="27"/>
      <c r="BO28" s="32"/>
      <c r="BP28" s="33"/>
      <c r="BQ28" s="204"/>
      <c r="BR28" s="88"/>
      <c r="BS28" s="328"/>
      <c r="BT28" s="28"/>
      <c r="BU28" s="226">
        <f t="shared" si="13"/>
        <v>0</v>
      </c>
      <c r="BV28" s="2"/>
      <c r="BW28" s="338">
        <v>46045</v>
      </c>
      <c r="BX28" s="26"/>
      <c r="BY28" s="26"/>
      <c r="BZ28" s="34"/>
      <c r="CA28" s="204"/>
      <c r="CB28" s="88"/>
      <c r="CC28" s="328"/>
      <c r="CD28" s="335"/>
      <c r="CE28" s="226">
        <f t="shared" si="6"/>
        <v>0</v>
      </c>
      <c r="CF28" s="2"/>
      <c r="CG28" s="338">
        <v>46045</v>
      </c>
      <c r="CH28" s="26"/>
      <c r="CI28" s="27"/>
      <c r="CJ28" s="31"/>
      <c r="CK28" s="204"/>
      <c r="CL28" s="215"/>
      <c r="CM28" s="329">
        <v>22.770756000000034</v>
      </c>
      <c r="CN28" s="28"/>
      <c r="CO28" s="226">
        <f t="shared" si="7"/>
        <v>22.770756000000034</v>
      </c>
      <c r="CP28" s="2"/>
      <c r="CQ28" s="338">
        <v>46045</v>
      </c>
      <c r="CR28" s="27"/>
      <c r="CS28" s="27"/>
      <c r="CT28" s="2"/>
      <c r="CU28" s="32"/>
      <c r="CV28" s="204"/>
      <c r="CW28" s="88"/>
      <c r="CX28" s="329"/>
      <c r="CY28" s="335"/>
      <c r="CZ28" s="226">
        <f t="shared" si="14"/>
        <v>0</v>
      </c>
      <c r="DA28" s="2"/>
      <c r="DB28" s="338">
        <v>46045</v>
      </c>
      <c r="DC28" s="26"/>
      <c r="DD28" s="27"/>
      <c r="DE28" s="29"/>
      <c r="DF28" s="204"/>
      <c r="DG28" s="88"/>
      <c r="DH28" s="328"/>
      <c r="DI28" s="335"/>
      <c r="DJ28" s="226">
        <f t="shared" si="8"/>
        <v>0</v>
      </c>
      <c r="DK28" s="2"/>
      <c r="DL28" s="338">
        <v>46045</v>
      </c>
      <c r="DM28" s="27"/>
      <c r="DN28" s="28"/>
      <c r="DO28" s="204"/>
      <c r="DP28" s="88"/>
      <c r="DQ28" s="28"/>
      <c r="DR28" s="28"/>
      <c r="DS28" s="226">
        <f t="shared" si="9"/>
        <v>0</v>
      </c>
      <c r="DT28" s="2"/>
      <c r="DU28" s="338">
        <v>46045</v>
      </c>
      <c r="DV28" s="27"/>
      <c r="DW28" s="35"/>
      <c r="DX28" s="204"/>
      <c r="DY28" s="215"/>
      <c r="DZ28" s="28"/>
      <c r="EA28" s="28"/>
      <c r="EB28" s="226">
        <f t="shared" si="10"/>
        <v>0</v>
      </c>
      <c r="EC28" s="2"/>
      <c r="ED28" s="338">
        <v>46045</v>
      </c>
      <c r="EE28" s="26"/>
      <c r="EF28" s="36"/>
      <c r="EG28" s="204"/>
      <c r="EH28" s="215"/>
      <c r="EI28" s="28"/>
      <c r="EJ28" s="28"/>
      <c r="EK28" s="226">
        <f t="shared" si="11"/>
        <v>0</v>
      </c>
      <c r="EL28" s="2"/>
      <c r="EM28" s="338">
        <v>46045</v>
      </c>
      <c r="EN28" s="26"/>
      <c r="EO28" s="28"/>
      <c r="EP28" s="204"/>
      <c r="EQ28" s="88">
        <v>5.8433079999999933</v>
      </c>
      <c r="ER28" s="28"/>
      <c r="ES28" s="28"/>
      <c r="ET28" s="226">
        <f t="shared" si="12"/>
        <v>5.8433079999999933</v>
      </c>
    </row>
    <row r="29" spans="2:150" ht="15.75" x14ac:dyDescent="0.25">
      <c r="B29" s="338">
        <v>46046</v>
      </c>
      <c r="C29" s="26"/>
      <c r="D29" s="27"/>
      <c r="E29" s="208"/>
      <c r="F29" s="204"/>
      <c r="G29" s="88"/>
      <c r="H29" s="329"/>
      <c r="I29" s="28"/>
      <c r="J29" s="226">
        <f t="shared" si="0"/>
        <v>0</v>
      </c>
      <c r="L29" s="338">
        <v>46046</v>
      </c>
      <c r="M29" s="26"/>
      <c r="N29" s="26"/>
      <c r="O29" s="29"/>
      <c r="P29" s="204"/>
      <c r="Q29" s="88"/>
      <c r="R29" s="28"/>
      <c r="S29" s="28"/>
      <c r="T29" s="226">
        <f t="shared" si="1"/>
        <v>0</v>
      </c>
      <c r="V29" s="338">
        <v>46046</v>
      </c>
      <c r="W29" s="26"/>
      <c r="X29" s="26"/>
      <c r="Y29" s="30"/>
      <c r="Z29" s="204"/>
      <c r="AA29" s="215"/>
      <c r="AB29" s="329"/>
      <c r="AC29" s="28"/>
      <c r="AD29" s="226">
        <f t="shared" si="2"/>
        <v>0</v>
      </c>
      <c r="AF29" s="338">
        <v>46046</v>
      </c>
      <c r="AG29" s="26"/>
      <c r="AH29" s="27"/>
      <c r="AI29" s="36"/>
      <c r="AJ29" s="204"/>
      <c r="AK29" s="88"/>
      <c r="AL29" s="328"/>
      <c r="AM29" s="28"/>
      <c r="AN29" s="226">
        <f t="shared" si="3"/>
        <v>0</v>
      </c>
      <c r="AP29" s="338">
        <v>46046</v>
      </c>
      <c r="AQ29" s="26"/>
      <c r="AR29" s="26"/>
      <c r="AS29" s="26"/>
      <c r="AT29" s="32"/>
      <c r="AU29" s="204"/>
      <c r="AV29" s="88"/>
      <c r="AW29" s="328"/>
      <c r="AX29" s="28"/>
      <c r="AY29" s="226">
        <f t="shared" si="4"/>
        <v>0</v>
      </c>
      <c r="AZ29" s="2"/>
      <c r="BA29" s="338">
        <v>46046</v>
      </c>
      <c r="BB29" s="26"/>
      <c r="BC29" s="27"/>
      <c r="BD29" s="33"/>
      <c r="BE29" s="32"/>
      <c r="BF29" s="204"/>
      <c r="BG29" s="215"/>
      <c r="BH29" s="328"/>
      <c r="BI29" s="335"/>
      <c r="BJ29" s="226">
        <f t="shared" si="5"/>
        <v>0</v>
      </c>
      <c r="BK29" s="2"/>
      <c r="BL29" s="338">
        <v>46046</v>
      </c>
      <c r="BM29" s="27"/>
      <c r="BN29" s="27"/>
      <c r="BO29" s="32"/>
      <c r="BP29" s="33"/>
      <c r="BQ29" s="204"/>
      <c r="BR29" s="88"/>
      <c r="BS29" s="328"/>
      <c r="BT29" s="28"/>
      <c r="BU29" s="226">
        <f t="shared" si="13"/>
        <v>0</v>
      </c>
      <c r="BV29" s="2"/>
      <c r="BW29" s="338">
        <v>46046</v>
      </c>
      <c r="BX29" s="26"/>
      <c r="BY29" s="27"/>
      <c r="BZ29" s="37"/>
      <c r="CA29" s="204"/>
      <c r="CB29" s="88"/>
      <c r="CC29" s="328"/>
      <c r="CD29" s="335"/>
      <c r="CE29" s="226">
        <f t="shared" si="6"/>
        <v>0</v>
      </c>
      <c r="CF29" s="2"/>
      <c r="CG29" s="338">
        <v>46046</v>
      </c>
      <c r="CH29" s="26"/>
      <c r="CI29" s="27"/>
      <c r="CJ29" s="31"/>
      <c r="CK29" s="204"/>
      <c r="CL29" s="215"/>
      <c r="CM29" s="329">
        <v>9.8400990000000093</v>
      </c>
      <c r="CN29" s="28"/>
      <c r="CO29" s="226">
        <f t="shared" si="7"/>
        <v>9.8400990000000093</v>
      </c>
      <c r="CP29" s="2"/>
      <c r="CQ29" s="338">
        <v>46046</v>
      </c>
      <c r="CR29" s="26"/>
      <c r="CS29" s="27"/>
      <c r="CT29" s="2"/>
      <c r="CU29" s="32"/>
      <c r="CV29" s="204"/>
      <c r="CW29" s="88"/>
      <c r="CX29" s="329"/>
      <c r="CY29" s="335"/>
      <c r="CZ29" s="226">
        <f t="shared" si="14"/>
        <v>0</v>
      </c>
      <c r="DA29" s="2"/>
      <c r="DB29" s="338">
        <v>46046</v>
      </c>
      <c r="DC29" s="26"/>
      <c r="DD29" s="27"/>
      <c r="DE29" s="32"/>
      <c r="DF29" s="204"/>
      <c r="DG29" s="88"/>
      <c r="DH29" s="328"/>
      <c r="DI29" s="335"/>
      <c r="DJ29" s="226">
        <f t="shared" si="8"/>
        <v>0</v>
      </c>
      <c r="DK29" s="2"/>
      <c r="DL29" s="338">
        <v>46046</v>
      </c>
      <c r="DM29" s="27"/>
      <c r="DN29" s="28"/>
      <c r="DO29" s="204"/>
      <c r="DP29" s="88"/>
      <c r="DQ29" s="28"/>
      <c r="DR29" s="28"/>
      <c r="DS29" s="226">
        <f t="shared" si="9"/>
        <v>0</v>
      </c>
      <c r="DT29" s="2"/>
      <c r="DU29" s="338">
        <v>46046</v>
      </c>
      <c r="DV29" s="27"/>
      <c r="DW29" s="35"/>
      <c r="DX29" s="204"/>
      <c r="DY29" s="215"/>
      <c r="DZ29" s="28"/>
      <c r="EA29" s="28"/>
      <c r="EB29" s="226">
        <f t="shared" si="10"/>
        <v>0</v>
      </c>
      <c r="EC29" s="2"/>
      <c r="ED29" s="338">
        <v>46046</v>
      </c>
      <c r="EE29" s="26"/>
      <c r="EF29" s="36"/>
      <c r="EG29" s="204"/>
      <c r="EH29" s="215"/>
      <c r="EI29" s="28"/>
      <c r="EJ29" s="28"/>
      <c r="EK29" s="226">
        <f t="shared" si="11"/>
        <v>0</v>
      </c>
      <c r="EL29" s="2"/>
      <c r="EM29" s="338">
        <v>46046</v>
      </c>
      <c r="EN29" s="26"/>
      <c r="EO29" s="28"/>
      <c r="EP29" s="204"/>
      <c r="EQ29" s="88">
        <v>21.128061999999979</v>
      </c>
      <c r="ER29" s="28"/>
      <c r="ES29" s="28"/>
      <c r="ET29" s="226">
        <f t="shared" si="12"/>
        <v>21.128061999999979</v>
      </c>
    </row>
    <row r="30" spans="2:150" ht="15.75" x14ac:dyDescent="0.25">
      <c r="B30" s="338">
        <v>46047</v>
      </c>
      <c r="C30" s="26"/>
      <c r="D30" s="26"/>
      <c r="E30" s="208"/>
      <c r="F30" s="204"/>
      <c r="G30" s="88"/>
      <c r="H30" s="329"/>
      <c r="I30" s="28"/>
      <c r="J30" s="226">
        <f t="shared" si="0"/>
        <v>0</v>
      </c>
      <c r="L30" s="338">
        <v>46047</v>
      </c>
      <c r="M30" s="26"/>
      <c r="N30" s="26"/>
      <c r="O30" s="29"/>
      <c r="P30" s="204"/>
      <c r="Q30" s="88"/>
      <c r="R30" s="28"/>
      <c r="S30" s="28"/>
      <c r="T30" s="226">
        <f t="shared" si="1"/>
        <v>0</v>
      </c>
      <c r="V30" s="338">
        <v>46047</v>
      </c>
      <c r="W30" s="26"/>
      <c r="X30" s="26"/>
      <c r="Y30" s="30"/>
      <c r="Z30" s="204"/>
      <c r="AA30" s="215"/>
      <c r="AB30" s="329"/>
      <c r="AC30" s="28"/>
      <c r="AD30" s="226">
        <f t="shared" si="2"/>
        <v>0</v>
      </c>
      <c r="AF30" s="338">
        <v>46047</v>
      </c>
      <c r="AG30" s="26"/>
      <c r="AH30" s="27"/>
      <c r="AI30" s="31"/>
      <c r="AJ30" s="204"/>
      <c r="AK30" s="88"/>
      <c r="AL30" s="328"/>
      <c r="AM30" s="28"/>
      <c r="AN30" s="226">
        <f t="shared" si="3"/>
        <v>0</v>
      </c>
      <c r="AP30" s="338">
        <v>46047</v>
      </c>
      <c r="AQ30" s="26"/>
      <c r="AR30" s="26"/>
      <c r="AS30" s="26"/>
      <c r="AT30" s="43"/>
      <c r="AU30" s="204"/>
      <c r="AV30" s="88"/>
      <c r="AW30" s="328"/>
      <c r="AX30" s="28"/>
      <c r="AY30" s="226">
        <f t="shared" si="4"/>
        <v>0</v>
      </c>
      <c r="AZ30" s="2"/>
      <c r="BA30" s="338">
        <v>46047</v>
      </c>
      <c r="BB30" s="26"/>
      <c r="BC30" s="27"/>
      <c r="BD30" s="33"/>
      <c r="BE30" s="32"/>
      <c r="BF30" s="204"/>
      <c r="BG30" s="215"/>
      <c r="BH30" s="328"/>
      <c r="BI30" s="335"/>
      <c r="BJ30" s="226">
        <f t="shared" si="5"/>
        <v>0</v>
      </c>
      <c r="BK30" s="2"/>
      <c r="BL30" s="338">
        <v>46047</v>
      </c>
      <c r="BM30" s="27"/>
      <c r="BN30" s="27"/>
      <c r="BO30" s="29"/>
      <c r="BP30" s="33"/>
      <c r="BQ30" s="204"/>
      <c r="BR30" s="88"/>
      <c r="BS30" s="328"/>
      <c r="BT30" s="28"/>
      <c r="BU30" s="226">
        <f t="shared" si="13"/>
        <v>0</v>
      </c>
      <c r="BV30" s="2"/>
      <c r="BW30" s="338">
        <v>46047</v>
      </c>
      <c r="BX30" s="26"/>
      <c r="BY30" s="27"/>
      <c r="BZ30" s="34"/>
      <c r="CA30" s="204"/>
      <c r="CB30" s="88"/>
      <c r="CC30" s="328"/>
      <c r="CD30" s="335"/>
      <c r="CE30" s="226">
        <f t="shared" si="6"/>
        <v>0</v>
      </c>
      <c r="CF30" s="2"/>
      <c r="CG30" s="338">
        <v>46047</v>
      </c>
      <c r="CH30" s="26"/>
      <c r="CI30" s="27"/>
      <c r="CJ30" s="31"/>
      <c r="CK30" s="204"/>
      <c r="CL30" s="215"/>
      <c r="CM30" s="329">
        <v>10.571100000000001</v>
      </c>
      <c r="CN30" s="28"/>
      <c r="CO30" s="226">
        <f t="shared" si="7"/>
        <v>10.571100000000001</v>
      </c>
      <c r="CP30" s="2"/>
      <c r="CQ30" s="338">
        <v>46047</v>
      </c>
      <c r="CR30" s="26"/>
      <c r="CS30" s="27"/>
      <c r="CT30" s="2"/>
      <c r="CU30" s="32"/>
      <c r="CV30" s="204"/>
      <c r="CW30" s="88"/>
      <c r="CX30" s="329"/>
      <c r="CY30" s="335"/>
      <c r="CZ30" s="226">
        <f t="shared" si="14"/>
        <v>0</v>
      </c>
      <c r="DA30" s="2"/>
      <c r="DB30" s="338">
        <v>46047</v>
      </c>
      <c r="DC30" s="26"/>
      <c r="DD30" s="27"/>
      <c r="DE30" s="29"/>
      <c r="DF30" s="204"/>
      <c r="DG30" s="88"/>
      <c r="DH30" s="328"/>
      <c r="DI30" s="335"/>
      <c r="DJ30" s="226">
        <f t="shared" si="8"/>
        <v>0</v>
      </c>
      <c r="DK30" s="2"/>
      <c r="DL30" s="338">
        <v>46047</v>
      </c>
      <c r="DM30" s="27"/>
      <c r="DN30" s="28"/>
      <c r="DO30" s="204"/>
      <c r="DP30" s="88"/>
      <c r="DQ30" s="28"/>
      <c r="DR30" s="28"/>
      <c r="DS30" s="226">
        <f t="shared" si="9"/>
        <v>0</v>
      </c>
      <c r="DT30" s="2"/>
      <c r="DU30" s="338">
        <v>46047</v>
      </c>
      <c r="DV30" s="27"/>
      <c r="DW30" s="35"/>
      <c r="DX30" s="204"/>
      <c r="DY30" s="215"/>
      <c r="DZ30" s="28"/>
      <c r="EA30" s="28"/>
      <c r="EB30" s="226">
        <f t="shared" si="10"/>
        <v>0</v>
      </c>
      <c r="EC30" s="2"/>
      <c r="ED30" s="338">
        <v>46047</v>
      </c>
      <c r="EE30" s="26"/>
      <c r="EF30" s="36"/>
      <c r="EG30" s="204"/>
      <c r="EH30" s="215"/>
      <c r="EI30" s="28"/>
      <c r="EJ30" s="28"/>
      <c r="EK30" s="226">
        <f t="shared" si="11"/>
        <v>0</v>
      </c>
      <c r="EL30" s="2"/>
      <c r="EM30" s="338">
        <v>46047</v>
      </c>
      <c r="EN30" s="26"/>
      <c r="EO30" s="28"/>
      <c r="EP30" s="204"/>
      <c r="EQ30" s="88">
        <v>8.2946059999999768</v>
      </c>
      <c r="ER30" s="28"/>
      <c r="ES30" s="28"/>
      <c r="ET30" s="226">
        <f t="shared" si="12"/>
        <v>8.2946059999999768</v>
      </c>
    </row>
    <row r="31" spans="2:150" ht="15.75" x14ac:dyDescent="0.25">
      <c r="B31" s="338">
        <v>46048</v>
      </c>
      <c r="C31" s="26"/>
      <c r="D31" s="26"/>
      <c r="E31" s="208"/>
      <c r="F31" s="204"/>
      <c r="G31" s="88"/>
      <c r="H31" s="329"/>
      <c r="I31" s="28"/>
      <c r="J31" s="226">
        <f t="shared" si="0"/>
        <v>0</v>
      </c>
      <c r="L31" s="338">
        <v>46048</v>
      </c>
      <c r="M31" s="26"/>
      <c r="N31" s="26"/>
      <c r="O31" s="29"/>
      <c r="P31" s="204"/>
      <c r="Q31" s="88"/>
      <c r="R31" s="28"/>
      <c r="S31" s="28"/>
      <c r="T31" s="226">
        <f t="shared" si="1"/>
        <v>0</v>
      </c>
      <c r="V31" s="338">
        <v>46048</v>
      </c>
      <c r="W31" s="26"/>
      <c r="X31" s="26"/>
      <c r="Y31" s="30"/>
      <c r="Z31" s="204"/>
      <c r="AA31" s="215"/>
      <c r="AB31" s="329"/>
      <c r="AC31" s="28"/>
      <c r="AD31" s="226">
        <f t="shared" si="2"/>
        <v>0</v>
      </c>
      <c r="AF31" s="338">
        <v>46048</v>
      </c>
      <c r="AG31" s="26"/>
      <c r="AH31" s="26"/>
      <c r="AI31" s="31"/>
      <c r="AJ31" s="204"/>
      <c r="AK31" s="88"/>
      <c r="AL31" s="328"/>
      <c r="AM31" s="28"/>
      <c r="AN31" s="226">
        <f t="shared" si="3"/>
        <v>0</v>
      </c>
      <c r="AP31" s="338">
        <v>46048</v>
      </c>
      <c r="AQ31" s="26"/>
      <c r="AR31" s="26"/>
      <c r="AS31" s="26"/>
      <c r="AT31" s="32"/>
      <c r="AU31" s="204"/>
      <c r="AV31" s="88"/>
      <c r="AW31" s="328"/>
      <c r="AX31" s="28"/>
      <c r="AY31" s="226">
        <f t="shared" si="4"/>
        <v>0</v>
      </c>
      <c r="AZ31" s="2"/>
      <c r="BA31" s="338">
        <v>46048</v>
      </c>
      <c r="BB31" s="27"/>
      <c r="BC31" s="27"/>
      <c r="BD31" s="33"/>
      <c r="BE31" s="32"/>
      <c r="BF31" s="204"/>
      <c r="BG31" s="215"/>
      <c r="BH31" s="328"/>
      <c r="BI31" s="335"/>
      <c r="BJ31" s="226">
        <f t="shared" si="5"/>
        <v>0</v>
      </c>
      <c r="BK31" s="2"/>
      <c r="BL31" s="338">
        <v>46048</v>
      </c>
      <c r="BM31" s="27"/>
      <c r="BN31" s="27"/>
      <c r="BO31" s="29"/>
      <c r="BP31" s="33"/>
      <c r="BQ31" s="204"/>
      <c r="BR31" s="88"/>
      <c r="BS31" s="328"/>
      <c r="BT31" s="28"/>
      <c r="BU31" s="226">
        <f t="shared" si="13"/>
        <v>0</v>
      </c>
      <c r="BV31" s="2"/>
      <c r="BW31" s="338">
        <v>46048</v>
      </c>
      <c r="BX31" s="26"/>
      <c r="BY31" s="27"/>
      <c r="BZ31" s="34"/>
      <c r="CA31" s="204"/>
      <c r="CB31" s="88"/>
      <c r="CC31" s="328"/>
      <c r="CD31" s="335"/>
      <c r="CE31" s="226">
        <f t="shared" si="6"/>
        <v>0</v>
      </c>
      <c r="CF31" s="2"/>
      <c r="CG31" s="338">
        <v>46048</v>
      </c>
      <c r="CH31" s="26"/>
      <c r="CI31" s="27"/>
      <c r="CJ31" s="31"/>
      <c r="CK31" s="204"/>
      <c r="CL31" s="215"/>
      <c r="CM31" s="329">
        <v>57.358908999999983</v>
      </c>
      <c r="CN31" s="28"/>
      <c r="CO31" s="226">
        <f t="shared" si="7"/>
        <v>57.358908999999983</v>
      </c>
      <c r="CP31" s="2"/>
      <c r="CQ31" s="338">
        <v>46048</v>
      </c>
      <c r="CR31" s="26"/>
      <c r="CS31" s="27"/>
      <c r="CT31" s="2"/>
      <c r="CU31" s="32"/>
      <c r="CV31" s="204"/>
      <c r="CW31" s="88"/>
      <c r="CX31" s="329"/>
      <c r="CY31" s="335"/>
      <c r="CZ31" s="226">
        <f t="shared" si="14"/>
        <v>0</v>
      </c>
      <c r="DA31" s="2"/>
      <c r="DB31" s="338">
        <v>46048</v>
      </c>
      <c r="DC31" s="26"/>
      <c r="DD31" s="27"/>
      <c r="DE31" s="29"/>
      <c r="DF31" s="204"/>
      <c r="DG31" s="88"/>
      <c r="DH31" s="328"/>
      <c r="DI31" s="335"/>
      <c r="DJ31" s="226">
        <f t="shared" si="8"/>
        <v>0</v>
      </c>
      <c r="DK31" s="2"/>
      <c r="DL31" s="338">
        <v>46048</v>
      </c>
      <c r="DM31" s="27"/>
      <c r="DN31" s="28"/>
      <c r="DO31" s="204"/>
      <c r="DP31" s="88"/>
      <c r="DQ31" s="28"/>
      <c r="DR31" s="28"/>
      <c r="DS31" s="226">
        <f t="shared" si="9"/>
        <v>0</v>
      </c>
      <c r="DT31" s="2"/>
      <c r="DU31" s="338">
        <v>46048</v>
      </c>
      <c r="DV31" s="27"/>
      <c r="DW31" s="35"/>
      <c r="DX31" s="204"/>
      <c r="DY31" s="215"/>
      <c r="DZ31" s="28"/>
      <c r="EA31" s="28"/>
      <c r="EB31" s="226">
        <f t="shared" si="10"/>
        <v>0</v>
      </c>
      <c r="EC31" s="2"/>
      <c r="ED31" s="338">
        <v>46048</v>
      </c>
      <c r="EE31" s="26"/>
      <c r="EF31" s="31"/>
      <c r="EG31" s="204"/>
      <c r="EH31" s="215"/>
      <c r="EI31" s="28"/>
      <c r="EJ31" s="28"/>
      <c r="EK31" s="226">
        <f t="shared" si="11"/>
        <v>0</v>
      </c>
      <c r="EL31" s="2"/>
      <c r="EM31" s="338">
        <v>46048</v>
      </c>
      <c r="EN31" s="26"/>
      <c r="EO31" s="28"/>
      <c r="EP31" s="204"/>
      <c r="EQ31" s="88">
        <v>13.73730900000003</v>
      </c>
      <c r="ER31" s="28"/>
      <c r="ES31" s="28"/>
      <c r="ET31" s="226">
        <f t="shared" si="12"/>
        <v>13.73730900000003</v>
      </c>
    </row>
    <row r="32" spans="2:150" ht="15.75" x14ac:dyDescent="0.25">
      <c r="B32" s="338">
        <v>46049</v>
      </c>
      <c r="C32" s="26"/>
      <c r="D32" s="26"/>
      <c r="E32" s="208"/>
      <c r="F32" s="204"/>
      <c r="G32" s="88"/>
      <c r="H32" s="329"/>
      <c r="I32" s="28"/>
      <c r="J32" s="226">
        <f t="shared" si="0"/>
        <v>0</v>
      </c>
      <c r="L32" s="338">
        <v>46049</v>
      </c>
      <c r="M32" s="26"/>
      <c r="N32" s="26"/>
      <c r="O32" s="29"/>
      <c r="P32" s="204"/>
      <c r="Q32" s="88"/>
      <c r="R32" s="28"/>
      <c r="S32" s="28"/>
      <c r="T32" s="226">
        <f t="shared" si="1"/>
        <v>0</v>
      </c>
      <c r="V32" s="338">
        <v>46049</v>
      </c>
      <c r="W32" s="26"/>
      <c r="X32" s="26"/>
      <c r="Y32" s="32"/>
      <c r="Z32" s="204"/>
      <c r="AA32" s="215"/>
      <c r="AB32" s="329"/>
      <c r="AC32" s="28"/>
      <c r="AD32" s="226">
        <f t="shared" si="2"/>
        <v>0</v>
      </c>
      <c r="AF32" s="338">
        <v>46049</v>
      </c>
      <c r="AG32" s="26"/>
      <c r="AH32" s="26"/>
      <c r="AI32" s="31"/>
      <c r="AJ32" s="204"/>
      <c r="AK32" s="88"/>
      <c r="AL32" s="328"/>
      <c r="AM32" s="28"/>
      <c r="AN32" s="226">
        <f t="shared" si="3"/>
        <v>0</v>
      </c>
      <c r="AP32" s="338">
        <v>46049</v>
      </c>
      <c r="AQ32" s="26"/>
      <c r="AR32" s="26"/>
      <c r="AS32" s="26"/>
      <c r="AT32" s="32"/>
      <c r="AU32" s="204"/>
      <c r="AV32" s="88"/>
      <c r="AW32" s="328"/>
      <c r="AX32" s="28"/>
      <c r="AY32" s="226">
        <f t="shared" si="4"/>
        <v>0</v>
      </c>
      <c r="AZ32" s="2"/>
      <c r="BA32" s="338">
        <v>46049</v>
      </c>
      <c r="BB32" s="27"/>
      <c r="BC32" s="27"/>
      <c r="BD32" s="33"/>
      <c r="BE32" s="29"/>
      <c r="BF32" s="204"/>
      <c r="BG32" s="215"/>
      <c r="BH32" s="328"/>
      <c r="BI32" s="335"/>
      <c r="BJ32" s="226">
        <f t="shared" si="5"/>
        <v>0</v>
      </c>
      <c r="BK32" s="2"/>
      <c r="BL32" s="338">
        <v>46049</v>
      </c>
      <c r="BM32" s="27"/>
      <c r="BN32" s="27"/>
      <c r="BO32" s="32"/>
      <c r="BP32" s="33"/>
      <c r="BQ32" s="204"/>
      <c r="BR32" s="88"/>
      <c r="BS32" s="328"/>
      <c r="BT32" s="28"/>
      <c r="BU32" s="226">
        <f t="shared" si="13"/>
        <v>0</v>
      </c>
      <c r="BV32" s="2"/>
      <c r="BW32" s="338">
        <v>46049</v>
      </c>
      <c r="BX32" s="26"/>
      <c r="BY32" s="26"/>
      <c r="BZ32" s="34"/>
      <c r="CA32" s="204"/>
      <c r="CB32" s="88"/>
      <c r="CC32" s="328"/>
      <c r="CD32" s="335"/>
      <c r="CE32" s="226">
        <f t="shared" si="6"/>
        <v>0</v>
      </c>
      <c r="CF32" s="2"/>
      <c r="CG32" s="338">
        <v>46049</v>
      </c>
      <c r="CH32" s="26"/>
      <c r="CI32" s="27"/>
      <c r="CJ32" s="31"/>
      <c r="CK32" s="204"/>
      <c r="CL32" s="215"/>
      <c r="CM32" s="329"/>
      <c r="CN32" s="28"/>
      <c r="CO32" s="226">
        <f t="shared" si="7"/>
        <v>0</v>
      </c>
      <c r="CP32" s="2"/>
      <c r="CQ32" s="338">
        <v>46049</v>
      </c>
      <c r="CR32" s="26"/>
      <c r="CS32" s="27"/>
      <c r="CT32" s="2"/>
      <c r="CU32" s="32"/>
      <c r="CV32" s="204"/>
      <c r="CW32" s="88"/>
      <c r="CX32" s="329"/>
      <c r="CY32" s="335"/>
      <c r="CZ32" s="226">
        <f t="shared" si="14"/>
        <v>0</v>
      </c>
      <c r="DA32" s="2"/>
      <c r="DB32" s="338">
        <v>46049</v>
      </c>
      <c r="DC32" s="26"/>
      <c r="DD32" s="27"/>
      <c r="DE32" s="32"/>
      <c r="DF32" s="204"/>
      <c r="DG32" s="88"/>
      <c r="DH32" s="328"/>
      <c r="DI32" s="335"/>
      <c r="DJ32" s="226">
        <f t="shared" si="8"/>
        <v>0</v>
      </c>
      <c r="DK32" s="2"/>
      <c r="DL32" s="338">
        <v>46049</v>
      </c>
      <c r="DM32" s="27"/>
      <c r="DN32" s="28"/>
      <c r="DO32" s="204"/>
      <c r="DP32" s="88"/>
      <c r="DQ32" s="28"/>
      <c r="DR32" s="28"/>
      <c r="DS32" s="226">
        <f t="shared" si="9"/>
        <v>0</v>
      </c>
      <c r="DT32" s="2"/>
      <c r="DU32" s="338">
        <v>46049</v>
      </c>
      <c r="DV32" s="27"/>
      <c r="DW32" s="35"/>
      <c r="DX32" s="204"/>
      <c r="DY32" s="215"/>
      <c r="DZ32" s="28"/>
      <c r="EA32" s="28"/>
      <c r="EB32" s="226">
        <f t="shared" si="10"/>
        <v>0</v>
      </c>
      <c r="EC32" s="2"/>
      <c r="ED32" s="338">
        <v>46049</v>
      </c>
      <c r="EE32" s="26"/>
      <c r="EF32" s="36"/>
      <c r="EG32" s="204"/>
      <c r="EH32" s="215"/>
      <c r="EI32" s="28"/>
      <c r="EJ32" s="28"/>
      <c r="EK32" s="226">
        <f t="shared" si="11"/>
        <v>0</v>
      </c>
      <c r="EL32" s="2"/>
      <c r="EM32" s="338">
        <v>46049</v>
      </c>
      <c r="EN32" s="26"/>
      <c r="EO32" s="28"/>
      <c r="EP32" s="204"/>
      <c r="EQ32" s="88">
        <v>8.4946280000000076</v>
      </c>
      <c r="ER32" s="28"/>
      <c r="ES32" s="28"/>
      <c r="ET32" s="226">
        <f t="shared" si="12"/>
        <v>8.4946280000000076</v>
      </c>
    </row>
    <row r="33" spans="2:150" ht="15.75" x14ac:dyDescent="0.25">
      <c r="B33" s="338">
        <v>46050</v>
      </c>
      <c r="C33" s="26"/>
      <c r="D33" s="27"/>
      <c r="E33" s="208"/>
      <c r="F33" s="204"/>
      <c r="G33" s="88"/>
      <c r="H33" s="329"/>
      <c r="I33" s="28"/>
      <c r="J33" s="226">
        <f t="shared" si="0"/>
        <v>0</v>
      </c>
      <c r="L33" s="338">
        <v>46050</v>
      </c>
      <c r="M33" s="26"/>
      <c r="N33" s="26"/>
      <c r="O33" s="29"/>
      <c r="P33" s="204"/>
      <c r="Q33" s="88"/>
      <c r="R33" s="28"/>
      <c r="S33" s="28"/>
      <c r="T33" s="226">
        <f t="shared" si="1"/>
        <v>0</v>
      </c>
      <c r="V33" s="338">
        <v>46050</v>
      </c>
      <c r="W33" s="26"/>
      <c r="X33" s="26"/>
      <c r="Y33" s="32"/>
      <c r="Z33" s="204"/>
      <c r="AA33" s="215"/>
      <c r="AB33" s="329"/>
      <c r="AC33" s="28"/>
      <c r="AD33" s="226">
        <f t="shared" si="2"/>
        <v>0</v>
      </c>
      <c r="AF33" s="338">
        <v>46050</v>
      </c>
      <c r="AG33" s="26"/>
      <c r="AH33" s="26"/>
      <c r="AI33" s="31"/>
      <c r="AJ33" s="204"/>
      <c r="AK33" s="88"/>
      <c r="AL33" s="328"/>
      <c r="AM33" s="28"/>
      <c r="AN33" s="226">
        <f t="shared" si="3"/>
        <v>0</v>
      </c>
      <c r="AP33" s="338">
        <v>46050</v>
      </c>
      <c r="AQ33" s="26"/>
      <c r="AR33" s="27"/>
      <c r="AS33" s="26"/>
      <c r="AT33" s="32"/>
      <c r="AU33" s="204"/>
      <c r="AV33" s="88"/>
      <c r="AW33" s="328"/>
      <c r="AX33" s="28"/>
      <c r="AY33" s="226">
        <f t="shared" si="4"/>
        <v>0</v>
      </c>
      <c r="AZ33" s="2"/>
      <c r="BA33" s="338">
        <v>46050</v>
      </c>
      <c r="BB33" s="26"/>
      <c r="BC33" s="27"/>
      <c r="BD33" s="33"/>
      <c r="BE33" s="32"/>
      <c r="BF33" s="204"/>
      <c r="BG33" s="215"/>
      <c r="BH33" s="328"/>
      <c r="BI33" s="335"/>
      <c r="BJ33" s="226">
        <f t="shared" si="5"/>
        <v>0</v>
      </c>
      <c r="BK33" s="2"/>
      <c r="BL33" s="338">
        <v>46050</v>
      </c>
      <c r="BM33" s="27"/>
      <c r="BN33" s="27"/>
      <c r="BO33" s="32"/>
      <c r="BP33" s="33"/>
      <c r="BQ33" s="204"/>
      <c r="BR33" s="88"/>
      <c r="BS33" s="328"/>
      <c r="BT33" s="28"/>
      <c r="BU33" s="226">
        <f t="shared" si="13"/>
        <v>0</v>
      </c>
      <c r="BV33" s="2"/>
      <c r="BW33" s="338">
        <v>46050</v>
      </c>
      <c r="BX33" s="26"/>
      <c r="BY33" s="27"/>
      <c r="BZ33" s="34"/>
      <c r="CA33" s="204"/>
      <c r="CB33" s="88"/>
      <c r="CC33" s="328"/>
      <c r="CD33" s="335"/>
      <c r="CE33" s="226">
        <f t="shared" si="6"/>
        <v>0</v>
      </c>
      <c r="CF33" s="2"/>
      <c r="CG33" s="338">
        <v>46050</v>
      </c>
      <c r="CH33" s="26"/>
      <c r="CI33" s="27"/>
      <c r="CJ33" s="31"/>
      <c r="CK33" s="204"/>
      <c r="CL33" s="215"/>
      <c r="CM33" s="329">
        <v>1.2501919999999984</v>
      </c>
      <c r="CN33" s="28"/>
      <c r="CO33" s="226">
        <f t="shared" si="7"/>
        <v>1.2501919999999984</v>
      </c>
      <c r="CP33" s="2"/>
      <c r="CQ33" s="338">
        <v>46050</v>
      </c>
      <c r="CR33" s="26"/>
      <c r="CS33" s="27"/>
      <c r="CT33" s="2"/>
      <c r="CU33" s="32"/>
      <c r="CV33" s="204"/>
      <c r="CW33" s="88"/>
      <c r="CX33" s="329"/>
      <c r="CY33" s="335"/>
      <c r="CZ33" s="226">
        <f t="shared" si="14"/>
        <v>0</v>
      </c>
      <c r="DA33" s="2"/>
      <c r="DB33" s="338">
        <v>46050</v>
      </c>
      <c r="DC33" s="27"/>
      <c r="DD33" s="27"/>
      <c r="DE33" s="32"/>
      <c r="DF33" s="204"/>
      <c r="DG33" s="88"/>
      <c r="DH33" s="328"/>
      <c r="DI33" s="335"/>
      <c r="DJ33" s="226">
        <f t="shared" si="8"/>
        <v>0</v>
      </c>
      <c r="DK33" s="2"/>
      <c r="DL33" s="338">
        <v>46050</v>
      </c>
      <c r="DM33" s="27"/>
      <c r="DN33" s="28"/>
      <c r="DO33" s="204"/>
      <c r="DP33" s="88"/>
      <c r="DQ33" s="28"/>
      <c r="DR33" s="28"/>
      <c r="DS33" s="226">
        <f t="shared" si="9"/>
        <v>0</v>
      </c>
      <c r="DT33" s="2"/>
      <c r="DU33" s="338">
        <v>46050</v>
      </c>
      <c r="DV33" s="27"/>
      <c r="DW33" s="35"/>
      <c r="DX33" s="204"/>
      <c r="DY33" s="215"/>
      <c r="DZ33" s="28"/>
      <c r="EA33" s="28"/>
      <c r="EB33" s="226">
        <f t="shared" si="10"/>
        <v>0</v>
      </c>
      <c r="EC33" s="2"/>
      <c r="ED33" s="338">
        <v>46050</v>
      </c>
      <c r="EE33" s="26"/>
      <c r="EF33" s="36"/>
      <c r="EG33" s="204"/>
      <c r="EH33" s="215"/>
      <c r="EI33" s="28"/>
      <c r="EJ33" s="28"/>
      <c r="EK33" s="226">
        <f t="shared" si="11"/>
        <v>0</v>
      </c>
      <c r="EL33" s="2"/>
      <c r="EM33" s="338">
        <v>46050</v>
      </c>
      <c r="EN33" s="26"/>
      <c r="EO33" s="28"/>
      <c r="EP33" s="204"/>
      <c r="EQ33" s="88">
        <v>22.516346999999996</v>
      </c>
      <c r="ER33" s="28"/>
      <c r="ES33" s="28"/>
      <c r="ET33" s="226">
        <f t="shared" si="12"/>
        <v>22.516346999999996</v>
      </c>
    </row>
    <row r="34" spans="2:150" ht="15.75" x14ac:dyDescent="0.25">
      <c r="B34" s="338">
        <v>46051</v>
      </c>
      <c r="C34" s="26"/>
      <c r="D34" s="27"/>
      <c r="E34" s="208"/>
      <c r="F34" s="204"/>
      <c r="G34" s="88"/>
      <c r="H34" s="329"/>
      <c r="I34" s="28"/>
      <c r="J34" s="226">
        <f t="shared" si="0"/>
        <v>0</v>
      </c>
      <c r="L34" s="338">
        <v>46051</v>
      </c>
      <c r="M34" s="26"/>
      <c r="N34" s="26"/>
      <c r="O34" s="29"/>
      <c r="P34" s="204"/>
      <c r="Q34" s="88"/>
      <c r="R34" s="28"/>
      <c r="S34" s="28"/>
      <c r="T34" s="226">
        <f t="shared" si="1"/>
        <v>0</v>
      </c>
      <c r="V34" s="338">
        <v>46051</v>
      </c>
      <c r="W34" s="26"/>
      <c r="X34" s="26"/>
      <c r="Y34" s="30"/>
      <c r="Z34" s="204"/>
      <c r="AA34" s="215"/>
      <c r="AB34" s="329"/>
      <c r="AC34" s="28"/>
      <c r="AD34" s="226">
        <f t="shared" si="2"/>
        <v>0</v>
      </c>
      <c r="AF34" s="338">
        <v>46051</v>
      </c>
      <c r="AG34" s="26"/>
      <c r="AH34" s="27"/>
      <c r="AI34" s="36"/>
      <c r="AJ34" s="204"/>
      <c r="AK34" s="88"/>
      <c r="AL34" s="328"/>
      <c r="AM34" s="28"/>
      <c r="AN34" s="226">
        <f t="shared" si="3"/>
        <v>0</v>
      </c>
      <c r="AP34" s="338">
        <v>46051</v>
      </c>
      <c r="AQ34" s="26"/>
      <c r="AR34" s="27"/>
      <c r="AS34" s="26"/>
      <c r="AT34" s="32"/>
      <c r="AU34" s="204"/>
      <c r="AV34" s="88"/>
      <c r="AW34" s="328"/>
      <c r="AX34" s="28"/>
      <c r="AY34" s="226">
        <f t="shared" si="4"/>
        <v>0</v>
      </c>
      <c r="AZ34" s="2"/>
      <c r="BA34" s="338">
        <v>46051</v>
      </c>
      <c r="BB34" s="27"/>
      <c r="BC34" s="27"/>
      <c r="BD34" s="33"/>
      <c r="BE34" s="32"/>
      <c r="BF34" s="204"/>
      <c r="BG34" s="215"/>
      <c r="BH34" s="328"/>
      <c r="BI34" s="335"/>
      <c r="BJ34" s="226">
        <f t="shared" si="5"/>
        <v>0</v>
      </c>
      <c r="BK34" s="2"/>
      <c r="BL34" s="338">
        <v>46051</v>
      </c>
      <c r="BM34" s="27"/>
      <c r="BN34" s="27"/>
      <c r="BO34" s="32"/>
      <c r="BP34" s="33"/>
      <c r="BQ34" s="204"/>
      <c r="BR34" s="88"/>
      <c r="BS34" s="328"/>
      <c r="BT34" s="28"/>
      <c r="BU34" s="226">
        <f t="shared" si="13"/>
        <v>0</v>
      </c>
      <c r="BV34" s="2"/>
      <c r="BW34" s="338">
        <v>46051</v>
      </c>
      <c r="BX34" s="26"/>
      <c r="BY34" s="27"/>
      <c r="BZ34" s="34"/>
      <c r="CA34" s="204"/>
      <c r="CB34" s="88"/>
      <c r="CC34" s="328"/>
      <c r="CD34" s="335"/>
      <c r="CE34" s="226">
        <f t="shared" si="6"/>
        <v>0</v>
      </c>
      <c r="CF34" s="2"/>
      <c r="CG34" s="338">
        <v>46051</v>
      </c>
      <c r="CH34" s="26"/>
      <c r="CI34" s="26"/>
      <c r="CJ34" s="31"/>
      <c r="CK34" s="204"/>
      <c r="CL34" s="215"/>
      <c r="CM34" s="329"/>
      <c r="CN34" s="28"/>
      <c r="CO34" s="226">
        <f t="shared" si="7"/>
        <v>0</v>
      </c>
      <c r="CP34" s="2"/>
      <c r="CQ34" s="338">
        <v>46051</v>
      </c>
      <c r="CR34" s="27"/>
      <c r="CS34" s="27"/>
      <c r="CT34" s="2"/>
      <c r="CU34" s="32"/>
      <c r="CV34" s="204"/>
      <c r="CW34" s="88"/>
      <c r="CX34" s="329"/>
      <c r="CY34" s="335"/>
      <c r="CZ34" s="226">
        <f t="shared" si="14"/>
        <v>0</v>
      </c>
      <c r="DA34" s="2"/>
      <c r="DB34" s="338">
        <v>46051</v>
      </c>
      <c r="DC34" s="27"/>
      <c r="DD34" s="27"/>
      <c r="DE34" s="29"/>
      <c r="DF34" s="204"/>
      <c r="DG34" s="88"/>
      <c r="DH34" s="328"/>
      <c r="DI34" s="335"/>
      <c r="DJ34" s="226">
        <f t="shared" si="8"/>
        <v>0</v>
      </c>
      <c r="DK34" s="2"/>
      <c r="DL34" s="338">
        <v>46051</v>
      </c>
      <c r="DM34" s="27"/>
      <c r="DN34" s="28"/>
      <c r="DO34" s="204"/>
      <c r="DP34" s="88"/>
      <c r="DQ34" s="28"/>
      <c r="DR34" s="28"/>
      <c r="DS34" s="226">
        <f t="shared" si="9"/>
        <v>0</v>
      </c>
      <c r="DT34" s="2"/>
      <c r="DU34" s="338">
        <v>46051</v>
      </c>
      <c r="DV34" s="27"/>
      <c r="DW34" s="35"/>
      <c r="DX34" s="204"/>
      <c r="DY34" s="215"/>
      <c r="DZ34" s="28"/>
      <c r="EA34" s="28"/>
      <c r="EB34" s="226">
        <f t="shared" si="10"/>
        <v>0</v>
      </c>
      <c r="EC34" s="2"/>
      <c r="ED34" s="338">
        <v>46051</v>
      </c>
      <c r="EE34" s="26"/>
      <c r="EF34" s="36"/>
      <c r="EG34" s="204"/>
      <c r="EH34" s="215"/>
      <c r="EI34" s="28"/>
      <c r="EJ34" s="28"/>
      <c r="EK34" s="226">
        <f t="shared" si="11"/>
        <v>0</v>
      </c>
      <c r="EL34" s="2"/>
      <c r="EM34" s="338">
        <v>46051</v>
      </c>
      <c r="EN34" s="26"/>
      <c r="EO34" s="28"/>
      <c r="EP34" s="204"/>
      <c r="EQ34" s="88">
        <v>6.0627439999999808</v>
      </c>
      <c r="ER34" s="28"/>
      <c r="ES34" s="28"/>
      <c r="ET34" s="226">
        <f t="shared" si="12"/>
        <v>6.0627439999999808</v>
      </c>
    </row>
    <row r="35" spans="2:150" ht="15.75" x14ac:dyDescent="0.25">
      <c r="B35" s="338">
        <v>46052</v>
      </c>
      <c r="C35" s="26"/>
      <c r="D35" s="26"/>
      <c r="E35" s="208"/>
      <c r="F35" s="204"/>
      <c r="G35" s="88"/>
      <c r="H35" s="329"/>
      <c r="I35" s="28"/>
      <c r="J35" s="226">
        <f t="shared" si="0"/>
        <v>0</v>
      </c>
      <c r="L35" s="338">
        <v>46052</v>
      </c>
      <c r="M35" s="26"/>
      <c r="N35" s="26"/>
      <c r="O35" s="29"/>
      <c r="P35" s="204"/>
      <c r="Q35" s="88"/>
      <c r="R35" s="28"/>
      <c r="S35" s="28"/>
      <c r="T35" s="226">
        <f t="shared" si="1"/>
        <v>0</v>
      </c>
      <c r="V35" s="338">
        <v>46052</v>
      </c>
      <c r="W35" s="26"/>
      <c r="X35" s="26"/>
      <c r="Y35" s="30"/>
      <c r="Z35" s="204"/>
      <c r="AA35" s="215"/>
      <c r="AB35" s="329"/>
      <c r="AC35" s="28"/>
      <c r="AD35" s="226">
        <f t="shared" si="2"/>
        <v>0</v>
      </c>
      <c r="AF35" s="338">
        <v>46052</v>
      </c>
      <c r="AG35" s="26"/>
      <c r="AH35" s="26"/>
      <c r="AI35" s="31"/>
      <c r="AJ35" s="204"/>
      <c r="AK35" s="88"/>
      <c r="AL35" s="328"/>
      <c r="AM35" s="28"/>
      <c r="AN35" s="226">
        <f t="shared" si="3"/>
        <v>0</v>
      </c>
      <c r="AP35" s="338">
        <v>46052</v>
      </c>
      <c r="AQ35" s="26"/>
      <c r="AR35" s="26"/>
      <c r="AS35" s="26"/>
      <c r="AT35" s="43"/>
      <c r="AU35" s="204"/>
      <c r="AV35" s="88"/>
      <c r="AW35" s="28"/>
      <c r="AX35" s="28"/>
      <c r="AY35" s="226">
        <f t="shared" si="4"/>
        <v>0</v>
      </c>
      <c r="AZ35" s="2"/>
      <c r="BA35" s="338">
        <v>46052</v>
      </c>
      <c r="BB35" s="27"/>
      <c r="BC35" s="27"/>
      <c r="BD35" s="33"/>
      <c r="BE35" s="29"/>
      <c r="BF35" s="204"/>
      <c r="BG35" s="215"/>
      <c r="BH35" s="328"/>
      <c r="BI35" s="335"/>
      <c r="BJ35" s="226">
        <f t="shared" si="5"/>
        <v>0</v>
      </c>
      <c r="BK35" s="2"/>
      <c r="BL35" s="338">
        <v>46052</v>
      </c>
      <c r="BM35" s="27"/>
      <c r="BN35" s="27"/>
      <c r="BO35" s="29"/>
      <c r="BP35" s="33"/>
      <c r="BQ35" s="204"/>
      <c r="BR35" s="88"/>
      <c r="BS35" s="328"/>
      <c r="BT35" s="28"/>
      <c r="BU35" s="226">
        <f>SUM(BP35:BT35)</f>
        <v>0</v>
      </c>
      <c r="BV35" s="2"/>
      <c r="BW35" s="338">
        <v>46052</v>
      </c>
      <c r="BX35" s="26"/>
      <c r="BY35" s="27"/>
      <c r="BZ35" s="34"/>
      <c r="CA35" s="204"/>
      <c r="CB35" s="88"/>
      <c r="CC35" s="328"/>
      <c r="CD35" s="335"/>
      <c r="CE35" s="226">
        <f t="shared" si="6"/>
        <v>0</v>
      </c>
      <c r="CF35" s="2"/>
      <c r="CG35" s="338">
        <v>46052</v>
      </c>
      <c r="CH35" s="26"/>
      <c r="CI35" s="27"/>
      <c r="CJ35" s="31"/>
      <c r="CK35" s="204"/>
      <c r="CL35" s="215"/>
      <c r="CM35" s="329">
        <v>33.299310000000048</v>
      </c>
      <c r="CN35" s="28"/>
      <c r="CO35" s="226">
        <f t="shared" si="7"/>
        <v>33.299310000000048</v>
      </c>
      <c r="CP35" s="2"/>
      <c r="CQ35" s="338">
        <v>46052</v>
      </c>
      <c r="CR35" s="26"/>
      <c r="CS35" s="27"/>
      <c r="CT35" s="2"/>
      <c r="CU35" s="32"/>
      <c r="CV35" s="204"/>
      <c r="CW35" s="88"/>
      <c r="CX35" s="329"/>
      <c r="CY35" s="335"/>
      <c r="CZ35" s="226">
        <f t="shared" si="14"/>
        <v>0</v>
      </c>
      <c r="DA35" s="2"/>
      <c r="DB35" s="338">
        <v>46052</v>
      </c>
      <c r="DC35" s="26"/>
      <c r="DD35" s="27"/>
      <c r="DE35" s="29"/>
      <c r="DF35" s="204"/>
      <c r="DG35" s="88"/>
      <c r="DH35" s="328"/>
      <c r="DI35" s="335"/>
      <c r="DJ35" s="226">
        <f t="shared" si="8"/>
        <v>0</v>
      </c>
      <c r="DK35" s="2"/>
      <c r="DL35" s="338">
        <v>46052</v>
      </c>
      <c r="DM35" s="27"/>
      <c r="DN35" s="28"/>
      <c r="DO35" s="204"/>
      <c r="DP35" s="88"/>
      <c r="DQ35" s="28"/>
      <c r="DR35" s="28"/>
      <c r="DS35" s="226">
        <f t="shared" si="9"/>
        <v>0</v>
      </c>
      <c r="DT35" s="2"/>
      <c r="DU35" s="338">
        <v>46052</v>
      </c>
      <c r="DV35" s="27"/>
      <c r="DW35" s="35"/>
      <c r="DX35" s="204"/>
      <c r="DY35" s="215"/>
      <c r="DZ35" s="28"/>
      <c r="EA35" s="28"/>
      <c r="EB35" s="226">
        <f t="shared" si="10"/>
        <v>0</v>
      </c>
      <c r="EC35" s="2"/>
      <c r="ED35" s="338">
        <v>46052</v>
      </c>
      <c r="EE35" s="26"/>
      <c r="EF35" s="36"/>
      <c r="EG35" s="204"/>
      <c r="EH35" s="215"/>
      <c r="EI35" s="28"/>
      <c r="EJ35" s="28"/>
      <c r="EK35" s="226">
        <f t="shared" si="11"/>
        <v>0</v>
      </c>
      <c r="EL35" s="2"/>
      <c r="EM35" s="338">
        <v>46052</v>
      </c>
      <c r="EN35" s="26"/>
      <c r="EO35" s="28"/>
      <c r="EP35" s="204"/>
      <c r="EQ35" s="88">
        <v>25.827028999999996</v>
      </c>
      <c r="ER35" s="28"/>
      <c r="ES35" s="28"/>
      <c r="ET35" s="226">
        <f t="shared" si="12"/>
        <v>25.827028999999996</v>
      </c>
    </row>
    <row r="36" spans="2:150" ht="16.5" thickBot="1" x14ac:dyDescent="0.3">
      <c r="B36" s="338">
        <v>46053</v>
      </c>
      <c r="C36" s="44"/>
      <c r="D36" s="44"/>
      <c r="E36" s="209"/>
      <c r="F36" s="204"/>
      <c r="G36" s="88"/>
      <c r="H36" s="329"/>
      <c r="I36" s="45"/>
      <c r="J36" s="227">
        <f t="shared" si="0"/>
        <v>0</v>
      </c>
      <c r="L36" s="338">
        <v>46053</v>
      </c>
      <c r="M36" s="44"/>
      <c r="N36" s="44"/>
      <c r="O36" s="46"/>
      <c r="P36" s="204"/>
      <c r="Q36" s="88"/>
      <c r="R36" s="45"/>
      <c r="S36" s="45"/>
      <c r="T36" s="227">
        <f t="shared" si="1"/>
        <v>0</v>
      </c>
      <c r="V36" s="338">
        <v>46053</v>
      </c>
      <c r="W36" s="44"/>
      <c r="X36" s="44"/>
      <c r="Y36" s="47"/>
      <c r="Z36" s="204"/>
      <c r="AA36" s="216"/>
      <c r="AB36" s="329"/>
      <c r="AC36" s="45"/>
      <c r="AD36" s="227">
        <f t="shared" si="2"/>
        <v>0</v>
      </c>
      <c r="AF36" s="338">
        <v>46053</v>
      </c>
      <c r="AG36" s="44"/>
      <c r="AH36" s="44"/>
      <c r="AI36" s="48"/>
      <c r="AJ36" s="204"/>
      <c r="AK36" s="88"/>
      <c r="AL36" s="328"/>
      <c r="AM36" s="45"/>
      <c r="AN36" s="227">
        <f t="shared" si="3"/>
        <v>0</v>
      </c>
      <c r="AP36" s="338">
        <v>46053</v>
      </c>
      <c r="AQ36" s="44"/>
      <c r="AR36" s="44"/>
      <c r="AS36" s="44"/>
      <c r="AT36" s="49"/>
      <c r="AU36" s="204"/>
      <c r="AV36" s="88"/>
      <c r="AW36" s="45"/>
      <c r="AX36" s="45"/>
      <c r="AY36" s="227">
        <f t="shared" si="4"/>
        <v>0</v>
      </c>
      <c r="AZ36" s="2"/>
      <c r="BA36" s="338">
        <v>46053</v>
      </c>
      <c r="BB36" s="50"/>
      <c r="BC36" s="50"/>
      <c r="BD36" s="51"/>
      <c r="BE36" s="52"/>
      <c r="BF36" s="204"/>
      <c r="BG36" s="216"/>
      <c r="BH36" s="328"/>
      <c r="BI36" s="45"/>
      <c r="BJ36" s="227">
        <f t="shared" si="5"/>
        <v>0</v>
      </c>
      <c r="BK36" s="2"/>
      <c r="BL36" s="338">
        <v>46053</v>
      </c>
      <c r="BM36" s="50"/>
      <c r="BN36" s="50"/>
      <c r="BO36" s="52"/>
      <c r="BP36" s="51"/>
      <c r="BQ36" s="204"/>
      <c r="BR36" s="88"/>
      <c r="BS36" s="328"/>
      <c r="BT36" s="45"/>
      <c r="BU36" s="227">
        <f t="shared" si="13"/>
        <v>0</v>
      </c>
      <c r="BV36" s="2"/>
      <c r="BW36" s="338">
        <v>46053</v>
      </c>
      <c r="BX36" s="53"/>
      <c r="BY36" s="50"/>
      <c r="BZ36" s="54"/>
      <c r="CA36" s="204"/>
      <c r="CB36" s="88"/>
      <c r="CC36" s="328"/>
      <c r="CD36" s="336"/>
      <c r="CE36" s="227">
        <f t="shared" si="6"/>
        <v>0</v>
      </c>
      <c r="CF36" s="2"/>
      <c r="CG36" s="338">
        <v>46053</v>
      </c>
      <c r="CH36" s="53"/>
      <c r="CI36" s="50"/>
      <c r="CJ36" s="55"/>
      <c r="CK36" s="204"/>
      <c r="CL36" s="216"/>
      <c r="CM36" s="329">
        <v>4.3606720000000223</v>
      </c>
      <c r="CN36" s="45"/>
      <c r="CO36" s="227">
        <f t="shared" si="7"/>
        <v>4.3606720000000223</v>
      </c>
      <c r="CP36" s="2"/>
      <c r="CQ36" s="338">
        <v>46053</v>
      </c>
      <c r="CR36" s="50"/>
      <c r="CS36" s="50"/>
      <c r="CT36" s="2"/>
      <c r="CU36" s="56"/>
      <c r="CV36" s="204"/>
      <c r="CW36" s="88"/>
      <c r="CX36" s="329"/>
      <c r="CY36" s="336"/>
      <c r="CZ36" s="227">
        <f t="shared" si="14"/>
        <v>0</v>
      </c>
      <c r="DA36" s="2"/>
      <c r="DB36" s="338">
        <v>46053</v>
      </c>
      <c r="DC36" s="53"/>
      <c r="DD36" s="50"/>
      <c r="DE36" s="52"/>
      <c r="DF36" s="204"/>
      <c r="DG36" s="88"/>
      <c r="DH36" s="328"/>
      <c r="DI36" s="336"/>
      <c r="DJ36" s="227">
        <f t="shared" si="8"/>
        <v>0</v>
      </c>
      <c r="DK36" s="2"/>
      <c r="DL36" s="338">
        <v>46053</v>
      </c>
      <c r="DM36" s="57"/>
      <c r="DN36" s="45"/>
      <c r="DO36" s="204"/>
      <c r="DP36" s="88"/>
      <c r="DQ36" s="45"/>
      <c r="DR36" s="45"/>
      <c r="DS36" s="227">
        <f t="shared" si="9"/>
        <v>0</v>
      </c>
      <c r="DT36" s="2"/>
      <c r="DU36" s="338">
        <v>46053</v>
      </c>
      <c r="DV36" s="27"/>
      <c r="DW36" s="58"/>
      <c r="DX36" s="204"/>
      <c r="DY36" s="216"/>
      <c r="DZ36" s="45"/>
      <c r="EA36" s="45"/>
      <c r="EB36" s="227">
        <f t="shared" si="10"/>
        <v>0</v>
      </c>
      <c r="EC36" s="2"/>
      <c r="ED36" s="338">
        <v>46053</v>
      </c>
      <c r="EE36" s="26"/>
      <c r="EF36" s="36"/>
      <c r="EG36" s="204"/>
      <c r="EH36" s="216"/>
      <c r="EI36" s="45"/>
      <c r="EJ36" s="45"/>
      <c r="EK36" s="227">
        <f t="shared" si="11"/>
        <v>0</v>
      </c>
      <c r="EL36" s="2"/>
      <c r="EM36" s="338">
        <v>46053</v>
      </c>
      <c r="EN36" s="26"/>
      <c r="EO36" s="28"/>
      <c r="EP36" s="204"/>
      <c r="EQ36" s="88">
        <v>1.6854479999999974</v>
      </c>
      <c r="ER36" s="45"/>
      <c r="ES36" s="45"/>
      <c r="ET36" s="227">
        <f t="shared" si="12"/>
        <v>1.6854479999999974</v>
      </c>
    </row>
    <row r="37" spans="2:150" s="309" customFormat="1" ht="16.5" thickBot="1" x14ac:dyDescent="0.3">
      <c r="B37" s="310" t="s">
        <v>23</v>
      </c>
      <c r="C37" s="304">
        <f>SUM(C6:C36)</f>
        <v>0</v>
      </c>
      <c r="D37" s="304">
        <f t="shared" ref="D37" si="15">SUM(D6:D36)</f>
        <v>0</v>
      </c>
      <c r="E37" s="305">
        <f>SUM(E6:E36)</f>
        <v>0</v>
      </c>
      <c r="F37" s="306"/>
      <c r="G37" s="307">
        <f t="shared" ref="G37:J37" si="16">SUM(G6:G36)</f>
        <v>0</v>
      </c>
      <c r="H37" s="308">
        <f t="shared" si="16"/>
        <v>0</v>
      </c>
      <c r="I37" s="308">
        <f t="shared" si="16"/>
        <v>0</v>
      </c>
      <c r="J37" s="308">
        <f t="shared" si="16"/>
        <v>0</v>
      </c>
      <c r="L37" s="303" t="s">
        <v>23</v>
      </c>
      <c r="M37" s="304">
        <f>SUM(M6:M36)</f>
        <v>0</v>
      </c>
      <c r="N37" s="304">
        <f t="shared" ref="N37:O37" si="17">SUM(N6:N36)</f>
        <v>0</v>
      </c>
      <c r="O37" s="308">
        <f t="shared" si="17"/>
        <v>0</v>
      </c>
      <c r="P37" s="306"/>
      <c r="Q37" s="307">
        <f t="shared" ref="Q37" si="18">SUM(Q6:Q36)</f>
        <v>0</v>
      </c>
      <c r="R37" s="308">
        <f t="shared" ref="R37" si="19">SUM(R6:R36)</f>
        <v>0</v>
      </c>
      <c r="S37" s="308">
        <f t="shared" ref="S37" si="20">SUM(S6:S36)</f>
        <v>0</v>
      </c>
      <c r="T37" s="308">
        <f t="shared" ref="T37" si="21">SUM(T6:T36)</f>
        <v>0</v>
      </c>
      <c r="V37" s="303" t="s">
        <v>23</v>
      </c>
      <c r="W37" s="304">
        <f>SUM(W6:W36)</f>
        <v>0</v>
      </c>
      <c r="X37" s="304">
        <f t="shared" ref="X37:Y37" si="22">SUM(X6:X36)</f>
        <v>0</v>
      </c>
      <c r="Y37" s="308">
        <f t="shared" si="22"/>
        <v>0</v>
      </c>
      <c r="Z37" s="306"/>
      <c r="AA37" s="307">
        <f t="shared" ref="AA37" si="23">SUM(AA6:AA36)</f>
        <v>0</v>
      </c>
      <c r="AB37" s="308">
        <f t="shared" ref="AB37" si="24">SUM(AB6:AB36)</f>
        <v>0</v>
      </c>
      <c r="AC37" s="308">
        <f t="shared" ref="AC37" si="25">SUM(AC6:AC36)</f>
        <v>0</v>
      </c>
      <c r="AD37" s="308">
        <f t="shared" ref="AD37" si="26">SUM(AD6:AD36)</f>
        <v>0</v>
      </c>
      <c r="AF37" s="303" t="s">
        <v>23</v>
      </c>
      <c r="AG37" s="304">
        <f>SUM(AG36:AG36)</f>
        <v>0</v>
      </c>
      <c r="AH37" s="304">
        <f>SUM(AH36:AH36)</f>
        <v>0</v>
      </c>
      <c r="AI37" s="308">
        <f>SUM(AI6:AI36)</f>
        <v>0</v>
      </c>
      <c r="AJ37" s="306"/>
      <c r="AK37" s="307">
        <f t="shared" ref="AK37" si="27">SUM(AK6:AK36)</f>
        <v>0</v>
      </c>
      <c r="AL37" s="308">
        <f t="shared" ref="AL37" si="28">SUM(AL6:AL36)</f>
        <v>0</v>
      </c>
      <c r="AM37" s="308">
        <f t="shared" ref="AM37" si="29">SUM(AM6:AM36)</f>
        <v>0</v>
      </c>
      <c r="AN37" s="308">
        <f t="shared" ref="AN37" si="30">SUM(AN6:AN36)</f>
        <v>0</v>
      </c>
      <c r="AP37" s="303" t="s">
        <v>23</v>
      </c>
      <c r="AQ37" s="304">
        <f>SUM(AQ6:AQ36)</f>
        <v>0</v>
      </c>
      <c r="AR37" s="304">
        <f t="shared" ref="AR37:AT37" si="31">SUM(AR6:AR36)</f>
        <v>0</v>
      </c>
      <c r="AS37" s="304">
        <f t="shared" si="31"/>
        <v>0</v>
      </c>
      <c r="AT37" s="308">
        <f t="shared" si="31"/>
        <v>0</v>
      </c>
      <c r="AU37" s="306"/>
      <c r="AV37" s="307">
        <f t="shared" ref="AV37" si="32">SUM(AV6:AV36)</f>
        <v>0</v>
      </c>
      <c r="AW37" s="308">
        <f t="shared" ref="AW37" si="33">SUM(AW6:AW36)</f>
        <v>0</v>
      </c>
      <c r="AX37" s="308">
        <f t="shared" ref="AX37" si="34">SUM(AX6:AX36)</f>
        <v>0</v>
      </c>
      <c r="AY37" s="308">
        <f t="shared" ref="AY37" si="35">SUM(AY6:AY36)</f>
        <v>0</v>
      </c>
      <c r="BA37" s="310" t="s">
        <v>23</v>
      </c>
      <c r="BB37" s="311">
        <f>SUM(BB6:BB36)</f>
        <v>0</v>
      </c>
      <c r="BC37" s="311">
        <f t="shared" ref="BC37:BD37" si="36">SUM(BC6:BC36)</f>
        <v>0</v>
      </c>
      <c r="BD37" s="311">
        <f t="shared" si="36"/>
        <v>0</v>
      </c>
      <c r="BE37" s="312"/>
      <c r="BF37" s="306"/>
      <c r="BG37" s="307">
        <f t="shared" ref="BG37" si="37">SUM(BG6:BG36)</f>
        <v>0</v>
      </c>
      <c r="BH37" s="308">
        <f t="shared" ref="BH37" si="38">SUM(BH6:BH36)</f>
        <v>0</v>
      </c>
      <c r="BI37" s="308">
        <f t="shared" ref="BI37" si="39">SUM(BI6:BI36)</f>
        <v>0</v>
      </c>
      <c r="BJ37" s="308">
        <f t="shared" ref="BJ37" si="40">SUM(BJ6:BJ36)</f>
        <v>0</v>
      </c>
      <c r="BL37" s="310" t="s">
        <v>23</v>
      </c>
      <c r="BM37" s="311">
        <f>SUM(BM6:BM36)</f>
        <v>0</v>
      </c>
      <c r="BN37" s="311">
        <f t="shared" ref="BN37:BO37" si="41">SUM(BN6:BN36)</f>
        <v>0</v>
      </c>
      <c r="BO37" s="311">
        <f t="shared" si="41"/>
        <v>0</v>
      </c>
      <c r="BP37" s="311">
        <f>SUM(BP6:BP36)</f>
        <v>0</v>
      </c>
      <c r="BQ37" s="306"/>
      <c r="BR37" s="307">
        <f t="shared" ref="BR37" si="42">SUM(BR6:BR36)</f>
        <v>0</v>
      </c>
      <c r="BS37" s="308">
        <f t="shared" ref="BS37" si="43">SUM(BS6:BS36)</f>
        <v>0</v>
      </c>
      <c r="BT37" s="308">
        <f t="shared" ref="BT37" si="44">SUM(BT6:BT36)</f>
        <v>0</v>
      </c>
      <c r="BU37" s="308">
        <f t="shared" ref="BU37" si="45">SUM(BU6:BU36)</f>
        <v>0</v>
      </c>
      <c r="BW37" s="314" t="s">
        <v>23</v>
      </c>
      <c r="BX37" s="315">
        <f>SUM(BX6:BX36)</f>
        <v>0</v>
      </c>
      <c r="BY37" s="315">
        <f t="shared" ref="BY37:BZ37" si="46">SUM(BY6:BY36)</f>
        <v>0</v>
      </c>
      <c r="BZ37" s="315">
        <f t="shared" si="46"/>
        <v>0</v>
      </c>
      <c r="CA37" s="306"/>
      <c r="CB37" s="307">
        <f t="shared" ref="CB37" si="47">SUM(CB6:CB36)</f>
        <v>0</v>
      </c>
      <c r="CC37" s="308">
        <f t="shared" ref="CC37" si="48">SUM(CC6:CC36)</f>
        <v>0</v>
      </c>
      <c r="CD37" s="308">
        <f t="shared" ref="CD37" si="49">SUM(CD6:CD36)</f>
        <v>0</v>
      </c>
      <c r="CE37" s="308">
        <f t="shared" ref="CE37" si="50">SUM(CE6:CE36)</f>
        <v>0</v>
      </c>
      <c r="CG37" s="303" t="s">
        <v>23</v>
      </c>
      <c r="CH37" s="304">
        <f>SUM(CH6:CH36)</f>
        <v>0</v>
      </c>
      <c r="CI37" s="304">
        <f t="shared" ref="CI37:CJ37" si="51">SUM(CI6:CI36)</f>
        <v>0</v>
      </c>
      <c r="CJ37" s="308">
        <f t="shared" si="51"/>
        <v>0</v>
      </c>
      <c r="CK37" s="306"/>
      <c r="CL37" s="307">
        <f t="shared" ref="CL37" si="52">SUM(CL6:CL36)</f>
        <v>0</v>
      </c>
      <c r="CM37" s="308">
        <f t="shared" ref="CM37" si="53">SUM(CM6:CM36)</f>
        <v>783.22054100000059</v>
      </c>
      <c r="CN37" s="308">
        <f t="shared" ref="CN37" si="54">SUM(CN6:CN36)</f>
        <v>0</v>
      </c>
      <c r="CO37" s="308">
        <f t="shared" ref="CO37" si="55">SUM(CO6:CO36)</f>
        <v>783.22054100000059</v>
      </c>
      <c r="CQ37" s="303" t="s">
        <v>23</v>
      </c>
      <c r="CR37" s="304">
        <f>SUM(CR6:CR36)</f>
        <v>0</v>
      </c>
      <c r="CS37" s="304">
        <f t="shared" ref="CS37:CU37" si="56">SUM(CS6:CS36)</f>
        <v>0</v>
      </c>
      <c r="CU37" s="308">
        <f t="shared" si="56"/>
        <v>0</v>
      </c>
      <c r="CV37" s="306"/>
      <c r="CW37" s="307">
        <f t="shared" ref="CW37" si="57">SUM(CW6:CW36)</f>
        <v>0</v>
      </c>
      <c r="CX37" s="308">
        <f t="shared" ref="CX37" si="58">SUM(CX6:CX36)</f>
        <v>0</v>
      </c>
      <c r="CY37" s="308">
        <f t="shared" ref="CY37" si="59">SUM(CY6:CY36)</f>
        <v>0</v>
      </c>
      <c r="CZ37" s="308">
        <f t="shared" ref="CZ37" si="60">SUM(CZ6:CZ36)</f>
        <v>0</v>
      </c>
      <c r="DB37" s="310" t="s">
        <v>23</v>
      </c>
      <c r="DC37" s="311">
        <f>SUM(DC6:DC36)</f>
        <v>0</v>
      </c>
      <c r="DD37" s="311">
        <f t="shared" ref="DD37:DE37" si="61">SUM(DD6:DD36)</f>
        <v>0</v>
      </c>
      <c r="DE37" s="312">
        <f t="shared" si="61"/>
        <v>0</v>
      </c>
      <c r="DF37" s="306"/>
      <c r="DG37" s="307">
        <f t="shared" ref="DG37" si="62">SUM(DG6:DG36)</f>
        <v>0</v>
      </c>
      <c r="DH37" s="308">
        <f t="shared" ref="DH37" si="63">SUM(DH6:DH36)</f>
        <v>0</v>
      </c>
      <c r="DI37" s="308">
        <f t="shared" ref="DI37" si="64">SUM(DI6:DI36)</f>
        <v>0</v>
      </c>
      <c r="DJ37" s="308">
        <f t="shared" ref="DJ37" si="65">SUM(DJ6:DJ36)</f>
        <v>0</v>
      </c>
      <c r="DL37" s="303" t="s">
        <v>23</v>
      </c>
      <c r="DM37" s="304">
        <f>SUM(DM6:DM36)</f>
        <v>0</v>
      </c>
      <c r="DN37" s="308">
        <f t="shared" ref="DN37" si="66">SUM(DN6:DN36)</f>
        <v>0</v>
      </c>
      <c r="DO37" s="306"/>
      <c r="DP37" s="307">
        <f t="shared" ref="DP37" si="67">SUM(DP6:DP36)</f>
        <v>0</v>
      </c>
      <c r="DQ37" s="308">
        <f t="shared" ref="DQ37" si="68">SUM(DQ6:DQ36)</f>
        <v>0</v>
      </c>
      <c r="DR37" s="308">
        <f t="shared" ref="DR37" si="69">SUM(DR6:DR36)</f>
        <v>0</v>
      </c>
      <c r="DS37" s="308">
        <f t="shared" ref="DS37" si="70">SUM(DS6:DS36)</f>
        <v>0</v>
      </c>
      <c r="DU37" s="316" t="s">
        <v>23</v>
      </c>
      <c r="DV37" s="317">
        <f>SUM(DV6:DV36)</f>
        <v>0</v>
      </c>
      <c r="DW37" s="318">
        <f t="shared" ref="DW37" si="71">SUM(DW6:DW36)</f>
        <v>0</v>
      </c>
      <c r="DX37" s="306"/>
      <c r="DY37" s="307">
        <f t="shared" ref="DY37" si="72">SUM(DY6:DY36)</f>
        <v>0</v>
      </c>
      <c r="DZ37" s="308">
        <f t="shared" ref="DZ37" si="73">SUM(DZ6:DZ36)</f>
        <v>0</v>
      </c>
      <c r="EA37" s="308">
        <f t="shared" ref="EA37" si="74">SUM(EA6:EA36)</f>
        <v>0</v>
      </c>
      <c r="EB37" s="308">
        <f t="shared" ref="EB37" si="75">SUM(EB6:EB36)</f>
        <v>0</v>
      </c>
      <c r="ED37" s="316" t="s">
        <v>23</v>
      </c>
      <c r="EE37" s="319">
        <f>SUM(EE6:EE36)</f>
        <v>0</v>
      </c>
      <c r="EF37" s="318">
        <f t="shared" ref="EF37" si="76">SUM(EF6:EF36)</f>
        <v>0</v>
      </c>
      <c r="EG37" s="306"/>
      <c r="EH37" s="307">
        <f t="shared" ref="EH37" si="77">SUM(EH6:EH36)</f>
        <v>0</v>
      </c>
      <c r="EI37" s="308">
        <f t="shared" ref="EI37" si="78">SUM(EI6:EI36)</f>
        <v>0</v>
      </c>
      <c r="EJ37" s="308">
        <f t="shared" ref="EJ37" si="79">SUM(EJ6:EJ36)</f>
        <v>0</v>
      </c>
      <c r="EK37" s="308">
        <f t="shared" ref="EK37" si="80">SUM(EK6:EK36)</f>
        <v>0</v>
      </c>
      <c r="EM37" s="316" t="s">
        <v>23</v>
      </c>
      <c r="EN37" s="319">
        <f>SUM(EN6:EN36)</f>
        <v>0</v>
      </c>
      <c r="EO37" s="318">
        <f t="shared" ref="EO37" si="81">SUM(EO6:EO36)</f>
        <v>0</v>
      </c>
      <c r="EP37" s="306"/>
      <c r="EQ37" s="307">
        <f t="shared" ref="EQ37" si="82">SUM(EQ6:EQ36)</f>
        <v>1263.5814939999996</v>
      </c>
      <c r="ER37" s="308">
        <f t="shared" ref="ER37" si="83">SUM(ER6:ER36)</f>
        <v>0</v>
      </c>
      <c r="ES37" s="308">
        <f t="shared" ref="ES37" si="84">SUM(ES6:ES36)</f>
        <v>0</v>
      </c>
      <c r="ET37" s="308">
        <f t="shared" ref="ET37" si="85">SUM(ET6:ET36)</f>
        <v>1263.5814939999996</v>
      </c>
    </row>
    <row r="38" spans="2:150" x14ac:dyDescent="0.25">
      <c r="DU38" s="59"/>
      <c r="DV38" s="60"/>
      <c r="DW38" s="61"/>
    </row>
    <row r="39" spans="2:150" ht="21" x14ac:dyDescent="0.35">
      <c r="DU39" s="62"/>
      <c r="DV39" s="63"/>
      <c r="DW39" s="63"/>
    </row>
    <row r="40" spans="2:150" ht="21" x14ac:dyDescent="0.35">
      <c r="B40" s="341" t="s">
        <v>0</v>
      </c>
      <c r="C40" s="341"/>
      <c r="D40" s="1"/>
      <c r="E40" s="1"/>
      <c r="F40" s="211"/>
      <c r="G40" s="1"/>
      <c r="H40" s="1"/>
      <c r="I40" s="1"/>
      <c r="J40" s="1"/>
      <c r="K40" s="1"/>
      <c r="L40" s="341" t="s">
        <v>1</v>
      </c>
      <c r="M40" s="341"/>
      <c r="N40" s="341"/>
      <c r="P40" s="211"/>
      <c r="Q40" s="1"/>
      <c r="R40" s="1"/>
      <c r="S40" s="1"/>
      <c r="T40" s="1"/>
      <c r="V40" s="341" t="s">
        <v>2</v>
      </c>
      <c r="W40" s="341"/>
      <c r="Z40" s="211"/>
      <c r="AA40" s="1"/>
      <c r="AB40" s="1"/>
      <c r="AC40" s="1"/>
      <c r="AD40" s="1"/>
      <c r="AF40" s="341" t="s">
        <v>3</v>
      </c>
      <c r="AG40" s="341"/>
      <c r="AJ40" s="211"/>
      <c r="AK40" s="1"/>
      <c r="AL40" s="1"/>
      <c r="AM40" s="1"/>
      <c r="AN40" s="1"/>
      <c r="AP40" s="341" t="s">
        <v>4</v>
      </c>
      <c r="AQ40" s="341"/>
      <c r="AU40" s="211"/>
      <c r="AV40" s="1"/>
      <c r="AW40" s="1"/>
      <c r="AX40" s="1"/>
      <c r="AY40" s="1"/>
      <c r="BA40" s="341" t="s">
        <v>5</v>
      </c>
      <c r="BB40" s="341"/>
      <c r="BF40" s="211"/>
      <c r="BG40" s="1"/>
      <c r="BH40" s="1"/>
      <c r="BI40" s="1"/>
      <c r="BJ40" s="1"/>
      <c r="BL40" s="341" t="s">
        <v>6</v>
      </c>
      <c r="BM40" s="341"/>
      <c r="BQ40" s="211"/>
      <c r="BR40" s="1"/>
      <c r="BS40" s="1"/>
      <c r="BT40" s="1"/>
      <c r="BU40" s="1"/>
      <c r="BW40" s="341" t="s">
        <v>7</v>
      </c>
      <c r="BX40" s="341"/>
      <c r="CA40" s="211"/>
      <c r="CB40" s="1"/>
      <c r="CC40" s="1"/>
      <c r="CD40" s="1"/>
      <c r="CE40" s="1"/>
      <c r="CG40" s="341" t="s">
        <v>8</v>
      </c>
      <c r="CH40" s="341"/>
      <c r="CK40" s="211"/>
      <c r="CL40" s="1"/>
      <c r="CM40" s="1"/>
      <c r="CN40" s="1"/>
      <c r="CO40" s="1"/>
      <c r="CQ40" s="341" t="s">
        <v>9</v>
      </c>
      <c r="CR40" s="341"/>
      <c r="CV40" s="211"/>
      <c r="CW40" s="1"/>
      <c r="CX40" s="1"/>
      <c r="CY40" s="1"/>
      <c r="CZ40" s="1"/>
      <c r="DB40" s="147" t="s">
        <v>10</v>
      </c>
      <c r="DC40" s="147"/>
      <c r="DF40" s="211"/>
      <c r="DG40" s="1"/>
      <c r="DH40" s="1"/>
      <c r="DI40" s="1"/>
      <c r="DJ40" s="1"/>
      <c r="DL40" s="147" t="s">
        <v>11</v>
      </c>
      <c r="DM40" s="147"/>
      <c r="DO40" s="211"/>
      <c r="DP40" s="1"/>
      <c r="DQ40" s="1"/>
      <c r="DR40" s="1"/>
      <c r="DS40" s="1"/>
      <c r="DU40" s="147" t="s">
        <v>12</v>
      </c>
      <c r="DV40" s="147"/>
      <c r="DX40" s="211"/>
      <c r="DY40" s="1"/>
      <c r="DZ40" s="1"/>
      <c r="EA40" s="1"/>
      <c r="EB40" s="1"/>
      <c r="ED40" s="147" t="s">
        <v>13</v>
      </c>
      <c r="EE40" s="147"/>
      <c r="EG40" s="211"/>
      <c r="EH40" s="1"/>
      <c r="EI40" s="1"/>
      <c r="EJ40" s="1"/>
      <c r="EK40" s="1"/>
      <c r="EM40" s="147" t="s">
        <v>14</v>
      </c>
      <c r="EN40" s="147"/>
      <c r="EP40" s="211"/>
      <c r="EQ40" s="1"/>
      <c r="ER40" s="1"/>
      <c r="ES40" s="1"/>
      <c r="ET40" s="1"/>
    </row>
    <row r="41" spans="2:150" ht="15.75" thickBot="1" x14ac:dyDescent="0.3"/>
    <row r="42" spans="2:150" x14ac:dyDescent="0.25">
      <c r="B42" s="339" t="s">
        <v>15</v>
      </c>
      <c r="C42" s="4" t="s">
        <v>16</v>
      </c>
      <c r="D42" s="4" t="s">
        <v>16</v>
      </c>
      <c r="E42" s="205" t="s">
        <v>17</v>
      </c>
      <c r="F42" s="212"/>
      <c r="G42" s="217" t="s">
        <v>17</v>
      </c>
      <c r="H42" s="219" t="s">
        <v>17</v>
      </c>
      <c r="I42" s="221" t="s">
        <v>17</v>
      </c>
      <c r="J42" s="223" t="s">
        <v>23</v>
      </c>
      <c r="L42" s="339" t="s">
        <v>15</v>
      </c>
      <c r="M42" s="4" t="s">
        <v>16</v>
      </c>
      <c r="N42" s="4" t="s">
        <v>16</v>
      </c>
      <c r="O42" s="5" t="s">
        <v>17</v>
      </c>
      <c r="P42" s="212"/>
      <c r="Q42" s="217" t="s">
        <v>17</v>
      </c>
      <c r="R42" s="219" t="s">
        <v>17</v>
      </c>
      <c r="S42" s="221" t="s">
        <v>17</v>
      </c>
      <c r="T42" s="223" t="s">
        <v>23</v>
      </c>
      <c r="V42" s="339" t="s">
        <v>15</v>
      </c>
      <c r="W42" s="4" t="s">
        <v>16</v>
      </c>
      <c r="X42" s="4" t="s">
        <v>16</v>
      </c>
      <c r="Y42" s="5" t="s">
        <v>17</v>
      </c>
      <c r="Z42" s="212"/>
      <c r="AA42" s="217" t="s">
        <v>17</v>
      </c>
      <c r="AB42" s="219" t="s">
        <v>17</v>
      </c>
      <c r="AC42" s="221" t="s">
        <v>17</v>
      </c>
      <c r="AD42" s="223" t="s">
        <v>23</v>
      </c>
      <c r="AF42" s="339" t="s">
        <v>15</v>
      </c>
      <c r="AG42" s="4" t="s">
        <v>16</v>
      </c>
      <c r="AH42" s="4" t="s">
        <v>16</v>
      </c>
      <c r="AI42" s="5" t="s">
        <v>17</v>
      </c>
      <c r="AJ42" s="212"/>
      <c r="AK42" s="217" t="s">
        <v>17</v>
      </c>
      <c r="AL42" s="219" t="s">
        <v>17</v>
      </c>
      <c r="AM42" s="221" t="s">
        <v>17</v>
      </c>
      <c r="AN42" s="223" t="s">
        <v>23</v>
      </c>
      <c r="AP42" s="339" t="s">
        <v>15</v>
      </c>
      <c r="AQ42" s="4" t="s">
        <v>16</v>
      </c>
      <c r="AR42" s="4" t="s">
        <v>16</v>
      </c>
      <c r="AS42" s="4" t="s">
        <v>16</v>
      </c>
      <c r="AT42" s="5" t="s">
        <v>17</v>
      </c>
      <c r="AU42" s="212"/>
      <c r="AV42" s="217" t="s">
        <v>17</v>
      </c>
      <c r="AW42" s="219" t="s">
        <v>17</v>
      </c>
      <c r="AX42" s="221" t="s">
        <v>17</v>
      </c>
      <c r="AY42" s="223" t="s">
        <v>23</v>
      </c>
      <c r="BA42" s="339" t="s">
        <v>15</v>
      </c>
      <c r="BB42" s="4" t="s">
        <v>16</v>
      </c>
      <c r="BC42" s="4" t="s">
        <v>16</v>
      </c>
      <c r="BD42" s="5" t="s">
        <v>17</v>
      </c>
      <c r="BE42" s="5" t="s">
        <v>17</v>
      </c>
      <c r="BF42" s="212"/>
      <c r="BG42" s="217" t="s">
        <v>17</v>
      </c>
      <c r="BH42" s="219" t="s">
        <v>17</v>
      </c>
      <c r="BI42" s="221" t="s">
        <v>17</v>
      </c>
      <c r="BJ42" s="223" t="s">
        <v>23</v>
      </c>
      <c r="BL42" s="339" t="s">
        <v>15</v>
      </c>
      <c r="BM42" s="4" t="s">
        <v>16</v>
      </c>
      <c r="BN42" s="4" t="s">
        <v>16</v>
      </c>
      <c r="BO42" s="5" t="s">
        <v>17</v>
      </c>
      <c r="BP42" s="152" t="s">
        <v>17</v>
      </c>
      <c r="BQ42" s="212"/>
      <c r="BR42" s="217" t="s">
        <v>17</v>
      </c>
      <c r="BS42" s="219" t="s">
        <v>17</v>
      </c>
      <c r="BT42" s="221" t="s">
        <v>17</v>
      </c>
      <c r="BU42" s="223" t="s">
        <v>23</v>
      </c>
      <c r="BW42" s="339" t="s">
        <v>15</v>
      </c>
      <c r="BX42" s="4" t="s">
        <v>16</v>
      </c>
      <c r="BY42" s="4" t="s">
        <v>16</v>
      </c>
      <c r="BZ42" s="5" t="s">
        <v>17</v>
      </c>
      <c r="CA42" s="212"/>
      <c r="CB42" s="217" t="s">
        <v>17</v>
      </c>
      <c r="CC42" s="219" t="s">
        <v>17</v>
      </c>
      <c r="CD42" s="221" t="s">
        <v>17</v>
      </c>
      <c r="CE42" s="223" t="s">
        <v>23</v>
      </c>
      <c r="CG42" s="339" t="s">
        <v>15</v>
      </c>
      <c r="CH42" s="4" t="s">
        <v>16</v>
      </c>
      <c r="CI42" s="4" t="s">
        <v>16</v>
      </c>
      <c r="CJ42" s="5" t="s">
        <v>17</v>
      </c>
      <c r="CK42" s="212"/>
      <c r="CL42" s="217" t="s">
        <v>17</v>
      </c>
      <c r="CM42" s="219" t="s">
        <v>17</v>
      </c>
      <c r="CN42" s="221" t="s">
        <v>17</v>
      </c>
      <c r="CO42" s="223" t="s">
        <v>23</v>
      </c>
      <c r="CQ42" s="339" t="s">
        <v>15</v>
      </c>
      <c r="CR42" s="4" t="s">
        <v>16</v>
      </c>
      <c r="CS42" s="4" t="s">
        <v>16</v>
      </c>
      <c r="CT42" s="5" t="s">
        <v>17</v>
      </c>
      <c r="CU42" s="5" t="s">
        <v>17</v>
      </c>
      <c r="CV42" s="212"/>
      <c r="CW42" s="217" t="s">
        <v>17</v>
      </c>
      <c r="CX42" s="219" t="s">
        <v>17</v>
      </c>
      <c r="CY42" s="221" t="s">
        <v>17</v>
      </c>
      <c r="CZ42" s="223" t="s">
        <v>23</v>
      </c>
      <c r="DB42" s="148" t="s">
        <v>15</v>
      </c>
      <c r="DC42" s="4" t="s">
        <v>16</v>
      </c>
      <c r="DD42" s="4" t="s">
        <v>16</v>
      </c>
      <c r="DE42" s="5" t="s">
        <v>17</v>
      </c>
      <c r="DF42" s="212"/>
      <c r="DG42" s="217" t="s">
        <v>17</v>
      </c>
      <c r="DH42" s="219" t="s">
        <v>17</v>
      </c>
      <c r="DI42" s="221" t="s">
        <v>17</v>
      </c>
      <c r="DJ42" s="223" t="s">
        <v>23</v>
      </c>
      <c r="DL42" s="148" t="s">
        <v>15</v>
      </c>
      <c r="DM42" s="4" t="s">
        <v>16</v>
      </c>
      <c r="DN42" s="5" t="s">
        <v>17</v>
      </c>
      <c r="DO42" s="212"/>
      <c r="DP42" s="217" t="s">
        <v>17</v>
      </c>
      <c r="DQ42" s="219" t="s">
        <v>17</v>
      </c>
      <c r="DR42" s="221" t="s">
        <v>17</v>
      </c>
      <c r="DS42" s="223" t="s">
        <v>23</v>
      </c>
      <c r="DU42" s="148" t="s">
        <v>15</v>
      </c>
      <c r="DV42" s="4" t="s">
        <v>16</v>
      </c>
      <c r="DW42" s="5" t="s">
        <v>17</v>
      </c>
      <c r="DX42" s="212"/>
      <c r="DY42" s="217" t="s">
        <v>17</v>
      </c>
      <c r="DZ42" s="219" t="s">
        <v>17</v>
      </c>
      <c r="EA42" s="221" t="s">
        <v>17</v>
      </c>
      <c r="EB42" s="223" t="s">
        <v>23</v>
      </c>
      <c r="ED42" s="150" t="s">
        <v>15</v>
      </c>
      <c r="EE42" s="229" t="s">
        <v>16</v>
      </c>
      <c r="EF42" s="10" t="s">
        <v>17</v>
      </c>
      <c r="EG42" s="212"/>
      <c r="EH42" s="217" t="s">
        <v>17</v>
      </c>
      <c r="EI42" s="219" t="s">
        <v>17</v>
      </c>
      <c r="EJ42" s="221" t="s">
        <v>17</v>
      </c>
      <c r="EK42" s="223" t="s">
        <v>23</v>
      </c>
      <c r="EM42" s="150" t="s">
        <v>15</v>
      </c>
      <c r="EN42" s="9" t="s">
        <v>16</v>
      </c>
      <c r="EO42" s="10" t="s">
        <v>17</v>
      </c>
      <c r="EP42" s="212"/>
      <c r="EQ42" s="217" t="s">
        <v>17</v>
      </c>
      <c r="ER42" s="219" t="s">
        <v>17</v>
      </c>
      <c r="ES42" s="221" t="s">
        <v>17</v>
      </c>
      <c r="ET42" s="223" t="s">
        <v>23</v>
      </c>
    </row>
    <row r="43" spans="2:150" ht="15.75" thickBot="1" x14ac:dyDescent="0.3">
      <c r="B43" s="340"/>
      <c r="C43" s="11" t="s">
        <v>19</v>
      </c>
      <c r="D43" s="11" t="s">
        <v>20</v>
      </c>
      <c r="E43" s="206" t="s">
        <v>21</v>
      </c>
      <c r="F43" s="212"/>
      <c r="G43" s="218" t="s">
        <v>64</v>
      </c>
      <c r="H43" s="220" t="s">
        <v>65</v>
      </c>
      <c r="I43" s="222" t="s">
        <v>66</v>
      </c>
      <c r="J43" s="224" t="s">
        <v>67</v>
      </c>
      <c r="L43" s="340"/>
      <c r="M43" s="11" t="s">
        <v>19</v>
      </c>
      <c r="N43" s="11" t="s">
        <v>20</v>
      </c>
      <c r="O43" s="12" t="s">
        <v>21</v>
      </c>
      <c r="P43" s="212"/>
      <c r="Q43" s="218" t="s">
        <v>64</v>
      </c>
      <c r="R43" s="220" t="s">
        <v>65</v>
      </c>
      <c r="S43" s="222" t="s">
        <v>66</v>
      </c>
      <c r="T43" s="224" t="s">
        <v>67</v>
      </c>
      <c r="V43" s="340"/>
      <c r="W43" s="11" t="s">
        <v>19</v>
      </c>
      <c r="X43" s="11" t="s">
        <v>20</v>
      </c>
      <c r="Y43" s="12" t="s">
        <v>21</v>
      </c>
      <c r="Z43" s="212"/>
      <c r="AA43" s="218" t="s">
        <v>64</v>
      </c>
      <c r="AB43" s="220" t="s">
        <v>65</v>
      </c>
      <c r="AC43" s="222" t="s">
        <v>66</v>
      </c>
      <c r="AD43" s="224" t="s">
        <v>67</v>
      </c>
      <c r="AF43" s="340"/>
      <c r="AG43" s="11" t="s">
        <v>19</v>
      </c>
      <c r="AH43" s="11" t="s">
        <v>20</v>
      </c>
      <c r="AI43" s="12" t="s">
        <v>21</v>
      </c>
      <c r="AJ43" s="212"/>
      <c r="AK43" s="218" t="s">
        <v>64</v>
      </c>
      <c r="AL43" s="220" t="s">
        <v>65</v>
      </c>
      <c r="AM43" s="222" t="s">
        <v>66</v>
      </c>
      <c r="AN43" s="224" t="s">
        <v>67</v>
      </c>
      <c r="AP43" s="340"/>
      <c r="AQ43" s="11" t="s">
        <v>19</v>
      </c>
      <c r="AR43" s="11" t="s">
        <v>20</v>
      </c>
      <c r="AS43" s="11" t="s">
        <v>22</v>
      </c>
      <c r="AT43" s="12" t="s">
        <v>21</v>
      </c>
      <c r="AU43" s="212"/>
      <c r="AV43" s="218" t="s">
        <v>64</v>
      </c>
      <c r="AW43" s="220" t="s">
        <v>65</v>
      </c>
      <c r="AX43" s="222" t="s">
        <v>66</v>
      </c>
      <c r="AY43" s="224" t="s">
        <v>67</v>
      </c>
      <c r="BA43" s="340"/>
      <c r="BB43" s="11" t="s">
        <v>19</v>
      </c>
      <c r="BC43" s="11" t="s">
        <v>20</v>
      </c>
      <c r="BD43" s="12" t="s">
        <v>21</v>
      </c>
      <c r="BE43" s="12" t="s">
        <v>20</v>
      </c>
      <c r="BF43" s="212"/>
      <c r="BG43" s="218" t="s">
        <v>64</v>
      </c>
      <c r="BH43" s="220" t="s">
        <v>65</v>
      </c>
      <c r="BI43" s="222" t="s">
        <v>66</v>
      </c>
      <c r="BJ43" s="224" t="s">
        <v>67</v>
      </c>
      <c r="BL43" s="340"/>
      <c r="BM43" s="11" t="s">
        <v>19</v>
      </c>
      <c r="BN43" s="11" t="s">
        <v>20</v>
      </c>
      <c r="BO43" s="12" t="s">
        <v>20</v>
      </c>
      <c r="BP43" s="153" t="s">
        <v>21</v>
      </c>
      <c r="BQ43" s="212"/>
      <c r="BR43" s="218" t="s">
        <v>64</v>
      </c>
      <c r="BS43" s="220" t="s">
        <v>65</v>
      </c>
      <c r="BT43" s="222" t="s">
        <v>66</v>
      </c>
      <c r="BU43" s="224" t="s">
        <v>67</v>
      </c>
      <c r="BW43" s="340"/>
      <c r="BX43" s="11" t="s">
        <v>19</v>
      </c>
      <c r="BY43" s="11" t="s">
        <v>20</v>
      </c>
      <c r="BZ43" s="12" t="s">
        <v>21</v>
      </c>
      <c r="CA43" s="212"/>
      <c r="CB43" s="218" t="s">
        <v>64</v>
      </c>
      <c r="CC43" s="220" t="s">
        <v>65</v>
      </c>
      <c r="CD43" s="222" t="s">
        <v>66</v>
      </c>
      <c r="CE43" s="224" t="s">
        <v>67</v>
      </c>
      <c r="CG43" s="340"/>
      <c r="CH43" s="11" t="s">
        <v>19</v>
      </c>
      <c r="CI43" s="11" t="s">
        <v>20</v>
      </c>
      <c r="CJ43" s="12" t="s">
        <v>21</v>
      </c>
      <c r="CK43" s="212"/>
      <c r="CL43" s="218" t="s">
        <v>64</v>
      </c>
      <c r="CM43" s="220" t="s">
        <v>65</v>
      </c>
      <c r="CN43" s="222" t="s">
        <v>66</v>
      </c>
      <c r="CO43" s="224" t="s">
        <v>67</v>
      </c>
      <c r="CQ43" s="340"/>
      <c r="CR43" s="11" t="s">
        <v>19</v>
      </c>
      <c r="CS43" s="11" t="s">
        <v>20</v>
      </c>
      <c r="CT43" s="12" t="s">
        <v>20</v>
      </c>
      <c r="CU43" s="12" t="s">
        <v>21</v>
      </c>
      <c r="CV43" s="212"/>
      <c r="CW43" s="218" t="s">
        <v>64</v>
      </c>
      <c r="CX43" s="220" t="s">
        <v>65</v>
      </c>
      <c r="CY43" s="222" t="s">
        <v>66</v>
      </c>
      <c r="CZ43" s="224" t="s">
        <v>67</v>
      </c>
      <c r="DB43" s="149"/>
      <c r="DC43" s="11" t="s">
        <v>19</v>
      </c>
      <c r="DD43" s="11" t="s">
        <v>20</v>
      </c>
      <c r="DE43" s="12" t="s">
        <v>21</v>
      </c>
      <c r="DF43" s="212"/>
      <c r="DG43" s="218" t="s">
        <v>64</v>
      </c>
      <c r="DH43" s="220" t="s">
        <v>65</v>
      </c>
      <c r="DI43" s="222" t="s">
        <v>66</v>
      </c>
      <c r="DJ43" s="224" t="s">
        <v>67</v>
      </c>
      <c r="DL43" s="149"/>
      <c r="DM43" s="11" t="s">
        <v>19</v>
      </c>
      <c r="DN43" s="12" t="s">
        <v>21</v>
      </c>
      <c r="DO43" s="212"/>
      <c r="DP43" s="218" t="s">
        <v>64</v>
      </c>
      <c r="DQ43" s="220" t="s">
        <v>65</v>
      </c>
      <c r="DR43" s="222" t="s">
        <v>66</v>
      </c>
      <c r="DS43" s="224" t="s">
        <v>67</v>
      </c>
      <c r="DU43" s="149"/>
      <c r="DV43" s="11" t="s">
        <v>19</v>
      </c>
      <c r="DW43" s="12" t="s">
        <v>21</v>
      </c>
      <c r="DX43" s="212"/>
      <c r="DY43" s="218" t="s">
        <v>64</v>
      </c>
      <c r="DZ43" s="220" t="s">
        <v>65</v>
      </c>
      <c r="EA43" s="222" t="s">
        <v>66</v>
      </c>
      <c r="EB43" s="224" t="s">
        <v>67</v>
      </c>
      <c r="ED43" s="230"/>
      <c r="EE43" s="126" t="s">
        <v>19</v>
      </c>
      <c r="EF43" s="5" t="s">
        <v>21</v>
      </c>
      <c r="EG43" s="212"/>
      <c r="EH43" s="218" t="s">
        <v>64</v>
      </c>
      <c r="EI43" s="220" t="s">
        <v>65</v>
      </c>
      <c r="EJ43" s="222" t="s">
        <v>66</v>
      </c>
      <c r="EK43" s="224" t="s">
        <v>67</v>
      </c>
      <c r="EM43" s="230"/>
      <c r="EN43" s="4" t="s">
        <v>19</v>
      </c>
      <c r="EO43" s="5" t="s">
        <v>21</v>
      </c>
      <c r="EP43" s="212"/>
      <c r="EQ43" s="218" t="s">
        <v>64</v>
      </c>
      <c r="ER43" s="220" t="s">
        <v>65</v>
      </c>
      <c r="ES43" s="222" t="s">
        <v>66</v>
      </c>
      <c r="ET43" s="224" t="s">
        <v>67</v>
      </c>
    </row>
    <row r="44" spans="2:150" ht="15.75" x14ac:dyDescent="0.25">
      <c r="B44" s="338">
        <v>46054</v>
      </c>
      <c r="C44" s="14"/>
      <c r="D44" s="14"/>
      <c r="E44" s="207"/>
      <c r="F44" s="204"/>
      <c r="G44" s="88"/>
      <c r="H44" s="329"/>
      <c r="I44" s="15"/>
      <c r="J44" s="225">
        <f t="shared" ref="J44:J74" si="86">SUM(E44:I44)</f>
        <v>0</v>
      </c>
      <c r="L44" s="338">
        <v>46054</v>
      </c>
      <c r="M44" s="14"/>
      <c r="N44" s="14"/>
      <c r="O44" s="16"/>
      <c r="P44" s="204"/>
      <c r="Q44" s="88"/>
      <c r="R44" s="28"/>
      <c r="S44" s="15"/>
      <c r="T44" s="225">
        <f t="shared" ref="T44:T74" si="87">SUM(O44:S44)</f>
        <v>0</v>
      </c>
      <c r="V44" s="338">
        <v>46054</v>
      </c>
      <c r="W44" s="14"/>
      <c r="X44" s="14"/>
      <c r="Y44" s="17"/>
      <c r="Z44" s="204"/>
      <c r="AA44" s="214"/>
      <c r="AB44" s="329"/>
      <c r="AC44" s="15"/>
      <c r="AD44" s="225">
        <f t="shared" ref="AD44:AD74" si="88">SUM(Y44:AC44)</f>
        <v>0</v>
      </c>
      <c r="AF44" s="338">
        <v>46054</v>
      </c>
      <c r="AG44" s="14"/>
      <c r="AH44" s="19"/>
      <c r="AI44" s="16"/>
      <c r="AJ44" s="204"/>
      <c r="AK44" s="88"/>
      <c r="AL44" s="328"/>
      <c r="AM44" s="337"/>
      <c r="AN44" s="225">
        <f t="shared" ref="AN44:AN74" si="89">SUM(AI44:AM44)</f>
        <v>0</v>
      </c>
      <c r="AP44" s="338">
        <v>46113</v>
      </c>
      <c r="AQ44" s="14"/>
      <c r="AR44" s="14"/>
      <c r="AS44" s="14"/>
      <c r="AT44" s="16"/>
      <c r="AU44" s="204"/>
      <c r="AV44" s="88"/>
      <c r="AW44" s="15"/>
      <c r="AX44" s="15"/>
      <c r="AY44" s="225">
        <f t="shared" ref="AY44:AY74" si="90">SUM(AT44:AX44)</f>
        <v>0</v>
      </c>
      <c r="BA44" s="338">
        <v>46054</v>
      </c>
      <c r="BB44" s="14"/>
      <c r="BC44" s="19"/>
      <c r="BD44" s="20"/>
      <c r="BE44" s="16"/>
      <c r="BF44" s="204"/>
      <c r="BG44" s="214"/>
      <c r="BH44" s="328"/>
      <c r="BI44" s="15"/>
      <c r="BJ44" s="225">
        <f t="shared" ref="BJ44:BJ74" si="91">SUM(BE44:BI44)</f>
        <v>0</v>
      </c>
      <c r="BL44" s="338">
        <v>46054</v>
      </c>
      <c r="BM44" s="19"/>
      <c r="BN44" s="19"/>
      <c r="BO44" s="23"/>
      <c r="BP44" s="20"/>
      <c r="BQ44" s="204"/>
      <c r="BR44" s="214"/>
      <c r="BS44" s="328"/>
      <c r="BT44" s="15"/>
      <c r="BU44" s="225">
        <f t="shared" ref="BU44:BU74" si="92">SUM(BP44:BT44)</f>
        <v>0</v>
      </c>
      <c r="BW44" s="338">
        <v>46054</v>
      </c>
      <c r="BX44" s="14"/>
      <c r="BY44" s="19"/>
      <c r="BZ44" s="21"/>
      <c r="CA44" s="204"/>
      <c r="CB44" s="88"/>
      <c r="CC44" s="328"/>
      <c r="CD44" s="337"/>
      <c r="CE44" s="225">
        <f t="shared" ref="CE44:CE74" si="93">SUM(BZ44:CD44)</f>
        <v>0</v>
      </c>
      <c r="CG44" s="338">
        <v>46054</v>
      </c>
      <c r="CH44" s="14"/>
      <c r="CI44" s="19"/>
      <c r="CJ44" s="16"/>
      <c r="CK44" s="204"/>
      <c r="CL44" s="214"/>
      <c r="CM44" s="329"/>
      <c r="CN44" s="15"/>
      <c r="CO44" s="225">
        <f t="shared" ref="CO44:CO74" si="94">SUM(CJ44:CN44)</f>
        <v>0</v>
      </c>
      <c r="CQ44" s="338">
        <v>46054</v>
      </c>
      <c r="CR44" s="14"/>
      <c r="CS44" s="19"/>
      <c r="CT44" s="23"/>
      <c r="CU44" s="20"/>
      <c r="CV44" s="204"/>
      <c r="CW44" s="88"/>
      <c r="CX44" s="329"/>
      <c r="CY44" s="337"/>
      <c r="CZ44" s="225">
        <f>SUM(CU44:CY44)</f>
        <v>0</v>
      </c>
      <c r="DB44" s="338">
        <v>46054</v>
      </c>
      <c r="DC44" s="14"/>
      <c r="DD44" s="19"/>
      <c r="DE44" s="16"/>
      <c r="DF44" s="204"/>
      <c r="DG44" s="88"/>
      <c r="DH44" s="328"/>
      <c r="DI44" s="337"/>
      <c r="DJ44" s="225">
        <f t="shared" ref="DJ44:DJ74" si="95">SUM(DE44:DI44)</f>
        <v>0</v>
      </c>
      <c r="DL44" s="338">
        <v>46054</v>
      </c>
      <c r="DM44" s="19"/>
      <c r="DN44" s="15"/>
      <c r="DO44" s="204"/>
      <c r="DP44" s="214"/>
      <c r="DQ44" s="15"/>
      <c r="DR44" s="15"/>
      <c r="DS44" s="225">
        <f t="shared" ref="DS44:DS74" si="96">SUM(DN44:DR44)</f>
        <v>0</v>
      </c>
      <c r="DU44" s="338">
        <v>46054</v>
      </c>
      <c r="DV44" s="19"/>
      <c r="DW44" s="25"/>
      <c r="DX44" s="204"/>
      <c r="DY44" s="214"/>
      <c r="DZ44" s="15"/>
      <c r="EA44" s="15"/>
      <c r="EB44" s="225">
        <f t="shared" ref="EB44:EB74" si="97">SUM(DW44:EA44)</f>
        <v>0</v>
      </c>
      <c r="ED44" s="338">
        <v>46054</v>
      </c>
      <c r="EE44" s="14"/>
      <c r="EF44" s="18"/>
      <c r="EG44" s="204"/>
      <c r="EH44" s="214"/>
      <c r="EI44" s="15"/>
      <c r="EJ44" s="15"/>
      <c r="EK44" s="225">
        <f t="shared" ref="EK44:EK74" si="98">SUM(EF44:EJ44)</f>
        <v>0</v>
      </c>
      <c r="EM44" s="338">
        <v>46054</v>
      </c>
      <c r="EN44" s="14"/>
      <c r="EO44" s="15"/>
      <c r="EP44" s="204"/>
      <c r="EQ44" s="88">
        <v>72.200063999999969</v>
      </c>
      <c r="ER44" s="15"/>
      <c r="ES44" s="15"/>
      <c r="ET44" s="225">
        <f t="shared" ref="ET44:ET74" si="99">SUM(EO44:ES44)</f>
        <v>72.200063999999969</v>
      </c>
    </row>
    <row r="45" spans="2:150" ht="15.75" x14ac:dyDescent="0.25">
      <c r="B45" s="338">
        <v>46055</v>
      </c>
      <c r="C45" s="26"/>
      <c r="D45" s="26"/>
      <c r="E45" s="208"/>
      <c r="F45" s="204"/>
      <c r="G45" s="88"/>
      <c r="H45" s="329"/>
      <c r="I45" s="28"/>
      <c r="J45" s="226">
        <f t="shared" si="86"/>
        <v>0</v>
      </c>
      <c r="L45" s="338">
        <v>46055</v>
      </c>
      <c r="M45" s="26"/>
      <c r="N45" s="26"/>
      <c r="O45" s="29"/>
      <c r="P45" s="204"/>
      <c r="Q45" s="88"/>
      <c r="R45" s="28"/>
      <c r="S45" s="28"/>
      <c r="T45" s="226">
        <f t="shared" si="87"/>
        <v>0</v>
      </c>
      <c r="V45" s="338">
        <v>46055</v>
      </c>
      <c r="W45" s="26"/>
      <c r="X45" s="26"/>
      <c r="Y45" s="30"/>
      <c r="Z45" s="204"/>
      <c r="AA45" s="215"/>
      <c r="AB45" s="329"/>
      <c r="AC45" s="28"/>
      <c r="AD45" s="226">
        <f t="shared" si="88"/>
        <v>0</v>
      </c>
      <c r="AF45" s="338">
        <v>46055</v>
      </c>
      <c r="AG45" s="26"/>
      <c r="AH45" s="27"/>
      <c r="AI45" s="32"/>
      <c r="AJ45" s="204"/>
      <c r="AK45" s="88"/>
      <c r="AL45" s="328"/>
      <c r="AM45" s="335"/>
      <c r="AN45" s="226">
        <f t="shared" si="89"/>
        <v>0</v>
      </c>
      <c r="AP45" s="338">
        <v>46114</v>
      </c>
      <c r="AQ45" s="26"/>
      <c r="AR45" s="27"/>
      <c r="AS45" s="26"/>
      <c r="AT45" s="32"/>
      <c r="AU45" s="204"/>
      <c r="AV45" s="88"/>
      <c r="AW45" s="28"/>
      <c r="AX45" s="28"/>
      <c r="AY45" s="226">
        <f t="shared" si="90"/>
        <v>0</v>
      </c>
      <c r="BA45" s="338">
        <v>46055</v>
      </c>
      <c r="BB45" s="27"/>
      <c r="BC45" s="27"/>
      <c r="BD45" s="33"/>
      <c r="BE45" s="32"/>
      <c r="BF45" s="204"/>
      <c r="BG45" s="215"/>
      <c r="BH45" s="328"/>
      <c r="BI45" s="28"/>
      <c r="BJ45" s="226">
        <f t="shared" si="91"/>
        <v>0</v>
      </c>
      <c r="BL45" s="338">
        <v>46055</v>
      </c>
      <c r="BM45" s="27"/>
      <c r="BN45" s="27"/>
      <c r="BO45" s="32"/>
      <c r="BP45" s="33"/>
      <c r="BQ45" s="204"/>
      <c r="BR45" s="215"/>
      <c r="BS45" s="328"/>
      <c r="BT45" s="28"/>
      <c r="BU45" s="226">
        <f t="shared" si="92"/>
        <v>0</v>
      </c>
      <c r="BW45" s="338">
        <v>46055</v>
      </c>
      <c r="BX45" s="26"/>
      <c r="BY45" s="27"/>
      <c r="BZ45" s="34"/>
      <c r="CA45" s="204"/>
      <c r="CB45" s="88"/>
      <c r="CC45" s="328"/>
      <c r="CD45" s="335"/>
      <c r="CE45" s="226">
        <f t="shared" si="93"/>
        <v>0</v>
      </c>
      <c r="CG45" s="338">
        <v>46055</v>
      </c>
      <c r="CH45" s="26"/>
      <c r="CI45" s="27"/>
      <c r="CJ45" s="29"/>
      <c r="CK45" s="204"/>
      <c r="CL45" s="215"/>
      <c r="CM45" s="329"/>
      <c r="CN45" s="28"/>
      <c r="CO45" s="226">
        <f t="shared" si="94"/>
        <v>0</v>
      </c>
      <c r="CQ45" s="338">
        <v>46055</v>
      </c>
      <c r="CR45" s="27"/>
      <c r="CS45" s="27"/>
      <c r="CT45" s="32"/>
      <c r="CU45" s="33"/>
      <c r="CV45" s="204"/>
      <c r="CW45" s="88"/>
      <c r="CX45" s="329"/>
      <c r="CY45" s="335"/>
      <c r="CZ45" s="226">
        <f t="shared" ref="CZ45:CZ74" si="100">SUM(CU45:CY45)</f>
        <v>0</v>
      </c>
      <c r="DB45" s="338">
        <v>46055</v>
      </c>
      <c r="DC45" s="26"/>
      <c r="DD45" s="27"/>
      <c r="DE45" s="29"/>
      <c r="DF45" s="204"/>
      <c r="DG45" s="88"/>
      <c r="DH45" s="328"/>
      <c r="DI45" s="335"/>
      <c r="DJ45" s="226">
        <f t="shared" si="95"/>
        <v>0</v>
      </c>
      <c r="DL45" s="338">
        <v>46055</v>
      </c>
      <c r="DM45" s="27"/>
      <c r="DN45" s="28"/>
      <c r="DO45" s="204"/>
      <c r="DP45" s="215"/>
      <c r="DQ45" s="28"/>
      <c r="DR45" s="28"/>
      <c r="DS45" s="226">
        <f t="shared" si="96"/>
        <v>0</v>
      </c>
      <c r="DU45" s="338">
        <v>46055</v>
      </c>
      <c r="DV45" s="27"/>
      <c r="DW45" s="35"/>
      <c r="DX45" s="204"/>
      <c r="DY45" s="215"/>
      <c r="DZ45" s="28"/>
      <c r="EA45" s="28"/>
      <c r="EB45" s="226">
        <f t="shared" si="97"/>
        <v>0</v>
      </c>
      <c r="ED45" s="338">
        <v>46055</v>
      </c>
      <c r="EE45" s="27"/>
      <c r="EF45" s="36"/>
      <c r="EG45" s="204"/>
      <c r="EH45" s="215"/>
      <c r="EI45" s="28"/>
      <c r="EJ45" s="28"/>
      <c r="EK45" s="226">
        <f t="shared" si="98"/>
        <v>0</v>
      </c>
      <c r="EM45" s="338">
        <v>46055</v>
      </c>
      <c r="EN45" s="26"/>
      <c r="EO45" s="28"/>
      <c r="EP45" s="204"/>
      <c r="EQ45" s="88">
        <v>9.3857579999999974</v>
      </c>
      <c r="ER45" s="28"/>
      <c r="ES45" s="28"/>
      <c r="ET45" s="226">
        <f t="shared" si="99"/>
        <v>9.3857579999999974</v>
      </c>
    </row>
    <row r="46" spans="2:150" ht="15.75" x14ac:dyDescent="0.25">
      <c r="B46" s="338">
        <v>46056</v>
      </c>
      <c r="C46" s="26"/>
      <c r="D46" s="26"/>
      <c r="E46" s="208"/>
      <c r="F46" s="204"/>
      <c r="G46" s="88"/>
      <c r="H46" s="329"/>
      <c r="I46" s="28"/>
      <c r="J46" s="226">
        <f t="shared" si="86"/>
        <v>0</v>
      </c>
      <c r="L46" s="338">
        <v>46056</v>
      </c>
      <c r="M46" s="26"/>
      <c r="N46" s="26"/>
      <c r="O46" s="29"/>
      <c r="P46" s="204"/>
      <c r="Q46" s="88"/>
      <c r="R46" s="28"/>
      <c r="S46" s="28"/>
      <c r="T46" s="226">
        <f t="shared" si="87"/>
        <v>0</v>
      </c>
      <c r="V46" s="338">
        <v>46056</v>
      </c>
      <c r="W46" s="26"/>
      <c r="X46" s="26"/>
      <c r="Y46" s="30"/>
      <c r="Z46" s="204"/>
      <c r="AA46" s="215"/>
      <c r="AB46" s="329"/>
      <c r="AC46" s="28"/>
      <c r="AD46" s="226">
        <f t="shared" si="88"/>
        <v>0</v>
      </c>
      <c r="AF46" s="338">
        <v>46056</v>
      </c>
      <c r="AG46" s="26"/>
      <c r="AH46" s="26"/>
      <c r="AI46" s="29"/>
      <c r="AJ46" s="204"/>
      <c r="AK46" s="88"/>
      <c r="AL46" s="328"/>
      <c r="AM46" s="335"/>
      <c r="AN46" s="226">
        <f t="shared" si="89"/>
        <v>0</v>
      </c>
      <c r="AP46" s="338">
        <v>46115</v>
      </c>
      <c r="AQ46" s="26"/>
      <c r="AR46" s="27"/>
      <c r="AS46" s="26"/>
      <c r="AT46" s="32"/>
      <c r="AU46" s="204"/>
      <c r="AV46" s="88"/>
      <c r="AW46" s="28"/>
      <c r="AX46" s="28"/>
      <c r="AY46" s="226">
        <f t="shared" si="90"/>
        <v>0</v>
      </c>
      <c r="BA46" s="338">
        <v>46056</v>
      </c>
      <c r="BB46" s="27"/>
      <c r="BC46" s="27"/>
      <c r="BD46" s="33"/>
      <c r="BE46" s="29"/>
      <c r="BF46" s="204"/>
      <c r="BG46" s="215"/>
      <c r="BH46" s="328"/>
      <c r="BI46" s="28"/>
      <c r="BJ46" s="226">
        <f t="shared" si="91"/>
        <v>0</v>
      </c>
      <c r="BL46" s="338">
        <v>46056</v>
      </c>
      <c r="BM46" s="27"/>
      <c r="BN46" s="27"/>
      <c r="BO46" s="32"/>
      <c r="BP46" s="33"/>
      <c r="BQ46" s="204"/>
      <c r="BR46" s="215"/>
      <c r="BS46" s="328"/>
      <c r="BT46" s="28"/>
      <c r="BU46" s="226">
        <f t="shared" si="92"/>
        <v>0</v>
      </c>
      <c r="BW46" s="338">
        <v>46056</v>
      </c>
      <c r="BX46" s="26"/>
      <c r="BY46" s="27"/>
      <c r="BZ46" s="34"/>
      <c r="CA46" s="204"/>
      <c r="CB46" s="88"/>
      <c r="CC46" s="328"/>
      <c r="CD46" s="335"/>
      <c r="CE46" s="226">
        <f t="shared" si="93"/>
        <v>0</v>
      </c>
      <c r="CG46" s="338">
        <v>46056</v>
      </c>
      <c r="CH46" s="26"/>
      <c r="CI46" s="27"/>
      <c r="CJ46" s="29"/>
      <c r="CK46" s="204"/>
      <c r="CL46" s="215"/>
      <c r="CM46" s="329"/>
      <c r="CN46" s="28"/>
      <c r="CO46" s="226">
        <f t="shared" si="94"/>
        <v>0</v>
      </c>
      <c r="CQ46" s="338">
        <v>46056</v>
      </c>
      <c r="CR46" s="26"/>
      <c r="CS46" s="27"/>
      <c r="CT46" s="32"/>
      <c r="CU46" s="154"/>
      <c r="CV46" s="204"/>
      <c r="CW46" s="88"/>
      <c r="CX46" s="329"/>
      <c r="CY46" s="335"/>
      <c r="CZ46" s="226">
        <f>SUM(CU46:CY46)</f>
        <v>0</v>
      </c>
      <c r="DB46" s="338">
        <v>46056</v>
      </c>
      <c r="DC46" s="26"/>
      <c r="DD46" s="27"/>
      <c r="DE46" s="32"/>
      <c r="DF46" s="204"/>
      <c r="DG46" s="88"/>
      <c r="DH46" s="328"/>
      <c r="DI46" s="335"/>
      <c r="DJ46" s="226">
        <f t="shared" si="95"/>
        <v>0</v>
      </c>
      <c r="DL46" s="338">
        <v>46056</v>
      </c>
      <c r="DM46" s="27"/>
      <c r="DN46" s="28"/>
      <c r="DO46" s="204"/>
      <c r="DP46" s="215"/>
      <c r="DQ46" s="28"/>
      <c r="DR46" s="28"/>
      <c r="DS46" s="226">
        <f t="shared" si="96"/>
        <v>0</v>
      </c>
      <c r="DU46" s="338">
        <v>46056</v>
      </c>
      <c r="DV46" s="27"/>
      <c r="DW46" s="35"/>
      <c r="DX46" s="204"/>
      <c r="DY46" s="215"/>
      <c r="DZ46" s="28"/>
      <c r="EA46" s="28"/>
      <c r="EB46" s="226">
        <f t="shared" si="97"/>
        <v>0</v>
      </c>
      <c r="ED46" s="338">
        <v>46056</v>
      </c>
      <c r="EE46" s="26"/>
      <c r="EF46" s="36"/>
      <c r="EG46" s="204"/>
      <c r="EH46" s="215"/>
      <c r="EI46" s="28"/>
      <c r="EJ46" s="28"/>
      <c r="EK46" s="226">
        <f t="shared" si="98"/>
        <v>0</v>
      </c>
      <c r="EM46" s="338">
        <v>46056</v>
      </c>
      <c r="EN46" s="26"/>
      <c r="EO46" s="28"/>
      <c r="EP46" s="204"/>
      <c r="EQ46" s="88">
        <v>93.965289000000041</v>
      </c>
      <c r="ER46" s="28"/>
      <c r="ES46" s="28"/>
      <c r="ET46" s="226">
        <f t="shared" si="99"/>
        <v>93.965289000000041</v>
      </c>
    </row>
    <row r="47" spans="2:150" ht="15.75" x14ac:dyDescent="0.25">
      <c r="B47" s="338">
        <v>46057</v>
      </c>
      <c r="C47" s="26"/>
      <c r="D47" s="26"/>
      <c r="E47" s="208"/>
      <c r="F47" s="204"/>
      <c r="G47" s="88"/>
      <c r="H47" s="329"/>
      <c r="I47" s="28"/>
      <c r="J47" s="226">
        <f t="shared" si="86"/>
        <v>0</v>
      </c>
      <c r="L47" s="338">
        <v>46057</v>
      </c>
      <c r="M47" s="26"/>
      <c r="N47" s="26"/>
      <c r="O47" s="29"/>
      <c r="P47" s="204"/>
      <c r="Q47" s="88"/>
      <c r="R47" s="28"/>
      <c r="S47" s="28"/>
      <c r="T47" s="226">
        <f t="shared" si="87"/>
        <v>0</v>
      </c>
      <c r="V47" s="338">
        <v>46057</v>
      </c>
      <c r="W47" s="26"/>
      <c r="X47" s="26"/>
      <c r="Y47" s="30"/>
      <c r="Z47" s="204"/>
      <c r="AA47" s="215"/>
      <c r="AB47" s="329"/>
      <c r="AC47" s="28"/>
      <c r="AD47" s="226">
        <f t="shared" si="88"/>
        <v>0</v>
      </c>
      <c r="AF47" s="338">
        <v>46057</v>
      </c>
      <c r="AG47" s="26"/>
      <c r="AH47" s="27"/>
      <c r="AI47" s="32"/>
      <c r="AJ47" s="204"/>
      <c r="AK47" s="88"/>
      <c r="AL47" s="328"/>
      <c r="AM47" s="335"/>
      <c r="AN47" s="226">
        <f t="shared" si="89"/>
        <v>0</v>
      </c>
      <c r="AP47" s="338">
        <v>46116</v>
      </c>
      <c r="AQ47" s="26"/>
      <c r="AR47" s="26"/>
      <c r="AS47" s="26"/>
      <c r="AT47" s="32"/>
      <c r="AU47" s="204"/>
      <c r="AV47" s="88"/>
      <c r="AW47" s="28"/>
      <c r="AX47" s="28"/>
      <c r="AY47" s="226">
        <f t="shared" si="90"/>
        <v>0</v>
      </c>
      <c r="BA47" s="338">
        <v>46057</v>
      </c>
      <c r="BB47" s="27"/>
      <c r="BC47" s="27"/>
      <c r="BD47" s="33"/>
      <c r="BE47" s="32"/>
      <c r="BF47" s="204"/>
      <c r="BG47" s="215"/>
      <c r="BH47" s="328"/>
      <c r="BI47" s="28"/>
      <c r="BJ47" s="226">
        <f t="shared" si="91"/>
        <v>0</v>
      </c>
      <c r="BL47" s="338">
        <v>46057</v>
      </c>
      <c r="BM47" s="27"/>
      <c r="BN47" s="27"/>
      <c r="BO47" s="32"/>
      <c r="BP47" s="33"/>
      <c r="BQ47" s="204"/>
      <c r="BR47" s="215"/>
      <c r="BS47" s="328"/>
      <c r="BT47" s="28"/>
      <c r="BU47" s="226">
        <f t="shared" si="92"/>
        <v>0</v>
      </c>
      <c r="BW47" s="338">
        <v>46057</v>
      </c>
      <c r="BX47" s="26"/>
      <c r="BY47" s="27"/>
      <c r="BZ47" s="37"/>
      <c r="CA47" s="204"/>
      <c r="CB47" s="88"/>
      <c r="CC47" s="328"/>
      <c r="CD47" s="335"/>
      <c r="CE47" s="226">
        <f t="shared" si="93"/>
        <v>0</v>
      </c>
      <c r="CG47" s="338">
        <v>46057</v>
      </c>
      <c r="CH47" s="26"/>
      <c r="CI47" s="27"/>
      <c r="CJ47" s="29"/>
      <c r="CK47" s="204"/>
      <c r="CL47" s="215"/>
      <c r="CM47" s="329"/>
      <c r="CN47" s="28"/>
      <c r="CO47" s="226">
        <f t="shared" si="94"/>
        <v>0</v>
      </c>
      <c r="CQ47" s="338">
        <v>46057</v>
      </c>
      <c r="CR47" s="27"/>
      <c r="CS47" s="27"/>
      <c r="CT47" s="29"/>
      <c r="CU47" s="154"/>
      <c r="CV47" s="204"/>
      <c r="CW47" s="88"/>
      <c r="CX47" s="329"/>
      <c r="CY47" s="335"/>
      <c r="CZ47" s="226">
        <f>SUM(CU47:CY47)</f>
        <v>0</v>
      </c>
      <c r="DB47" s="338">
        <v>46057</v>
      </c>
      <c r="DC47" s="26"/>
      <c r="DD47" s="27"/>
      <c r="DE47" s="32"/>
      <c r="DF47" s="204"/>
      <c r="DG47" s="88"/>
      <c r="DH47" s="328"/>
      <c r="DI47" s="335"/>
      <c r="DJ47" s="226">
        <f t="shared" si="95"/>
        <v>0</v>
      </c>
      <c r="DL47" s="338">
        <v>46057</v>
      </c>
      <c r="DM47" s="27"/>
      <c r="DN47" s="28"/>
      <c r="DO47" s="204"/>
      <c r="DP47" s="215"/>
      <c r="DQ47" s="28"/>
      <c r="DR47" s="28"/>
      <c r="DS47" s="226">
        <f t="shared" si="96"/>
        <v>0</v>
      </c>
      <c r="DU47" s="338">
        <v>46057</v>
      </c>
      <c r="DV47" s="27"/>
      <c r="DW47" s="35"/>
      <c r="DX47" s="204"/>
      <c r="DY47" s="215"/>
      <c r="DZ47" s="28"/>
      <c r="EA47" s="28"/>
      <c r="EB47" s="226">
        <f t="shared" si="97"/>
        <v>0</v>
      </c>
      <c r="ED47" s="338">
        <v>46057</v>
      </c>
      <c r="EE47" s="26"/>
      <c r="EF47" s="36"/>
      <c r="EG47" s="204"/>
      <c r="EH47" s="215"/>
      <c r="EI47" s="28"/>
      <c r="EJ47" s="28"/>
      <c r="EK47" s="226">
        <f t="shared" si="98"/>
        <v>0</v>
      </c>
      <c r="EM47" s="338">
        <v>46057</v>
      </c>
      <c r="EN47" s="26"/>
      <c r="EO47" s="28"/>
      <c r="EP47" s="204"/>
      <c r="EQ47" s="88">
        <v>45.824747999999957</v>
      </c>
      <c r="ER47" s="28"/>
      <c r="ES47" s="28"/>
      <c r="ET47" s="226">
        <f t="shared" si="99"/>
        <v>45.824747999999957</v>
      </c>
    </row>
    <row r="48" spans="2:150" ht="15.75" x14ac:dyDescent="0.25">
      <c r="B48" s="338">
        <v>46058</v>
      </c>
      <c r="C48" s="26"/>
      <c r="D48" s="27"/>
      <c r="E48" s="208"/>
      <c r="F48" s="204"/>
      <c r="G48" s="88"/>
      <c r="H48" s="329"/>
      <c r="I48" s="28"/>
      <c r="J48" s="226">
        <f t="shared" si="86"/>
        <v>0</v>
      </c>
      <c r="L48" s="338">
        <v>46058</v>
      </c>
      <c r="M48" s="26"/>
      <c r="N48" s="26"/>
      <c r="O48" s="29"/>
      <c r="P48" s="204"/>
      <c r="Q48" s="88"/>
      <c r="R48" s="28"/>
      <c r="S48" s="28"/>
      <c r="T48" s="226">
        <f t="shared" si="87"/>
        <v>0</v>
      </c>
      <c r="V48" s="338">
        <v>46058</v>
      </c>
      <c r="W48" s="26"/>
      <c r="X48" s="26"/>
      <c r="Y48" s="30"/>
      <c r="Z48" s="204"/>
      <c r="AA48" s="215"/>
      <c r="AB48" s="329"/>
      <c r="AC48" s="28"/>
      <c r="AD48" s="226">
        <f t="shared" si="88"/>
        <v>0</v>
      </c>
      <c r="AF48" s="338">
        <v>46058</v>
      </c>
      <c r="AG48" s="26"/>
      <c r="AH48" s="26"/>
      <c r="AI48" s="32"/>
      <c r="AJ48" s="204"/>
      <c r="AK48" s="88"/>
      <c r="AL48" s="328"/>
      <c r="AM48" s="335"/>
      <c r="AN48" s="226">
        <f t="shared" si="89"/>
        <v>0</v>
      </c>
      <c r="AP48" s="338">
        <v>46117</v>
      </c>
      <c r="AQ48" s="26"/>
      <c r="AR48" s="26"/>
      <c r="AS48" s="26"/>
      <c r="AT48" s="32"/>
      <c r="AU48" s="204"/>
      <c r="AV48" s="88"/>
      <c r="AW48" s="28"/>
      <c r="AX48" s="28"/>
      <c r="AY48" s="226">
        <f t="shared" si="90"/>
        <v>0</v>
      </c>
      <c r="BA48" s="338">
        <v>46058</v>
      </c>
      <c r="BB48" s="26"/>
      <c r="BC48" s="27"/>
      <c r="BD48" s="33"/>
      <c r="BE48" s="32"/>
      <c r="BF48" s="204"/>
      <c r="BG48" s="215"/>
      <c r="BH48" s="328"/>
      <c r="BI48" s="28"/>
      <c r="BJ48" s="226">
        <f t="shared" si="91"/>
        <v>0</v>
      </c>
      <c r="BL48" s="338">
        <v>46058</v>
      </c>
      <c r="BM48" s="27"/>
      <c r="BN48" s="27"/>
      <c r="BO48" s="32"/>
      <c r="BP48" s="33"/>
      <c r="BQ48" s="204"/>
      <c r="BR48" s="215"/>
      <c r="BS48" s="328"/>
      <c r="BT48" s="28"/>
      <c r="BU48" s="226">
        <f t="shared" si="92"/>
        <v>0</v>
      </c>
      <c r="BW48" s="338">
        <v>46058</v>
      </c>
      <c r="BX48" s="26"/>
      <c r="BY48" s="27"/>
      <c r="BZ48" s="37"/>
      <c r="CA48" s="204"/>
      <c r="CB48" s="88"/>
      <c r="CC48" s="328"/>
      <c r="CD48" s="335"/>
      <c r="CE48" s="226">
        <f t="shared" si="93"/>
        <v>0</v>
      </c>
      <c r="CG48" s="338">
        <v>46058</v>
      </c>
      <c r="CH48" s="26"/>
      <c r="CI48" s="27"/>
      <c r="CJ48" s="29"/>
      <c r="CK48" s="204"/>
      <c r="CL48" s="215"/>
      <c r="CM48" s="329"/>
      <c r="CN48" s="28"/>
      <c r="CO48" s="226">
        <f t="shared" si="94"/>
        <v>0</v>
      </c>
      <c r="CQ48" s="338">
        <v>46058</v>
      </c>
      <c r="CR48" s="26"/>
      <c r="CS48" s="27"/>
      <c r="CT48" s="32"/>
      <c r="CU48" s="33"/>
      <c r="CV48" s="204"/>
      <c r="CW48" s="88"/>
      <c r="CX48" s="329"/>
      <c r="CY48" s="335"/>
      <c r="CZ48" s="226">
        <f>SUM(CU48:CY48)</f>
        <v>0</v>
      </c>
      <c r="DB48" s="338">
        <v>46058</v>
      </c>
      <c r="DC48" s="26"/>
      <c r="DD48" s="27"/>
      <c r="DE48" s="32"/>
      <c r="DF48" s="204"/>
      <c r="DG48" s="88"/>
      <c r="DH48" s="328"/>
      <c r="DI48" s="335"/>
      <c r="DJ48" s="226">
        <f t="shared" si="95"/>
        <v>0</v>
      </c>
      <c r="DL48" s="338">
        <v>46058</v>
      </c>
      <c r="DM48" s="27"/>
      <c r="DN48" s="28"/>
      <c r="DO48" s="204"/>
      <c r="DP48" s="215"/>
      <c r="DQ48" s="28"/>
      <c r="DR48" s="28"/>
      <c r="DS48" s="226">
        <f t="shared" si="96"/>
        <v>0</v>
      </c>
      <c r="DU48" s="338">
        <v>46058</v>
      </c>
      <c r="DV48" s="27"/>
      <c r="DW48" s="35"/>
      <c r="DX48" s="204"/>
      <c r="DY48" s="215"/>
      <c r="DZ48" s="28"/>
      <c r="EA48" s="28"/>
      <c r="EB48" s="226">
        <f t="shared" si="97"/>
        <v>0</v>
      </c>
      <c r="ED48" s="338">
        <v>46058</v>
      </c>
      <c r="EE48" s="26"/>
      <c r="EF48" s="36"/>
      <c r="EG48" s="204"/>
      <c r="EH48" s="215"/>
      <c r="EI48" s="28"/>
      <c r="EJ48" s="28"/>
      <c r="EK48" s="226">
        <f t="shared" si="98"/>
        <v>0</v>
      </c>
      <c r="EM48" s="338">
        <v>46058</v>
      </c>
      <c r="EN48" s="26"/>
      <c r="EO48" s="28"/>
      <c r="EP48" s="204"/>
      <c r="EQ48" s="88">
        <v>61.656041999999992</v>
      </c>
      <c r="ER48" s="28"/>
      <c r="ES48" s="28"/>
      <c r="ET48" s="226">
        <f t="shared" si="99"/>
        <v>61.656041999999992</v>
      </c>
    </row>
    <row r="49" spans="2:150" ht="15.75" x14ac:dyDescent="0.25">
      <c r="B49" s="338">
        <v>46059</v>
      </c>
      <c r="C49" s="26"/>
      <c r="D49" s="26"/>
      <c r="E49" s="208"/>
      <c r="F49" s="204"/>
      <c r="G49" s="88"/>
      <c r="H49" s="329"/>
      <c r="I49" s="28"/>
      <c r="J49" s="226">
        <f t="shared" si="86"/>
        <v>0</v>
      </c>
      <c r="L49" s="338">
        <v>46059</v>
      </c>
      <c r="M49" s="26"/>
      <c r="N49" s="26"/>
      <c r="O49" s="29"/>
      <c r="P49" s="204"/>
      <c r="Q49" s="88"/>
      <c r="R49" s="28"/>
      <c r="S49" s="28"/>
      <c r="T49" s="226">
        <f t="shared" si="87"/>
        <v>0</v>
      </c>
      <c r="V49" s="338">
        <v>46059</v>
      </c>
      <c r="W49" s="26"/>
      <c r="X49" s="26"/>
      <c r="Y49" s="30"/>
      <c r="Z49" s="204"/>
      <c r="AA49" s="215"/>
      <c r="AB49" s="329"/>
      <c r="AC49" s="28"/>
      <c r="AD49" s="226">
        <f t="shared" si="88"/>
        <v>0</v>
      </c>
      <c r="AF49" s="338">
        <v>46059</v>
      </c>
      <c r="AG49" s="26"/>
      <c r="AH49" s="27"/>
      <c r="AI49" s="29"/>
      <c r="AJ49" s="204"/>
      <c r="AK49" s="88"/>
      <c r="AL49" s="328"/>
      <c r="AM49" s="335"/>
      <c r="AN49" s="226">
        <f t="shared" si="89"/>
        <v>0</v>
      </c>
      <c r="AP49" s="338">
        <v>46118</v>
      </c>
      <c r="AQ49" s="26"/>
      <c r="AR49" s="27"/>
      <c r="AS49" s="26"/>
      <c r="AT49" s="32"/>
      <c r="AU49" s="204"/>
      <c r="AV49" s="88"/>
      <c r="AW49" s="28"/>
      <c r="AX49" s="28"/>
      <c r="AY49" s="226">
        <f t="shared" si="90"/>
        <v>0</v>
      </c>
      <c r="BA49" s="338">
        <v>46059</v>
      </c>
      <c r="BB49" s="26"/>
      <c r="BC49" s="27"/>
      <c r="BD49" s="33"/>
      <c r="BE49" s="32"/>
      <c r="BF49" s="204"/>
      <c r="BG49" s="215"/>
      <c r="BH49" s="328"/>
      <c r="BI49" s="28"/>
      <c r="BJ49" s="226">
        <f t="shared" si="91"/>
        <v>0</v>
      </c>
      <c r="BL49" s="338">
        <v>46059</v>
      </c>
      <c r="BM49" s="27"/>
      <c r="BN49" s="27"/>
      <c r="BO49" s="29"/>
      <c r="BP49" s="33"/>
      <c r="BQ49" s="204"/>
      <c r="BR49" s="215"/>
      <c r="BS49" s="328"/>
      <c r="BT49" s="28"/>
      <c r="BU49" s="226">
        <f t="shared" si="92"/>
        <v>0</v>
      </c>
      <c r="BW49" s="338">
        <v>46059</v>
      </c>
      <c r="BX49" s="26"/>
      <c r="BY49" s="27"/>
      <c r="BZ49" s="34"/>
      <c r="CA49" s="204"/>
      <c r="CB49" s="88"/>
      <c r="CC49" s="328"/>
      <c r="CD49" s="335"/>
      <c r="CE49" s="226">
        <f t="shared" si="93"/>
        <v>0</v>
      </c>
      <c r="CG49" s="338">
        <v>46059</v>
      </c>
      <c r="CH49" s="26"/>
      <c r="CI49" s="27"/>
      <c r="CJ49" s="29"/>
      <c r="CK49" s="204"/>
      <c r="CL49" s="215"/>
      <c r="CM49" s="329"/>
      <c r="CN49" s="28"/>
      <c r="CO49" s="226">
        <f t="shared" si="94"/>
        <v>0</v>
      </c>
      <c r="CQ49" s="338">
        <v>46059</v>
      </c>
      <c r="CR49" s="27"/>
      <c r="CS49" s="27"/>
      <c r="CT49" s="32"/>
      <c r="CU49" s="154"/>
      <c r="CV49" s="204"/>
      <c r="CW49" s="88"/>
      <c r="CX49" s="329"/>
      <c r="CY49" s="335"/>
      <c r="CZ49" s="226">
        <f t="shared" si="100"/>
        <v>0</v>
      </c>
      <c r="DB49" s="338">
        <v>46059</v>
      </c>
      <c r="DC49" s="26"/>
      <c r="DD49" s="27"/>
      <c r="DE49" s="32"/>
      <c r="DF49" s="204"/>
      <c r="DG49" s="88"/>
      <c r="DH49" s="328"/>
      <c r="DI49" s="335"/>
      <c r="DJ49" s="226">
        <f t="shared" si="95"/>
        <v>0</v>
      </c>
      <c r="DL49" s="338">
        <v>46059</v>
      </c>
      <c r="DM49" s="27"/>
      <c r="DN49" s="28"/>
      <c r="DO49" s="204"/>
      <c r="DP49" s="215"/>
      <c r="DQ49" s="28"/>
      <c r="DR49" s="28"/>
      <c r="DS49" s="226">
        <f t="shared" si="96"/>
        <v>0</v>
      </c>
      <c r="DU49" s="338">
        <v>46059</v>
      </c>
      <c r="DV49" s="27"/>
      <c r="DW49" s="35"/>
      <c r="DX49" s="204"/>
      <c r="DY49" s="215"/>
      <c r="DZ49" s="28"/>
      <c r="EA49" s="28"/>
      <c r="EB49" s="226">
        <f t="shared" si="97"/>
        <v>0</v>
      </c>
      <c r="ED49" s="338">
        <v>46059</v>
      </c>
      <c r="EE49" s="26"/>
      <c r="EF49" s="36"/>
      <c r="EG49" s="204"/>
      <c r="EH49" s="215"/>
      <c r="EI49" s="28"/>
      <c r="EJ49" s="28"/>
      <c r="EK49" s="226">
        <f t="shared" si="98"/>
        <v>0</v>
      </c>
      <c r="EM49" s="338">
        <v>46059</v>
      </c>
      <c r="EN49" s="26"/>
      <c r="EO49" s="28"/>
      <c r="EP49" s="204"/>
      <c r="EQ49" s="88">
        <v>54.393618000000011</v>
      </c>
      <c r="ER49" s="28"/>
      <c r="ES49" s="28"/>
      <c r="ET49" s="226">
        <f t="shared" si="99"/>
        <v>54.393618000000011</v>
      </c>
    </row>
    <row r="50" spans="2:150" ht="15.75" x14ac:dyDescent="0.25">
      <c r="B50" s="338">
        <v>46060</v>
      </c>
      <c r="C50" s="26"/>
      <c r="D50" s="26"/>
      <c r="E50" s="208"/>
      <c r="F50" s="204"/>
      <c r="G50" s="88"/>
      <c r="H50" s="329"/>
      <c r="I50" s="28"/>
      <c r="J50" s="226">
        <f t="shared" si="86"/>
        <v>0</v>
      </c>
      <c r="L50" s="338">
        <v>46060</v>
      </c>
      <c r="M50" s="26"/>
      <c r="N50" s="26"/>
      <c r="O50" s="29"/>
      <c r="P50" s="204"/>
      <c r="Q50" s="88"/>
      <c r="R50" s="28"/>
      <c r="S50" s="28"/>
      <c r="T50" s="226">
        <f t="shared" si="87"/>
        <v>0</v>
      </c>
      <c r="V50" s="338">
        <v>46060</v>
      </c>
      <c r="W50" s="26"/>
      <c r="X50" s="26"/>
      <c r="Y50" s="30"/>
      <c r="Z50" s="204"/>
      <c r="AA50" s="215"/>
      <c r="AB50" s="329"/>
      <c r="AC50" s="28"/>
      <c r="AD50" s="226">
        <f t="shared" si="88"/>
        <v>0</v>
      </c>
      <c r="AF50" s="338">
        <v>46060</v>
      </c>
      <c r="AG50" s="26"/>
      <c r="AH50" s="27"/>
      <c r="AI50" s="32"/>
      <c r="AJ50" s="204"/>
      <c r="AK50" s="88"/>
      <c r="AL50" s="328"/>
      <c r="AM50" s="335"/>
      <c r="AN50" s="226">
        <f t="shared" si="89"/>
        <v>0</v>
      </c>
      <c r="AP50" s="338">
        <v>46119</v>
      </c>
      <c r="AQ50" s="26"/>
      <c r="AR50" s="27"/>
      <c r="AS50" s="26"/>
      <c r="AT50" s="32"/>
      <c r="AU50" s="204"/>
      <c r="AV50" s="88"/>
      <c r="AW50" s="28"/>
      <c r="AX50" s="28"/>
      <c r="AY50" s="226">
        <f t="shared" si="90"/>
        <v>0</v>
      </c>
      <c r="BA50" s="338">
        <v>46060</v>
      </c>
      <c r="BB50" s="26"/>
      <c r="BC50" s="27"/>
      <c r="BD50" s="33"/>
      <c r="BE50" s="29"/>
      <c r="BF50" s="204"/>
      <c r="BG50" s="215"/>
      <c r="BH50" s="328"/>
      <c r="BI50" s="28"/>
      <c r="BJ50" s="226">
        <f t="shared" si="91"/>
        <v>0</v>
      </c>
      <c r="BL50" s="338">
        <v>46060</v>
      </c>
      <c r="BM50" s="27"/>
      <c r="BN50" s="27"/>
      <c r="BO50" s="29"/>
      <c r="BP50" s="33"/>
      <c r="BQ50" s="204"/>
      <c r="BR50" s="215"/>
      <c r="BS50" s="328"/>
      <c r="BT50" s="28"/>
      <c r="BU50" s="226">
        <f t="shared" si="92"/>
        <v>0</v>
      </c>
      <c r="BW50" s="338">
        <v>46060</v>
      </c>
      <c r="BX50" s="26"/>
      <c r="BY50" s="27"/>
      <c r="BZ50" s="37"/>
      <c r="CA50" s="204"/>
      <c r="CB50" s="88"/>
      <c r="CC50" s="328"/>
      <c r="CD50" s="335"/>
      <c r="CE50" s="226">
        <f t="shared" si="93"/>
        <v>0</v>
      </c>
      <c r="CG50" s="338">
        <v>46060</v>
      </c>
      <c r="CH50" s="26"/>
      <c r="CI50" s="26"/>
      <c r="CJ50" s="29"/>
      <c r="CK50" s="204"/>
      <c r="CL50" s="215"/>
      <c r="CM50" s="329"/>
      <c r="CN50" s="28"/>
      <c r="CO50" s="226">
        <f t="shared" si="94"/>
        <v>0</v>
      </c>
      <c r="CQ50" s="338">
        <v>46060</v>
      </c>
      <c r="CR50" s="27"/>
      <c r="CS50" s="27"/>
      <c r="CT50" s="32"/>
      <c r="CU50" s="33"/>
      <c r="CV50" s="204"/>
      <c r="CW50" s="88"/>
      <c r="CX50" s="329"/>
      <c r="CY50" s="335"/>
      <c r="CZ50" s="226">
        <f t="shared" si="100"/>
        <v>0</v>
      </c>
      <c r="DA50" s="228"/>
      <c r="DB50" s="338">
        <v>46060</v>
      </c>
      <c r="DC50" s="26"/>
      <c r="DD50" s="27"/>
      <c r="DE50" s="29"/>
      <c r="DF50" s="204"/>
      <c r="DG50" s="88"/>
      <c r="DH50" s="328"/>
      <c r="DI50" s="335"/>
      <c r="DJ50" s="226">
        <f t="shared" si="95"/>
        <v>0</v>
      </c>
      <c r="DL50" s="338">
        <v>46060</v>
      </c>
      <c r="DM50" s="27"/>
      <c r="DN50" s="28"/>
      <c r="DO50" s="204"/>
      <c r="DP50" s="215"/>
      <c r="DQ50" s="28"/>
      <c r="DR50" s="28"/>
      <c r="DS50" s="226">
        <f t="shared" si="96"/>
        <v>0</v>
      </c>
      <c r="DU50" s="338">
        <v>46060</v>
      </c>
      <c r="DV50" s="27"/>
      <c r="DW50" s="35"/>
      <c r="DX50" s="204"/>
      <c r="DY50" s="215"/>
      <c r="DZ50" s="28"/>
      <c r="EA50" s="28"/>
      <c r="EB50" s="226">
        <f t="shared" si="97"/>
        <v>0</v>
      </c>
      <c r="ED50" s="338">
        <v>46060</v>
      </c>
      <c r="EE50" s="26"/>
      <c r="EF50" s="36"/>
      <c r="EG50" s="204"/>
      <c r="EH50" s="215"/>
      <c r="EI50" s="28"/>
      <c r="EJ50" s="28"/>
      <c r="EK50" s="226">
        <f t="shared" si="98"/>
        <v>0</v>
      </c>
      <c r="EM50" s="338">
        <v>46060</v>
      </c>
      <c r="EN50" s="26"/>
      <c r="EO50" s="28"/>
      <c r="EP50" s="204"/>
      <c r="EQ50" s="88">
        <v>53.678268000000045</v>
      </c>
      <c r="ER50" s="28"/>
      <c r="ES50" s="28"/>
      <c r="ET50" s="226">
        <f t="shared" si="99"/>
        <v>53.678268000000045</v>
      </c>
    </row>
    <row r="51" spans="2:150" ht="15.75" x14ac:dyDescent="0.25">
      <c r="B51" s="338">
        <v>46061</v>
      </c>
      <c r="C51" s="26"/>
      <c r="D51" s="26"/>
      <c r="E51" s="208"/>
      <c r="F51" s="204"/>
      <c r="G51" s="88"/>
      <c r="H51" s="329"/>
      <c r="I51" s="28"/>
      <c r="J51" s="226">
        <f t="shared" si="86"/>
        <v>0</v>
      </c>
      <c r="L51" s="338">
        <v>46061</v>
      </c>
      <c r="M51" s="26"/>
      <c r="N51" s="26"/>
      <c r="O51" s="29"/>
      <c r="P51" s="204"/>
      <c r="Q51" s="88"/>
      <c r="R51" s="28"/>
      <c r="S51" s="28"/>
      <c r="T51" s="226">
        <f t="shared" si="87"/>
        <v>0</v>
      </c>
      <c r="V51" s="338">
        <v>46061</v>
      </c>
      <c r="W51" s="26"/>
      <c r="X51" s="26"/>
      <c r="Y51" s="30"/>
      <c r="Z51" s="204"/>
      <c r="AA51" s="215"/>
      <c r="AB51" s="329"/>
      <c r="AC51" s="28"/>
      <c r="AD51" s="226">
        <f t="shared" si="88"/>
        <v>0</v>
      </c>
      <c r="AF51" s="338">
        <v>46061</v>
      </c>
      <c r="AG51" s="26"/>
      <c r="AH51" s="27"/>
      <c r="AI51" s="29"/>
      <c r="AJ51" s="204"/>
      <c r="AK51" s="88"/>
      <c r="AL51" s="328"/>
      <c r="AM51" s="335"/>
      <c r="AN51" s="226">
        <f t="shared" si="89"/>
        <v>0</v>
      </c>
      <c r="AP51" s="338">
        <v>46120</v>
      </c>
      <c r="AQ51" s="26"/>
      <c r="AR51" s="27"/>
      <c r="AS51" s="26"/>
      <c r="AT51" s="32"/>
      <c r="AU51" s="204"/>
      <c r="AV51" s="88"/>
      <c r="AW51" s="28"/>
      <c r="AX51" s="28"/>
      <c r="AY51" s="226">
        <f t="shared" si="90"/>
        <v>0</v>
      </c>
      <c r="BA51" s="338">
        <v>46061</v>
      </c>
      <c r="BB51" s="26"/>
      <c r="BC51" s="27"/>
      <c r="BD51" s="33"/>
      <c r="BE51" s="32"/>
      <c r="BF51" s="204"/>
      <c r="BG51" s="215"/>
      <c r="BH51" s="328"/>
      <c r="BI51" s="28"/>
      <c r="BJ51" s="226">
        <f t="shared" si="91"/>
        <v>0</v>
      </c>
      <c r="BL51" s="338">
        <v>46061</v>
      </c>
      <c r="BM51" s="27"/>
      <c r="BN51" s="27"/>
      <c r="BO51" s="32"/>
      <c r="BP51" s="33"/>
      <c r="BQ51" s="204"/>
      <c r="BR51" s="215"/>
      <c r="BS51" s="328"/>
      <c r="BT51" s="28"/>
      <c r="BU51" s="226">
        <f t="shared" si="92"/>
        <v>0</v>
      </c>
      <c r="BW51" s="338">
        <v>46061</v>
      </c>
      <c r="BX51" s="26"/>
      <c r="BY51" s="27"/>
      <c r="BZ51" s="34"/>
      <c r="CA51" s="204"/>
      <c r="CB51" s="88"/>
      <c r="CC51" s="328"/>
      <c r="CD51" s="335"/>
      <c r="CE51" s="226">
        <f t="shared" si="93"/>
        <v>0</v>
      </c>
      <c r="CG51" s="338">
        <v>46061</v>
      </c>
      <c r="CH51" s="26"/>
      <c r="CI51" s="27"/>
      <c r="CJ51" s="29"/>
      <c r="CK51" s="204"/>
      <c r="CL51" s="215"/>
      <c r="CM51" s="329"/>
      <c r="CN51" s="28"/>
      <c r="CO51" s="226">
        <f t="shared" si="94"/>
        <v>0</v>
      </c>
      <c r="CQ51" s="338">
        <v>46061</v>
      </c>
      <c r="CR51" s="27"/>
      <c r="CS51" s="27"/>
      <c r="CT51" s="32"/>
      <c r="CU51" s="33"/>
      <c r="CV51" s="204"/>
      <c r="CW51" s="88"/>
      <c r="CX51" s="329"/>
      <c r="CY51" s="335"/>
      <c r="CZ51" s="226">
        <f t="shared" si="100"/>
        <v>0</v>
      </c>
      <c r="DA51" s="228"/>
      <c r="DB51" s="338">
        <v>46061</v>
      </c>
      <c r="DC51" s="26"/>
      <c r="DD51" s="27"/>
      <c r="DE51" s="32"/>
      <c r="DF51" s="204"/>
      <c r="DG51" s="88"/>
      <c r="DH51" s="328"/>
      <c r="DI51" s="335"/>
      <c r="DJ51" s="226">
        <f t="shared" si="95"/>
        <v>0</v>
      </c>
      <c r="DL51" s="338">
        <v>46061</v>
      </c>
      <c r="DM51" s="27"/>
      <c r="DN51" s="28"/>
      <c r="DO51" s="204"/>
      <c r="DP51" s="215"/>
      <c r="DQ51" s="28"/>
      <c r="DR51" s="28"/>
      <c r="DS51" s="226">
        <f t="shared" si="96"/>
        <v>0</v>
      </c>
      <c r="DU51" s="338">
        <v>46061</v>
      </c>
      <c r="DV51" s="27"/>
      <c r="DW51" s="35"/>
      <c r="DX51" s="204"/>
      <c r="DY51" s="215"/>
      <c r="DZ51" s="28"/>
      <c r="EA51" s="28"/>
      <c r="EB51" s="226">
        <f t="shared" si="97"/>
        <v>0</v>
      </c>
      <c r="ED51" s="338">
        <v>46061</v>
      </c>
      <c r="EE51" s="26"/>
      <c r="EF51" s="36"/>
      <c r="EG51" s="204"/>
      <c r="EH51" s="215"/>
      <c r="EI51" s="28"/>
      <c r="EJ51" s="28"/>
      <c r="EK51" s="226">
        <f t="shared" si="98"/>
        <v>0</v>
      </c>
      <c r="EM51" s="338">
        <v>46061</v>
      </c>
      <c r="EN51" s="26"/>
      <c r="EO51" s="28"/>
      <c r="EP51" s="204"/>
      <c r="EQ51" s="88">
        <v>113.62974899999999</v>
      </c>
      <c r="ER51" s="28"/>
      <c r="ES51" s="28"/>
      <c r="ET51" s="226">
        <f t="shared" si="99"/>
        <v>113.62974899999999</v>
      </c>
    </row>
    <row r="52" spans="2:150" ht="15.75" x14ac:dyDescent="0.25">
      <c r="B52" s="338">
        <v>46062</v>
      </c>
      <c r="C52" s="26"/>
      <c r="D52" s="26"/>
      <c r="E52" s="208"/>
      <c r="F52" s="204"/>
      <c r="G52" s="88"/>
      <c r="H52" s="329"/>
      <c r="I52" s="28"/>
      <c r="J52" s="226">
        <f t="shared" si="86"/>
        <v>0</v>
      </c>
      <c r="L52" s="338">
        <v>46062</v>
      </c>
      <c r="M52" s="26"/>
      <c r="N52" s="26"/>
      <c r="O52" s="29"/>
      <c r="P52" s="204"/>
      <c r="Q52" s="88"/>
      <c r="R52" s="28"/>
      <c r="S52" s="28"/>
      <c r="T52" s="226">
        <f t="shared" si="87"/>
        <v>0</v>
      </c>
      <c r="V52" s="338">
        <v>46062</v>
      </c>
      <c r="W52" s="26"/>
      <c r="X52" s="26"/>
      <c r="Y52" s="30"/>
      <c r="Z52" s="204"/>
      <c r="AA52" s="215"/>
      <c r="AB52" s="329"/>
      <c r="AC52" s="28"/>
      <c r="AD52" s="226">
        <f t="shared" si="88"/>
        <v>0</v>
      </c>
      <c r="AF52" s="338">
        <v>46062</v>
      </c>
      <c r="AG52" s="26"/>
      <c r="AH52" s="27"/>
      <c r="AI52" s="32"/>
      <c r="AJ52" s="204"/>
      <c r="AK52" s="88"/>
      <c r="AL52" s="328"/>
      <c r="AM52" s="335"/>
      <c r="AN52" s="226">
        <f t="shared" si="89"/>
        <v>0</v>
      </c>
      <c r="AP52" s="338">
        <v>46121</v>
      </c>
      <c r="AQ52" s="26"/>
      <c r="AR52" s="26"/>
      <c r="AS52" s="26"/>
      <c r="AT52" s="29"/>
      <c r="AU52" s="204"/>
      <c r="AV52" s="88"/>
      <c r="AW52" s="28"/>
      <c r="AX52" s="28"/>
      <c r="AY52" s="226">
        <f t="shared" si="90"/>
        <v>0</v>
      </c>
      <c r="BA52" s="338">
        <v>46062</v>
      </c>
      <c r="BB52" s="26"/>
      <c r="BC52" s="27"/>
      <c r="BD52" s="33"/>
      <c r="BE52" s="32"/>
      <c r="BF52" s="204"/>
      <c r="BG52" s="215"/>
      <c r="BH52" s="328"/>
      <c r="BI52" s="28"/>
      <c r="BJ52" s="226">
        <f t="shared" si="91"/>
        <v>0</v>
      </c>
      <c r="BL52" s="338">
        <v>46062</v>
      </c>
      <c r="BM52" s="27"/>
      <c r="BN52" s="27"/>
      <c r="BO52" s="29"/>
      <c r="BP52" s="33"/>
      <c r="BQ52" s="204"/>
      <c r="BR52" s="215"/>
      <c r="BS52" s="328"/>
      <c r="BT52" s="28"/>
      <c r="BU52" s="226">
        <f t="shared" si="92"/>
        <v>0</v>
      </c>
      <c r="BW52" s="338">
        <v>46062</v>
      </c>
      <c r="BX52" s="26"/>
      <c r="BY52" s="27"/>
      <c r="BZ52" s="37"/>
      <c r="CA52" s="204"/>
      <c r="CB52" s="88"/>
      <c r="CC52" s="328"/>
      <c r="CD52" s="335"/>
      <c r="CE52" s="226">
        <f t="shared" si="93"/>
        <v>0</v>
      </c>
      <c r="CG52" s="338">
        <v>46062</v>
      </c>
      <c r="CH52" s="26"/>
      <c r="CI52" s="27"/>
      <c r="CJ52" s="29"/>
      <c r="CK52" s="204"/>
      <c r="CL52" s="215"/>
      <c r="CM52" s="329"/>
      <c r="CN52" s="28"/>
      <c r="CO52" s="226">
        <f t="shared" si="94"/>
        <v>0</v>
      </c>
      <c r="CQ52" s="338">
        <v>46062</v>
      </c>
      <c r="CR52" s="27"/>
      <c r="CS52" s="27"/>
      <c r="CT52" s="32"/>
      <c r="CU52" s="33"/>
      <c r="CV52" s="204"/>
      <c r="CW52" s="88"/>
      <c r="CX52" s="329"/>
      <c r="CY52" s="335"/>
      <c r="CZ52" s="226">
        <f t="shared" si="100"/>
        <v>0</v>
      </c>
      <c r="DA52" s="228"/>
      <c r="DB52" s="338">
        <v>46062</v>
      </c>
      <c r="DC52" s="26"/>
      <c r="DD52" s="27"/>
      <c r="DE52" s="32"/>
      <c r="DF52" s="204"/>
      <c r="DG52" s="88"/>
      <c r="DH52" s="328"/>
      <c r="DI52" s="335"/>
      <c r="DJ52" s="226">
        <f t="shared" si="95"/>
        <v>0</v>
      </c>
      <c r="DL52" s="338">
        <v>46062</v>
      </c>
      <c r="DM52" s="27"/>
      <c r="DN52" s="28"/>
      <c r="DO52" s="204"/>
      <c r="DP52" s="215"/>
      <c r="DQ52" s="28"/>
      <c r="DR52" s="28"/>
      <c r="DS52" s="226">
        <f t="shared" si="96"/>
        <v>0</v>
      </c>
      <c r="DU52" s="338">
        <v>46062</v>
      </c>
      <c r="DV52" s="27"/>
      <c r="DW52" s="35"/>
      <c r="DX52" s="204"/>
      <c r="DY52" s="215"/>
      <c r="DZ52" s="28"/>
      <c r="EA52" s="28"/>
      <c r="EB52" s="226">
        <f t="shared" si="97"/>
        <v>0</v>
      </c>
      <c r="ED52" s="338">
        <v>46062</v>
      </c>
      <c r="EE52" s="26"/>
      <c r="EF52" s="36"/>
      <c r="EG52" s="204"/>
      <c r="EH52" s="215"/>
      <c r="EI52" s="28"/>
      <c r="EJ52" s="28"/>
      <c r="EK52" s="226">
        <f t="shared" si="98"/>
        <v>0</v>
      </c>
      <c r="EM52" s="338">
        <v>46062</v>
      </c>
      <c r="EN52" s="26"/>
      <c r="EO52" s="28"/>
      <c r="EP52" s="204"/>
      <c r="EQ52" s="88">
        <v>42.202019999999997</v>
      </c>
      <c r="ER52" s="28"/>
      <c r="ES52" s="28"/>
      <c r="ET52" s="226">
        <f t="shared" si="99"/>
        <v>42.202019999999997</v>
      </c>
    </row>
    <row r="53" spans="2:150" ht="15.75" x14ac:dyDescent="0.25">
      <c r="B53" s="338">
        <v>46063</v>
      </c>
      <c r="C53" s="26"/>
      <c r="D53" s="26"/>
      <c r="E53" s="208"/>
      <c r="F53" s="204"/>
      <c r="G53" s="88"/>
      <c r="H53" s="329"/>
      <c r="I53" s="28"/>
      <c r="J53" s="226">
        <f t="shared" si="86"/>
        <v>0</v>
      </c>
      <c r="L53" s="338">
        <v>46063</v>
      </c>
      <c r="M53" s="26"/>
      <c r="N53" s="26"/>
      <c r="O53" s="29"/>
      <c r="P53" s="204"/>
      <c r="Q53" s="88"/>
      <c r="R53" s="28"/>
      <c r="S53" s="28"/>
      <c r="T53" s="226">
        <f t="shared" si="87"/>
        <v>0</v>
      </c>
      <c r="V53" s="338">
        <v>46063</v>
      </c>
      <c r="W53" s="26"/>
      <c r="X53" s="26"/>
      <c r="Y53" s="30"/>
      <c r="Z53" s="204"/>
      <c r="AA53" s="215"/>
      <c r="AB53" s="329"/>
      <c r="AC53" s="28"/>
      <c r="AD53" s="226">
        <f t="shared" si="88"/>
        <v>0</v>
      </c>
      <c r="AF53" s="338">
        <v>46063</v>
      </c>
      <c r="AG53" s="26"/>
      <c r="AH53" s="26"/>
      <c r="AI53" s="155"/>
      <c r="AJ53" s="204"/>
      <c r="AK53" s="88"/>
      <c r="AL53" s="328"/>
      <c r="AM53" s="335"/>
      <c r="AN53" s="226">
        <f t="shared" si="89"/>
        <v>0</v>
      </c>
      <c r="AP53" s="338">
        <v>46122</v>
      </c>
      <c r="AQ53" s="26"/>
      <c r="AR53" s="26"/>
      <c r="AS53" s="26"/>
      <c r="AT53" s="32"/>
      <c r="AU53" s="204"/>
      <c r="AV53" s="88"/>
      <c r="AW53" s="28"/>
      <c r="AX53" s="28"/>
      <c r="AY53" s="226">
        <f t="shared" si="90"/>
        <v>0</v>
      </c>
      <c r="BA53" s="338">
        <v>46063</v>
      </c>
      <c r="BB53" s="26"/>
      <c r="BC53" s="27"/>
      <c r="BD53" s="33"/>
      <c r="BE53" s="32"/>
      <c r="BF53" s="204"/>
      <c r="BG53" s="215"/>
      <c r="BH53" s="328"/>
      <c r="BI53" s="28"/>
      <c r="BJ53" s="226">
        <f t="shared" si="91"/>
        <v>0</v>
      </c>
      <c r="BL53" s="338">
        <v>46063</v>
      </c>
      <c r="BM53" s="27"/>
      <c r="BN53" s="27"/>
      <c r="BO53" s="29"/>
      <c r="BP53" s="33"/>
      <c r="BQ53" s="204"/>
      <c r="BR53" s="215"/>
      <c r="BS53" s="328"/>
      <c r="BT53" s="28"/>
      <c r="BU53" s="226">
        <f t="shared" si="92"/>
        <v>0</v>
      </c>
      <c r="BW53" s="338">
        <v>46063</v>
      </c>
      <c r="BX53" s="26"/>
      <c r="BY53" s="27"/>
      <c r="BZ53" s="37"/>
      <c r="CA53" s="204"/>
      <c r="CB53" s="88"/>
      <c r="CC53" s="328"/>
      <c r="CD53" s="335"/>
      <c r="CE53" s="226">
        <f t="shared" si="93"/>
        <v>0</v>
      </c>
      <c r="CG53" s="338">
        <v>46063</v>
      </c>
      <c r="CH53" s="26"/>
      <c r="CI53" s="27"/>
      <c r="CJ53" s="29"/>
      <c r="CK53" s="204"/>
      <c r="CL53" s="215"/>
      <c r="CM53" s="329"/>
      <c r="CN53" s="28"/>
      <c r="CO53" s="226">
        <f t="shared" si="94"/>
        <v>0</v>
      </c>
      <c r="CQ53" s="338">
        <v>46063</v>
      </c>
      <c r="CR53" s="27"/>
      <c r="CS53" s="27"/>
      <c r="CT53" s="32"/>
      <c r="CU53" s="154"/>
      <c r="CV53" s="204"/>
      <c r="CW53" s="88"/>
      <c r="CX53" s="329"/>
      <c r="CY53" s="335"/>
      <c r="CZ53" s="226">
        <f t="shared" si="100"/>
        <v>0</v>
      </c>
      <c r="DA53" s="228"/>
      <c r="DB53" s="338">
        <v>46063</v>
      </c>
      <c r="DC53" s="27"/>
      <c r="DD53" s="27"/>
      <c r="DE53" s="29"/>
      <c r="DF53" s="204"/>
      <c r="DG53" s="88"/>
      <c r="DH53" s="328"/>
      <c r="DI53" s="335"/>
      <c r="DJ53" s="226">
        <f t="shared" si="95"/>
        <v>0</v>
      </c>
      <c r="DL53" s="338">
        <v>46063</v>
      </c>
      <c r="DM53" s="27"/>
      <c r="DN53" s="28"/>
      <c r="DO53" s="204"/>
      <c r="DP53" s="215"/>
      <c r="DQ53" s="28"/>
      <c r="DR53" s="28"/>
      <c r="DS53" s="226">
        <f t="shared" si="96"/>
        <v>0</v>
      </c>
      <c r="DU53" s="338">
        <v>46063</v>
      </c>
      <c r="DV53" s="27"/>
      <c r="DW53" s="35"/>
      <c r="DX53" s="204"/>
      <c r="DY53" s="215"/>
      <c r="DZ53" s="28"/>
      <c r="EA53" s="28"/>
      <c r="EB53" s="226">
        <f t="shared" si="97"/>
        <v>0</v>
      </c>
      <c r="ED53" s="338">
        <v>46063</v>
      </c>
      <c r="EE53" s="26"/>
      <c r="EF53" s="36"/>
      <c r="EG53" s="204"/>
      <c r="EH53" s="215"/>
      <c r="EI53" s="28"/>
      <c r="EJ53" s="28"/>
      <c r="EK53" s="226">
        <f t="shared" si="98"/>
        <v>0</v>
      </c>
      <c r="EM53" s="338">
        <v>46063</v>
      </c>
      <c r="EN53" s="26"/>
      <c r="EO53" s="28"/>
      <c r="EP53" s="204"/>
      <c r="EQ53" s="88">
        <v>36.75</v>
      </c>
      <c r="ER53" s="28"/>
      <c r="ES53" s="28"/>
      <c r="ET53" s="226">
        <f t="shared" si="99"/>
        <v>36.75</v>
      </c>
    </row>
    <row r="54" spans="2:150" ht="15.75" x14ac:dyDescent="0.25">
      <c r="B54" s="338">
        <v>46064</v>
      </c>
      <c r="C54" s="26"/>
      <c r="D54" s="26"/>
      <c r="E54" s="208"/>
      <c r="F54" s="204"/>
      <c r="G54" s="88"/>
      <c r="H54" s="329"/>
      <c r="I54" s="28"/>
      <c r="J54" s="226">
        <f t="shared" si="86"/>
        <v>0</v>
      </c>
      <c r="L54" s="338">
        <v>46064</v>
      </c>
      <c r="M54" s="26"/>
      <c r="N54" s="26"/>
      <c r="O54" s="29"/>
      <c r="P54" s="204"/>
      <c r="Q54" s="88"/>
      <c r="R54" s="28"/>
      <c r="S54" s="28"/>
      <c r="T54" s="226">
        <f t="shared" si="87"/>
        <v>0</v>
      </c>
      <c r="V54" s="338">
        <v>46064</v>
      </c>
      <c r="W54" s="26"/>
      <c r="X54" s="26"/>
      <c r="Y54" s="30"/>
      <c r="Z54" s="204"/>
      <c r="AA54" s="215"/>
      <c r="AB54" s="329"/>
      <c r="AC54" s="28"/>
      <c r="AD54" s="226">
        <f t="shared" si="88"/>
        <v>0</v>
      </c>
      <c r="AF54" s="338">
        <v>46064</v>
      </c>
      <c r="AG54" s="26"/>
      <c r="AH54" s="26"/>
      <c r="AI54" s="156"/>
      <c r="AJ54" s="204"/>
      <c r="AK54" s="88"/>
      <c r="AL54" s="328"/>
      <c r="AM54" s="335"/>
      <c r="AN54" s="226">
        <f t="shared" si="89"/>
        <v>0</v>
      </c>
      <c r="AP54" s="338">
        <v>46123</v>
      </c>
      <c r="AQ54" s="26"/>
      <c r="AR54" s="26"/>
      <c r="AS54" s="26"/>
      <c r="AT54" s="32"/>
      <c r="AU54" s="204"/>
      <c r="AV54" s="88"/>
      <c r="AW54" s="28"/>
      <c r="AX54" s="28"/>
      <c r="AY54" s="226">
        <f t="shared" si="90"/>
        <v>0</v>
      </c>
      <c r="BA54" s="338">
        <v>46064</v>
      </c>
      <c r="BB54" s="27"/>
      <c r="BC54" s="27"/>
      <c r="BD54" s="33"/>
      <c r="BE54" s="32"/>
      <c r="BF54" s="204"/>
      <c r="BG54" s="215"/>
      <c r="BH54" s="328"/>
      <c r="BI54" s="28"/>
      <c r="BJ54" s="226">
        <f t="shared" si="91"/>
        <v>0</v>
      </c>
      <c r="BL54" s="338">
        <v>46064</v>
      </c>
      <c r="BM54" s="27"/>
      <c r="BN54" s="27"/>
      <c r="BO54" s="32"/>
      <c r="BP54" s="33"/>
      <c r="BQ54" s="204"/>
      <c r="BR54" s="215"/>
      <c r="BS54" s="328"/>
      <c r="BT54" s="28"/>
      <c r="BU54" s="226">
        <f t="shared" si="92"/>
        <v>0</v>
      </c>
      <c r="BW54" s="338">
        <v>46064</v>
      </c>
      <c r="BX54" s="26"/>
      <c r="BY54" s="27"/>
      <c r="BZ54" s="37"/>
      <c r="CA54" s="204"/>
      <c r="CB54" s="88"/>
      <c r="CC54" s="328"/>
      <c r="CD54" s="335"/>
      <c r="CE54" s="226">
        <f t="shared" si="93"/>
        <v>0</v>
      </c>
      <c r="CG54" s="338">
        <v>46064</v>
      </c>
      <c r="CH54" s="26"/>
      <c r="CI54" s="27"/>
      <c r="CJ54" s="29"/>
      <c r="CK54" s="204"/>
      <c r="CL54" s="215"/>
      <c r="CM54" s="329"/>
      <c r="CN54" s="28"/>
      <c r="CO54" s="226">
        <f t="shared" si="94"/>
        <v>0</v>
      </c>
      <c r="CQ54" s="338">
        <v>46064</v>
      </c>
      <c r="CR54" s="27"/>
      <c r="CS54" s="27"/>
      <c r="CT54" s="32"/>
      <c r="CU54" s="33"/>
      <c r="CV54" s="204"/>
      <c r="CW54" s="88"/>
      <c r="CX54" s="329"/>
      <c r="CY54" s="335"/>
      <c r="CZ54" s="226">
        <f t="shared" si="100"/>
        <v>0</v>
      </c>
      <c r="DA54" s="228"/>
      <c r="DB54" s="338">
        <v>46064</v>
      </c>
      <c r="DC54" s="26"/>
      <c r="DD54" s="27"/>
      <c r="DE54" s="29"/>
      <c r="DF54" s="204"/>
      <c r="DG54" s="88"/>
      <c r="DH54" s="328"/>
      <c r="DI54" s="335"/>
      <c r="DJ54" s="226">
        <f t="shared" si="95"/>
        <v>0</v>
      </c>
      <c r="DL54" s="338">
        <v>46064</v>
      </c>
      <c r="DM54" s="26"/>
      <c r="DN54" s="28"/>
      <c r="DO54" s="204"/>
      <c r="DP54" s="215"/>
      <c r="DQ54" s="28"/>
      <c r="DR54" s="28"/>
      <c r="DS54" s="226">
        <f t="shared" si="96"/>
        <v>0</v>
      </c>
      <c r="DU54" s="338">
        <v>46064</v>
      </c>
      <c r="DV54" s="27"/>
      <c r="DW54" s="35"/>
      <c r="DX54" s="204"/>
      <c r="DY54" s="215"/>
      <c r="DZ54" s="28"/>
      <c r="EA54" s="28"/>
      <c r="EB54" s="226">
        <f t="shared" si="97"/>
        <v>0</v>
      </c>
      <c r="ED54" s="338">
        <v>46064</v>
      </c>
      <c r="EE54" s="26"/>
      <c r="EF54" s="36"/>
      <c r="EG54" s="204"/>
      <c r="EH54" s="215"/>
      <c r="EI54" s="28"/>
      <c r="EJ54" s="28"/>
      <c r="EK54" s="226">
        <f t="shared" si="98"/>
        <v>0</v>
      </c>
      <c r="EM54" s="338">
        <v>46064</v>
      </c>
      <c r="EN54" s="26"/>
      <c r="EO54" s="28"/>
      <c r="EP54" s="204"/>
      <c r="EQ54" s="88">
        <v>124.63019999999992</v>
      </c>
      <c r="ER54" s="28"/>
      <c r="ES54" s="28"/>
      <c r="ET54" s="226">
        <f t="shared" si="99"/>
        <v>124.63019999999992</v>
      </c>
    </row>
    <row r="55" spans="2:150" ht="15.75" x14ac:dyDescent="0.25">
      <c r="B55" s="338">
        <v>46065</v>
      </c>
      <c r="C55" s="26"/>
      <c r="D55" s="27"/>
      <c r="E55" s="208"/>
      <c r="F55" s="204"/>
      <c r="G55" s="88"/>
      <c r="H55" s="329"/>
      <c r="I55" s="28"/>
      <c r="J55" s="226">
        <f t="shared" si="86"/>
        <v>0</v>
      </c>
      <c r="L55" s="338">
        <v>46065</v>
      </c>
      <c r="M55" s="26"/>
      <c r="N55" s="26"/>
      <c r="O55" s="29"/>
      <c r="P55" s="204"/>
      <c r="Q55" s="88"/>
      <c r="R55" s="28"/>
      <c r="S55" s="28"/>
      <c r="T55" s="226">
        <f t="shared" si="87"/>
        <v>0</v>
      </c>
      <c r="V55" s="338">
        <v>46065</v>
      </c>
      <c r="W55" s="26"/>
      <c r="X55" s="26"/>
      <c r="Y55" s="30"/>
      <c r="Z55" s="204"/>
      <c r="AA55" s="215"/>
      <c r="AB55" s="329"/>
      <c r="AC55" s="28"/>
      <c r="AD55" s="226">
        <f t="shared" si="88"/>
        <v>0</v>
      </c>
      <c r="AF55" s="338">
        <v>46065</v>
      </c>
      <c r="AG55" s="26"/>
      <c r="AH55" s="27"/>
      <c r="AI55" s="32"/>
      <c r="AJ55" s="204"/>
      <c r="AK55" s="88"/>
      <c r="AL55" s="328"/>
      <c r="AM55" s="335"/>
      <c r="AN55" s="226">
        <f t="shared" si="89"/>
        <v>0</v>
      </c>
      <c r="AP55" s="338">
        <v>46124</v>
      </c>
      <c r="AQ55" s="26"/>
      <c r="AR55" s="26"/>
      <c r="AS55" s="26"/>
      <c r="AT55" s="32"/>
      <c r="AU55" s="204"/>
      <c r="AV55" s="88"/>
      <c r="AW55" s="28"/>
      <c r="AX55" s="28"/>
      <c r="AY55" s="226">
        <f t="shared" si="90"/>
        <v>0</v>
      </c>
      <c r="BA55" s="338">
        <v>46065</v>
      </c>
      <c r="BB55" s="26"/>
      <c r="BC55" s="27"/>
      <c r="BD55" s="33"/>
      <c r="BE55" s="32"/>
      <c r="BF55" s="204"/>
      <c r="BG55" s="215"/>
      <c r="BH55" s="328"/>
      <c r="BI55" s="28"/>
      <c r="BJ55" s="226">
        <f t="shared" si="91"/>
        <v>0</v>
      </c>
      <c r="BL55" s="338">
        <v>46065</v>
      </c>
      <c r="BM55" s="27"/>
      <c r="BN55" s="27"/>
      <c r="BO55" s="29"/>
      <c r="BP55" s="33"/>
      <c r="BQ55" s="204"/>
      <c r="BR55" s="215"/>
      <c r="BS55" s="328"/>
      <c r="BT55" s="28"/>
      <c r="BU55" s="226">
        <f t="shared" si="92"/>
        <v>0</v>
      </c>
      <c r="BW55" s="338">
        <v>46065</v>
      </c>
      <c r="BX55" s="26"/>
      <c r="BY55" s="27"/>
      <c r="BZ55" s="34"/>
      <c r="CA55" s="204"/>
      <c r="CB55" s="88"/>
      <c r="CC55" s="328"/>
      <c r="CD55" s="335"/>
      <c r="CE55" s="226">
        <f t="shared" si="93"/>
        <v>0</v>
      </c>
      <c r="CG55" s="338">
        <v>46065</v>
      </c>
      <c r="CH55" s="26"/>
      <c r="CI55" s="27"/>
      <c r="CJ55" s="29"/>
      <c r="CK55" s="204"/>
      <c r="CL55" s="215"/>
      <c r="CM55" s="329"/>
      <c r="CN55" s="28"/>
      <c r="CO55" s="226">
        <f t="shared" si="94"/>
        <v>0</v>
      </c>
      <c r="CQ55" s="338">
        <v>46065</v>
      </c>
      <c r="CR55" s="27"/>
      <c r="CS55" s="27"/>
      <c r="CT55" s="32"/>
      <c r="CU55" s="33"/>
      <c r="CV55" s="204"/>
      <c r="CW55" s="88"/>
      <c r="CX55" s="329"/>
      <c r="CY55" s="335"/>
      <c r="CZ55" s="226">
        <f t="shared" si="100"/>
        <v>0</v>
      </c>
      <c r="DA55" s="228"/>
      <c r="DB55" s="338">
        <v>46065</v>
      </c>
      <c r="DC55" s="26"/>
      <c r="DD55" s="27"/>
      <c r="DE55" s="32"/>
      <c r="DF55" s="204"/>
      <c r="DG55" s="88"/>
      <c r="DH55" s="328"/>
      <c r="DI55" s="335"/>
      <c r="DJ55" s="226">
        <f t="shared" si="95"/>
        <v>0</v>
      </c>
      <c r="DL55" s="338">
        <v>46065</v>
      </c>
      <c r="DM55" s="27"/>
      <c r="DN55" s="28"/>
      <c r="DO55" s="204"/>
      <c r="DP55" s="215"/>
      <c r="DQ55" s="28"/>
      <c r="DR55" s="28"/>
      <c r="DS55" s="226">
        <f t="shared" si="96"/>
        <v>0</v>
      </c>
      <c r="DU55" s="338">
        <v>46065</v>
      </c>
      <c r="DV55" s="27"/>
      <c r="DW55" s="35"/>
      <c r="DX55" s="204"/>
      <c r="DY55" s="215"/>
      <c r="DZ55" s="28"/>
      <c r="EA55" s="28"/>
      <c r="EB55" s="226">
        <f t="shared" si="97"/>
        <v>0</v>
      </c>
      <c r="ED55" s="338">
        <v>46065</v>
      </c>
      <c r="EE55" s="26"/>
      <c r="EF55" s="36"/>
      <c r="EG55" s="204"/>
      <c r="EH55" s="215"/>
      <c r="EI55" s="28"/>
      <c r="EJ55" s="28"/>
      <c r="EK55" s="226">
        <f t="shared" si="98"/>
        <v>0</v>
      </c>
      <c r="EM55" s="338">
        <v>46065</v>
      </c>
      <c r="EN55" s="26"/>
      <c r="EO55" s="28"/>
      <c r="EP55" s="204"/>
      <c r="EQ55" s="88">
        <v>126.82409999999992</v>
      </c>
      <c r="ER55" s="28"/>
      <c r="ES55" s="28"/>
      <c r="ET55" s="226">
        <f t="shared" si="99"/>
        <v>126.82409999999992</v>
      </c>
    </row>
    <row r="56" spans="2:150" ht="15.75" x14ac:dyDescent="0.25">
      <c r="B56" s="338">
        <v>46066</v>
      </c>
      <c r="C56" s="26"/>
      <c r="D56" s="26"/>
      <c r="E56" s="208"/>
      <c r="F56" s="204"/>
      <c r="G56" s="88"/>
      <c r="H56" s="329"/>
      <c r="I56" s="28"/>
      <c r="J56" s="226">
        <f t="shared" si="86"/>
        <v>0</v>
      </c>
      <c r="L56" s="338">
        <v>46066</v>
      </c>
      <c r="M56" s="26"/>
      <c r="N56" s="26"/>
      <c r="O56" s="156"/>
      <c r="P56" s="204"/>
      <c r="Q56" s="88"/>
      <c r="R56" s="28"/>
      <c r="S56" s="28"/>
      <c r="T56" s="226">
        <f t="shared" si="87"/>
        <v>0</v>
      </c>
      <c r="V56" s="338">
        <v>46066</v>
      </c>
      <c r="W56" s="26"/>
      <c r="X56" s="26"/>
      <c r="Y56" s="30"/>
      <c r="Z56" s="204"/>
      <c r="AA56" s="215"/>
      <c r="AB56" s="329"/>
      <c r="AC56" s="28"/>
      <c r="AD56" s="226">
        <f t="shared" si="88"/>
        <v>0</v>
      </c>
      <c r="AF56" s="338">
        <v>46066</v>
      </c>
      <c r="AG56" s="26"/>
      <c r="AH56" s="27"/>
      <c r="AI56" s="32"/>
      <c r="AJ56" s="204"/>
      <c r="AK56" s="88"/>
      <c r="AL56" s="328"/>
      <c r="AM56" s="335"/>
      <c r="AN56" s="226">
        <f t="shared" si="89"/>
        <v>0</v>
      </c>
      <c r="AP56" s="338">
        <v>46125</v>
      </c>
      <c r="AQ56" s="26"/>
      <c r="AR56" s="26"/>
      <c r="AS56" s="26"/>
      <c r="AT56" s="32"/>
      <c r="AU56" s="204"/>
      <c r="AV56" s="88"/>
      <c r="AW56" s="28"/>
      <c r="AX56" s="28"/>
      <c r="AY56" s="226">
        <f t="shared" si="90"/>
        <v>0</v>
      </c>
      <c r="BA56" s="338">
        <v>46066</v>
      </c>
      <c r="BB56" s="27"/>
      <c r="BC56" s="27"/>
      <c r="BD56" s="33"/>
      <c r="BE56" s="32"/>
      <c r="BF56" s="204"/>
      <c r="BG56" s="215"/>
      <c r="BH56" s="328"/>
      <c r="BI56" s="28"/>
      <c r="BJ56" s="226">
        <f t="shared" si="91"/>
        <v>0</v>
      </c>
      <c r="BL56" s="338">
        <v>46066</v>
      </c>
      <c r="BM56" s="27"/>
      <c r="BN56" s="27"/>
      <c r="BO56" s="29"/>
      <c r="BP56" s="33"/>
      <c r="BQ56" s="204"/>
      <c r="BR56" s="215"/>
      <c r="BS56" s="328"/>
      <c r="BT56" s="28"/>
      <c r="BU56" s="226">
        <f t="shared" si="92"/>
        <v>0</v>
      </c>
      <c r="BW56" s="338">
        <v>46066</v>
      </c>
      <c r="BX56" s="26"/>
      <c r="BY56" s="26"/>
      <c r="BZ56" s="41"/>
      <c r="CA56" s="204"/>
      <c r="CB56" s="88"/>
      <c r="CC56" s="328"/>
      <c r="CD56" s="335"/>
      <c r="CE56" s="226">
        <f t="shared" si="93"/>
        <v>0</v>
      </c>
      <c r="CG56" s="338">
        <v>46066</v>
      </c>
      <c r="CH56" s="26"/>
      <c r="CI56" s="27"/>
      <c r="CJ56" s="29"/>
      <c r="CK56" s="204"/>
      <c r="CL56" s="215"/>
      <c r="CM56" s="329"/>
      <c r="CN56" s="28"/>
      <c r="CO56" s="226">
        <f t="shared" si="94"/>
        <v>0</v>
      </c>
      <c r="CQ56" s="338">
        <v>46066</v>
      </c>
      <c r="CR56" s="26"/>
      <c r="CS56" s="27"/>
      <c r="CT56" s="32"/>
      <c r="CU56" s="33"/>
      <c r="CV56" s="204"/>
      <c r="CW56" s="88"/>
      <c r="CX56" s="329"/>
      <c r="CY56" s="335"/>
      <c r="CZ56" s="226">
        <f t="shared" si="100"/>
        <v>0</v>
      </c>
      <c r="DA56" s="228"/>
      <c r="DB56" s="338">
        <v>46066</v>
      </c>
      <c r="DC56" s="26"/>
      <c r="DD56" s="27"/>
      <c r="DE56" s="32"/>
      <c r="DF56" s="204"/>
      <c r="DG56" s="88"/>
      <c r="DH56" s="328"/>
      <c r="DI56" s="335"/>
      <c r="DJ56" s="226">
        <f t="shared" si="95"/>
        <v>0</v>
      </c>
      <c r="DL56" s="338">
        <v>46066</v>
      </c>
      <c r="DM56" s="27"/>
      <c r="DN56" s="28"/>
      <c r="DO56" s="204"/>
      <c r="DP56" s="215"/>
      <c r="DQ56" s="28"/>
      <c r="DR56" s="28"/>
      <c r="DS56" s="226">
        <f t="shared" si="96"/>
        <v>0</v>
      </c>
      <c r="DU56" s="338">
        <v>46066</v>
      </c>
      <c r="DV56" s="27"/>
      <c r="DW56" s="35"/>
      <c r="DX56" s="204"/>
      <c r="DY56" s="215"/>
      <c r="DZ56" s="28"/>
      <c r="EA56" s="28"/>
      <c r="EB56" s="226">
        <f t="shared" si="97"/>
        <v>0</v>
      </c>
      <c r="ED56" s="338">
        <v>46066</v>
      </c>
      <c r="EE56" s="26"/>
      <c r="EF56" s="36"/>
      <c r="EG56" s="204"/>
      <c r="EH56" s="215"/>
      <c r="EI56" s="28"/>
      <c r="EJ56" s="28"/>
      <c r="EK56" s="226">
        <f t="shared" si="98"/>
        <v>0</v>
      </c>
      <c r="EM56" s="338">
        <v>46066</v>
      </c>
      <c r="EN56" s="26"/>
      <c r="EO56" s="28"/>
      <c r="EP56" s="204"/>
      <c r="EQ56" s="88">
        <v>85.223250000000007</v>
      </c>
      <c r="ER56" s="28"/>
      <c r="ES56" s="28"/>
      <c r="ET56" s="226">
        <f t="shared" si="99"/>
        <v>85.223250000000007</v>
      </c>
    </row>
    <row r="57" spans="2:150" ht="15.75" x14ac:dyDescent="0.25">
      <c r="B57" s="338">
        <v>46067</v>
      </c>
      <c r="C57" s="26"/>
      <c r="D57" s="26"/>
      <c r="E57" s="208"/>
      <c r="F57" s="204"/>
      <c r="G57" s="88"/>
      <c r="H57" s="329"/>
      <c r="I57" s="28"/>
      <c r="J57" s="226">
        <f t="shared" si="86"/>
        <v>0</v>
      </c>
      <c r="L57" s="338">
        <v>46067</v>
      </c>
      <c r="M57" s="26"/>
      <c r="N57" s="26"/>
      <c r="O57" s="29"/>
      <c r="P57" s="204"/>
      <c r="Q57" s="88"/>
      <c r="R57" s="28"/>
      <c r="S57" s="28"/>
      <c r="T57" s="226">
        <f t="shared" si="87"/>
        <v>0</v>
      </c>
      <c r="V57" s="338">
        <v>46067</v>
      </c>
      <c r="W57" s="26"/>
      <c r="X57" s="26"/>
      <c r="Y57" s="30"/>
      <c r="Z57" s="204"/>
      <c r="AA57" s="215"/>
      <c r="AB57" s="329"/>
      <c r="AC57" s="28"/>
      <c r="AD57" s="226">
        <f t="shared" si="88"/>
        <v>0</v>
      </c>
      <c r="AF57" s="338">
        <v>46067</v>
      </c>
      <c r="AG57" s="26"/>
      <c r="AH57" s="26"/>
      <c r="AI57" s="29"/>
      <c r="AJ57" s="204"/>
      <c r="AK57" s="88"/>
      <c r="AL57" s="328"/>
      <c r="AM57" s="335"/>
      <c r="AN57" s="226">
        <f t="shared" si="89"/>
        <v>0</v>
      </c>
      <c r="AP57" s="338">
        <v>46126</v>
      </c>
      <c r="AQ57" s="26"/>
      <c r="AR57" s="27"/>
      <c r="AS57" s="26"/>
      <c r="AT57" s="29"/>
      <c r="AU57" s="204"/>
      <c r="AV57" s="88"/>
      <c r="AW57" s="28"/>
      <c r="AX57" s="28"/>
      <c r="AY57" s="226">
        <f t="shared" si="90"/>
        <v>0</v>
      </c>
      <c r="BA57" s="338">
        <v>46067</v>
      </c>
      <c r="BB57" s="27"/>
      <c r="BC57" s="27"/>
      <c r="BD57" s="33"/>
      <c r="BE57" s="32"/>
      <c r="BF57" s="204"/>
      <c r="BG57" s="215"/>
      <c r="BH57" s="328"/>
      <c r="BI57" s="28"/>
      <c r="BJ57" s="226">
        <f t="shared" si="91"/>
        <v>0</v>
      </c>
      <c r="BL57" s="338">
        <v>46067</v>
      </c>
      <c r="BM57" s="27"/>
      <c r="BN57" s="27"/>
      <c r="BO57" s="29"/>
      <c r="BP57" s="33"/>
      <c r="BQ57" s="204"/>
      <c r="BR57" s="215"/>
      <c r="BS57" s="328"/>
      <c r="BT57" s="28"/>
      <c r="BU57" s="226">
        <f t="shared" si="92"/>
        <v>0</v>
      </c>
      <c r="BW57" s="338">
        <v>46067</v>
      </c>
      <c r="BX57" s="26"/>
      <c r="BY57" s="27"/>
      <c r="BZ57" s="37"/>
      <c r="CA57" s="204"/>
      <c r="CB57" s="88"/>
      <c r="CC57" s="328"/>
      <c r="CD57" s="335"/>
      <c r="CE57" s="226">
        <f t="shared" si="93"/>
        <v>0</v>
      </c>
      <c r="CG57" s="338">
        <v>46067</v>
      </c>
      <c r="CH57" s="26"/>
      <c r="CI57" s="27"/>
      <c r="CJ57" s="38"/>
      <c r="CK57" s="204"/>
      <c r="CL57" s="215"/>
      <c r="CM57" s="329"/>
      <c r="CN57" s="28"/>
      <c r="CO57" s="226">
        <f t="shared" si="94"/>
        <v>0</v>
      </c>
      <c r="CQ57" s="338">
        <v>46067</v>
      </c>
      <c r="CR57" s="27"/>
      <c r="CS57" s="27"/>
      <c r="CT57" s="32"/>
      <c r="CU57" s="154"/>
      <c r="CV57" s="204"/>
      <c r="CW57" s="88"/>
      <c r="CX57" s="329"/>
      <c r="CY57" s="335"/>
      <c r="CZ57" s="226">
        <f t="shared" si="100"/>
        <v>0</v>
      </c>
      <c r="DA57" s="228"/>
      <c r="DB57" s="338">
        <v>46067</v>
      </c>
      <c r="DC57" s="26"/>
      <c r="DD57" s="27"/>
      <c r="DE57" s="29"/>
      <c r="DF57" s="204"/>
      <c r="DG57" s="88"/>
      <c r="DH57" s="328"/>
      <c r="DI57" s="335"/>
      <c r="DJ57" s="226">
        <f t="shared" si="95"/>
        <v>0</v>
      </c>
      <c r="DL57" s="338">
        <v>46067</v>
      </c>
      <c r="DM57" s="27"/>
      <c r="DN57" s="28"/>
      <c r="DO57" s="204"/>
      <c r="DP57" s="215"/>
      <c r="DQ57" s="28"/>
      <c r="DR57" s="28"/>
      <c r="DS57" s="226">
        <f t="shared" si="96"/>
        <v>0</v>
      </c>
      <c r="DU57" s="338">
        <v>46067</v>
      </c>
      <c r="DV57" s="27"/>
      <c r="DW57" s="35"/>
      <c r="DX57" s="204"/>
      <c r="DY57" s="215"/>
      <c r="DZ57" s="28"/>
      <c r="EA57" s="28"/>
      <c r="EB57" s="226">
        <f t="shared" si="97"/>
        <v>0</v>
      </c>
      <c r="ED57" s="338">
        <v>46067</v>
      </c>
      <c r="EE57" s="26"/>
      <c r="EF57" s="36"/>
      <c r="EG57" s="204"/>
      <c r="EH57" s="215"/>
      <c r="EI57" s="28"/>
      <c r="EJ57" s="28"/>
      <c r="EK57" s="226">
        <f t="shared" si="98"/>
        <v>0</v>
      </c>
      <c r="EM57" s="338">
        <v>46067</v>
      </c>
      <c r="EN57" s="26"/>
      <c r="EO57" s="28"/>
      <c r="EP57" s="204"/>
      <c r="EQ57" s="88">
        <v>113.6067124999999</v>
      </c>
      <c r="ER57" s="28"/>
      <c r="ES57" s="28"/>
      <c r="ET57" s="226">
        <f t="shared" si="99"/>
        <v>113.6067124999999</v>
      </c>
    </row>
    <row r="58" spans="2:150" ht="15.75" x14ac:dyDescent="0.25">
      <c r="B58" s="338">
        <v>46068</v>
      </c>
      <c r="C58" s="26"/>
      <c r="D58" s="26"/>
      <c r="E58" s="208"/>
      <c r="F58" s="204"/>
      <c r="G58" s="88"/>
      <c r="H58" s="329"/>
      <c r="I58" s="28"/>
      <c r="J58" s="226">
        <f t="shared" si="86"/>
        <v>0</v>
      </c>
      <c r="L58" s="338">
        <v>46068</v>
      </c>
      <c r="M58" s="26"/>
      <c r="N58" s="26"/>
      <c r="O58" s="29"/>
      <c r="P58" s="204"/>
      <c r="Q58" s="88"/>
      <c r="R58" s="28"/>
      <c r="S58" s="28"/>
      <c r="T58" s="226">
        <f t="shared" si="87"/>
        <v>0</v>
      </c>
      <c r="V58" s="338">
        <v>46068</v>
      </c>
      <c r="W58" s="26"/>
      <c r="X58" s="26"/>
      <c r="Y58" s="30"/>
      <c r="Z58" s="204"/>
      <c r="AA58" s="215"/>
      <c r="AB58" s="329"/>
      <c r="AC58" s="28"/>
      <c r="AD58" s="226">
        <f t="shared" si="88"/>
        <v>0</v>
      </c>
      <c r="AF58" s="338">
        <v>46068</v>
      </c>
      <c r="AG58" s="26"/>
      <c r="AH58" s="27"/>
      <c r="AI58" s="32"/>
      <c r="AJ58" s="204"/>
      <c r="AK58" s="88"/>
      <c r="AL58" s="328"/>
      <c r="AM58" s="335"/>
      <c r="AN58" s="226">
        <f t="shared" si="89"/>
        <v>0</v>
      </c>
      <c r="AP58" s="338">
        <v>46127</v>
      </c>
      <c r="AQ58" s="26"/>
      <c r="AR58" s="26"/>
      <c r="AS58" s="26"/>
      <c r="AT58" s="32"/>
      <c r="AU58" s="204"/>
      <c r="AV58" s="88"/>
      <c r="AW58" s="28"/>
      <c r="AX58" s="28"/>
      <c r="AY58" s="226">
        <f t="shared" si="90"/>
        <v>0</v>
      </c>
      <c r="BA58" s="338">
        <v>46068</v>
      </c>
      <c r="BB58" s="27"/>
      <c r="BC58" s="27"/>
      <c r="BD58" s="33"/>
      <c r="BE58" s="32"/>
      <c r="BF58" s="204"/>
      <c r="BG58" s="215"/>
      <c r="BH58" s="328"/>
      <c r="BI58" s="28"/>
      <c r="BJ58" s="226">
        <f t="shared" si="91"/>
        <v>0</v>
      </c>
      <c r="BL58" s="338">
        <v>46068</v>
      </c>
      <c r="BM58" s="27"/>
      <c r="BN58" s="27"/>
      <c r="BO58" s="29"/>
      <c r="BP58" s="33"/>
      <c r="BQ58" s="204"/>
      <c r="BR58" s="215"/>
      <c r="BS58" s="328"/>
      <c r="BT58" s="28"/>
      <c r="BU58" s="226">
        <f t="shared" si="92"/>
        <v>0</v>
      </c>
      <c r="BW58" s="338">
        <v>46068</v>
      </c>
      <c r="BX58" s="26"/>
      <c r="BY58" s="27"/>
      <c r="BZ58" s="37"/>
      <c r="CA58" s="204"/>
      <c r="CB58" s="88"/>
      <c r="CC58" s="328"/>
      <c r="CD58" s="335"/>
      <c r="CE58" s="226">
        <f t="shared" si="93"/>
        <v>0</v>
      </c>
      <c r="CG58" s="338">
        <v>46068</v>
      </c>
      <c r="CH58" s="26"/>
      <c r="CI58" s="27"/>
      <c r="CJ58" s="29"/>
      <c r="CK58" s="204"/>
      <c r="CL58" s="215"/>
      <c r="CM58" s="329"/>
      <c r="CN58" s="28"/>
      <c r="CO58" s="226">
        <f t="shared" si="94"/>
        <v>0</v>
      </c>
      <c r="CQ58" s="338">
        <v>46068</v>
      </c>
      <c r="CR58" s="27"/>
      <c r="CS58" s="27"/>
      <c r="CT58" s="32"/>
      <c r="CU58" s="33"/>
      <c r="CV58" s="204"/>
      <c r="CW58" s="88"/>
      <c r="CX58" s="329"/>
      <c r="CY58" s="335"/>
      <c r="CZ58" s="226">
        <f t="shared" si="100"/>
        <v>0</v>
      </c>
      <c r="DA58" s="228"/>
      <c r="DB58" s="338">
        <v>46068</v>
      </c>
      <c r="DC58" s="26"/>
      <c r="DD58" s="27"/>
      <c r="DE58" s="32"/>
      <c r="DF58" s="204"/>
      <c r="DG58" s="88"/>
      <c r="DH58" s="328"/>
      <c r="DI58" s="335"/>
      <c r="DJ58" s="226">
        <f t="shared" si="95"/>
        <v>0</v>
      </c>
      <c r="DL58" s="338">
        <v>46068</v>
      </c>
      <c r="DM58" s="27"/>
      <c r="DN58" s="28"/>
      <c r="DO58" s="204"/>
      <c r="DP58" s="215"/>
      <c r="DQ58" s="28"/>
      <c r="DR58" s="28"/>
      <c r="DS58" s="226">
        <f t="shared" si="96"/>
        <v>0</v>
      </c>
      <c r="DU58" s="338">
        <v>46068</v>
      </c>
      <c r="DV58" s="27"/>
      <c r="DW58" s="35"/>
      <c r="DX58" s="204"/>
      <c r="DY58" s="215"/>
      <c r="DZ58" s="28"/>
      <c r="EA58" s="28"/>
      <c r="EB58" s="226">
        <f t="shared" si="97"/>
        <v>0</v>
      </c>
      <c r="ED58" s="338">
        <v>46068</v>
      </c>
      <c r="EE58" s="26"/>
      <c r="EF58" s="36"/>
      <c r="EG58" s="204"/>
      <c r="EH58" s="215"/>
      <c r="EI58" s="28"/>
      <c r="EJ58" s="28"/>
      <c r="EK58" s="226">
        <f t="shared" si="98"/>
        <v>0</v>
      </c>
      <c r="EM58" s="338">
        <v>46068</v>
      </c>
      <c r="EN58" s="26"/>
      <c r="EO58" s="28"/>
      <c r="EP58" s="204"/>
      <c r="EQ58" s="88">
        <v>83.885009999999909</v>
      </c>
      <c r="ER58" s="28"/>
      <c r="ES58" s="28"/>
      <c r="ET58" s="226">
        <f t="shared" si="99"/>
        <v>83.885009999999909</v>
      </c>
    </row>
    <row r="59" spans="2:150" ht="15.75" x14ac:dyDescent="0.25">
      <c r="B59" s="338">
        <v>46069</v>
      </c>
      <c r="C59" s="26"/>
      <c r="D59" s="26"/>
      <c r="E59" s="208"/>
      <c r="F59" s="204"/>
      <c r="G59" s="88"/>
      <c r="H59" s="329"/>
      <c r="I59" s="28"/>
      <c r="J59" s="226">
        <f t="shared" si="86"/>
        <v>0</v>
      </c>
      <c r="L59" s="338">
        <v>46069</v>
      </c>
      <c r="M59" s="26"/>
      <c r="N59" s="26"/>
      <c r="O59" s="156"/>
      <c r="P59" s="204"/>
      <c r="Q59" s="88"/>
      <c r="R59" s="28"/>
      <c r="S59" s="28"/>
      <c r="T59" s="226">
        <f t="shared" si="87"/>
        <v>0</v>
      </c>
      <c r="V59" s="338">
        <v>46069</v>
      </c>
      <c r="W59" s="26"/>
      <c r="X59" s="26"/>
      <c r="Y59" s="30"/>
      <c r="Z59" s="204"/>
      <c r="AA59" s="215"/>
      <c r="AB59" s="329"/>
      <c r="AC59" s="28"/>
      <c r="AD59" s="226">
        <f t="shared" si="88"/>
        <v>0</v>
      </c>
      <c r="AF59" s="338">
        <v>46069</v>
      </c>
      <c r="AG59" s="26"/>
      <c r="AH59" s="26"/>
      <c r="AI59" s="32"/>
      <c r="AJ59" s="204"/>
      <c r="AK59" s="88"/>
      <c r="AL59" s="328"/>
      <c r="AM59" s="335"/>
      <c r="AN59" s="226">
        <f t="shared" si="89"/>
        <v>0</v>
      </c>
      <c r="AP59" s="338">
        <v>46128</v>
      </c>
      <c r="AQ59" s="26"/>
      <c r="AR59" s="26"/>
      <c r="AS59" s="26"/>
      <c r="AT59" s="32"/>
      <c r="AU59" s="204"/>
      <c r="AV59" s="88"/>
      <c r="AW59" s="28"/>
      <c r="AX59" s="28"/>
      <c r="AY59" s="226">
        <f t="shared" si="90"/>
        <v>0</v>
      </c>
      <c r="BA59" s="338">
        <v>46069</v>
      </c>
      <c r="BB59" s="27"/>
      <c r="BC59" s="27"/>
      <c r="BD59" s="33"/>
      <c r="BE59" s="32"/>
      <c r="BF59" s="204"/>
      <c r="BG59" s="215"/>
      <c r="BH59" s="328"/>
      <c r="BI59" s="28"/>
      <c r="BJ59" s="226">
        <f t="shared" si="91"/>
        <v>0</v>
      </c>
      <c r="BL59" s="338">
        <v>46069</v>
      </c>
      <c r="BM59" s="27"/>
      <c r="BN59" s="27"/>
      <c r="BO59" s="29"/>
      <c r="BP59" s="33"/>
      <c r="BQ59" s="204"/>
      <c r="BR59" s="215"/>
      <c r="BS59" s="328"/>
      <c r="BT59" s="28"/>
      <c r="BU59" s="226">
        <f t="shared" si="92"/>
        <v>0</v>
      </c>
      <c r="BW59" s="338">
        <v>46069</v>
      </c>
      <c r="BX59" s="26"/>
      <c r="BY59" s="26"/>
      <c r="BZ59" s="41"/>
      <c r="CA59" s="204"/>
      <c r="CB59" s="88"/>
      <c r="CC59" s="328"/>
      <c r="CD59" s="335"/>
      <c r="CE59" s="226">
        <f t="shared" si="93"/>
        <v>0</v>
      </c>
      <c r="CG59" s="338">
        <v>46069</v>
      </c>
      <c r="CH59" s="26"/>
      <c r="CI59" s="27"/>
      <c r="CJ59" s="29"/>
      <c r="CK59" s="204"/>
      <c r="CL59" s="215"/>
      <c r="CM59" s="329"/>
      <c r="CN59" s="28"/>
      <c r="CO59" s="226">
        <f t="shared" si="94"/>
        <v>0</v>
      </c>
      <c r="CQ59" s="338">
        <v>46069</v>
      </c>
      <c r="CR59" s="27"/>
      <c r="CS59" s="27"/>
      <c r="CT59" s="32"/>
      <c r="CU59" s="33"/>
      <c r="CV59" s="204"/>
      <c r="CW59" s="88"/>
      <c r="CX59" s="329"/>
      <c r="CY59" s="335"/>
      <c r="CZ59" s="226">
        <f t="shared" si="100"/>
        <v>0</v>
      </c>
      <c r="DA59" s="228"/>
      <c r="DB59" s="338">
        <v>46069</v>
      </c>
      <c r="DC59" s="26"/>
      <c r="DD59" s="27"/>
      <c r="DE59" s="29"/>
      <c r="DF59" s="204"/>
      <c r="DG59" s="88"/>
      <c r="DH59" s="328"/>
      <c r="DI59" s="335"/>
      <c r="DJ59" s="226">
        <f t="shared" si="95"/>
        <v>0</v>
      </c>
      <c r="DL59" s="338">
        <v>46069</v>
      </c>
      <c r="DM59" s="27"/>
      <c r="DN59" s="28"/>
      <c r="DO59" s="204"/>
      <c r="DP59" s="215"/>
      <c r="DQ59" s="28"/>
      <c r="DR59" s="28"/>
      <c r="DS59" s="226">
        <f t="shared" si="96"/>
        <v>0</v>
      </c>
      <c r="DU59" s="338">
        <v>46069</v>
      </c>
      <c r="DV59" s="27"/>
      <c r="DW59" s="35"/>
      <c r="DX59" s="204"/>
      <c r="DY59" s="215"/>
      <c r="DZ59" s="28"/>
      <c r="EA59" s="28"/>
      <c r="EB59" s="226">
        <f t="shared" si="97"/>
        <v>0</v>
      </c>
      <c r="ED59" s="338">
        <v>46069</v>
      </c>
      <c r="EE59" s="26"/>
      <c r="EF59" s="36"/>
      <c r="EG59" s="204"/>
      <c r="EH59" s="215"/>
      <c r="EI59" s="28"/>
      <c r="EJ59" s="28"/>
      <c r="EK59" s="226">
        <f t="shared" si="98"/>
        <v>0</v>
      </c>
      <c r="EM59" s="338">
        <v>46069</v>
      </c>
      <c r="EN59" s="26"/>
      <c r="EO59" s="28"/>
      <c r="EP59" s="204"/>
      <c r="EQ59" s="88">
        <v>103.79527000000002</v>
      </c>
      <c r="ER59" s="28"/>
      <c r="ES59" s="28"/>
      <c r="ET59" s="226">
        <f t="shared" si="99"/>
        <v>103.79527000000002</v>
      </c>
    </row>
    <row r="60" spans="2:150" ht="15.75" x14ac:dyDescent="0.25">
      <c r="B60" s="338">
        <v>46070</v>
      </c>
      <c r="C60" s="26"/>
      <c r="D60" s="26"/>
      <c r="E60" s="208"/>
      <c r="F60" s="204"/>
      <c r="G60" s="88"/>
      <c r="H60" s="329"/>
      <c r="I60" s="28"/>
      <c r="J60" s="226">
        <f t="shared" si="86"/>
        <v>0</v>
      </c>
      <c r="L60" s="338">
        <v>46070</v>
      </c>
      <c r="M60" s="26"/>
      <c r="N60" s="26"/>
      <c r="O60" s="29"/>
      <c r="P60" s="204"/>
      <c r="Q60" s="88"/>
      <c r="R60" s="28"/>
      <c r="S60" s="28"/>
      <c r="T60" s="226">
        <f t="shared" si="87"/>
        <v>0</v>
      </c>
      <c r="V60" s="338">
        <v>46070</v>
      </c>
      <c r="W60" s="26"/>
      <c r="X60" s="26"/>
      <c r="Y60" s="30"/>
      <c r="Z60" s="204"/>
      <c r="AA60" s="215"/>
      <c r="AB60" s="329"/>
      <c r="AC60" s="28"/>
      <c r="AD60" s="226">
        <f t="shared" si="88"/>
        <v>0</v>
      </c>
      <c r="AF60" s="338">
        <v>46070</v>
      </c>
      <c r="AG60" s="26"/>
      <c r="AH60" s="27"/>
      <c r="AI60" s="32"/>
      <c r="AJ60" s="204"/>
      <c r="AK60" s="88"/>
      <c r="AL60" s="328"/>
      <c r="AM60" s="335"/>
      <c r="AN60" s="226">
        <f t="shared" si="89"/>
        <v>0</v>
      </c>
      <c r="AP60" s="338">
        <v>46129</v>
      </c>
      <c r="AQ60" s="26"/>
      <c r="AR60" s="27"/>
      <c r="AS60" s="26"/>
      <c r="AT60" s="32"/>
      <c r="AU60" s="204"/>
      <c r="AV60" s="88"/>
      <c r="AW60" s="28"/>
      <c r="AX60" s="28"/>
      <c r="AY60" s="226">
        <f t="shared" si="90"/>
        <v>0</v>
      </c>
      <c r="BA60" s="338">
        <v>46070</v>
      </c>
      <c r="BB60" s="26"/>
      <c r="BC60" s="27"/>
      <c r="BD60" s="33"/>
      <c r="BE60" s="32"/>
      <c r="BF60" s="204"/>
      <c r="BG60" s="215"/>
      <c r="BH60" s="328"/>
      <c r="BI60" s="28"/>
      <c r="BJ60" s="226">
        <f t="shared" si="91"/>
        <v>0</v>
      </c>
      <c r="BL60" s="338">
        <v>46070</v>
      </c>
      <c r="BM60" s="27"/>
      <c r="BN60" s="27"/>
      <c r="BO60" s="29"/>
      <c r="BP60" s="33"/>
      <c r="BQ60" s="204"/>
      <c r="BR60" s="215"/>
      <c r="BS60" s="328"/>
      <c r="BT60" s="28"/>
      <c r="BU60" s="226">
        <f t="shared" si="92"/>
        <v>0</v>
      </c>
      <c r="BW60" s="338">
        <v>46070</v>
      </c>
      <c r="BX60" s="26"/>
      <c r="BY60" s="26"/>
      <c r="BZ60" s="41"/>
      <c r="CA60" s="204"/>
      <c r="CB60" s="88"/>
      <c r="CC60" s="328"/>
      <c r="CD60" s="335"/>
      <c r="CE60" s="226">
        <f t="shared" si="93"/>
        <v>0</v>
      </c>
      <c r="CG60" s="338">
        <v>46070</v>
      </c>
      <c r="CH60" s="26"/>
      <c r="CI60" s="27"/>
      <c r="CJ60" s="29"/>
      <c r="CK60" s="204"/>
      <c r="CL60" s="215"/>
      <c r="CM60" s="329"/>
      <c r="CN60" s="28"/>
      <c r="CO60" s="226">
        <f t="shared" si="94"/>
        <v>0</v>
      </c>
      <c r="CQ60" s="338">
        <v>46070</v>
      </c>
      <c r="CR60" s="27"/>
      <c r="CS60" s="27"/>
      <c r="CT60" s="32"/>
      <c r="CU60" s="154"/>
      <c r="CV60" s="204"/>
      <c r="CW60" s="88"/>
      <c r="CX60" s="329"/>
      <c r="CY60" s="335"/>
      <c r="CZ60" s="226">
        <f t="shared" si="100"/>
        <v>0</v>
      </c>
      <c r="DA60" s="228"/>
      <c r="DB60" s="338">
        <v>46070</v>
      </c>
      <c r="DC60" s="27"/>
      <c r="DD60" s="27"/>
      <c r="DE60" s="32"/>
      <c r="DF60" s="204"/>
      <c r="DG60" s="88"/>
      <c r="DH60" s="328"/>
      <c r="DI60" s="335"/>
      <c r="DJ60" s="226">
        <f t="shared" si="95"/>
        <v>0</v>
      </c>
      <c r="DL60" s="338">
        <v>46070</v>
      </c>
      <c r="DM60" s="27"/>
      <c r="DN60" s="28"/>
      <c r="DO60" s="204"/>
      <c r="DP60" s="215"/>
      <c r="DQ60" s="28"/>
      <c r="DR60" s="28"/>
      <c r="DS60" s="226">
        <f t="shared" si="96"/>
        <v>0</v>
      </c>
      <c r="DU60" s="338">
        <v>46070</v>
      </c>
      <c r="DV60" s="27"/>
      <c r="DW60" s="35"/>
      <c r="DX60" s="204"/>
      <c r="DY60" s="215"/>
      <c r="DZ60" s="28"/>
      <c r="EA60" s="28"/>
      <c r="EB60" s="226">
        <f t="shared" si="97"/>
        <v>0</v>
      </c>
      <c r="ED60" s="338">
        <v>46070</v>
      </c>
      <c r="EE60" s="26"/>
      <c r="EF60" s="36"/>
      <c r="EG60" s="204"/>
      <c r="EH60" s="215"/>
      <c r="EI60" s="28"/>
      <c r="EJ60" s="28"/>
      <c r="EK60" s="226">
        <f t="shared" si="98"/>
        <v>0</v>
      </c>
      <c r="EM60" s="338">
        <v>46070</v>
      </c>
      <c r="EN60" s="26"/>
      <c r="EO60" s="28"/>
      <c r="EP60" s="204"/>
      <c r="EQ60" s="88">
        <v>13.991659999999996</v>
      </c>
      <c r="ER60" s="28"/>
      <c r="ES60" s="28"/>
      <c r="ET60" s="226">
        <f t="shared" si="99"/>
        <v>13.991659999999996</v>
      </c>
    </row>
    <row r="61" spans="2:150" ht="15.75" x14ac:dyDescent="0.25">
      <c r="B61" s="338">
        <v>46071</v>
      </c>
      <c r="C61" s="26"/>
      <c r="D61" s="26"/>
      <c r="E61" s="208"/>
      <c r="F61" s="204"/>
      <c r="G61" s="88"/>
      <c r="H61" s="329"/>
      <c r="I61" s="28"/>
      <c r="J61" s="226">
        <f t="shared" si="86"/>
        <v>0</v>
      </c>
      <c r="L61" s="338">
        <v>46071</v>
      </c>
      <c r="M61" s="26"/>
      <c r="N61" s="26"/>
      <c r="O61" s="29"/>
      <c r="P61" s="204"/>
      <c r="Q61" s="88"/>
      <c r="R61" s="28"/>
      <c r="S61" s="28"/>
      <c r="T61" s="226">
        <f t="shared" si="87"/>
        <v>0</v>
      </c>
      <c r="V61" s="338">
        <v>46071</v>
      </c>
      <c r="W61" s="26"/>
      <c r="X61" s="26"/>
      <c r="Y61" s="30"/>
      <c r="Z61" s="204"/>
      <c r="AA61" s="215"/>
      <c r="AB61" s="329"/>
      <c r="AC61" s="28"/>
      <c r="AD61" s="226">
        <f t="shared" si="88"/>
        <v>0</v>
      </c>
      <c r="AF61" s="338">
        <v>46071</v>
      </c>
      <c r="AG61" s="26"/>
      <c r="AH61" s="27"/>
      <c r="AI61" s="29"/>
      <c r="AJ61" s="204"/>
      <c r="AK61" s="88"/>
      <c r="AL61" s="328"/>
      <c r="AM61" s="335"/>
      <c r="AN61" s="226">
        <f t="shared" si="89"/>
        <v>0</v>
      </c>
      <c r="AP61" s="338">
        <v>46130</v>
      </c>
      <c r="AQ61" s="26"/>
      <c r="AR61" s="26"/>
      <c r="AS61" s="26"/>
      <c r="AT61" s="32"/>
      <c r="AU61" s="204"/>
      <c r="AV61" s="88"/>
      <c r="AW61" s="28"/>
      <c r="AX61" s="28"/>
      <c r="AY61" s="226">
        <f t="shared" si="90"/>
        <v>0</v>
      </c>
      <c r="BA61" s="338">
        <v>46071</v>
      </c>
      <c r="BB61" s="26"/>
      <c r="BC61" s="27"/>
      <c r="BD61" s="33"/>
      <c r="BE61" s="32"/>
      <c r="BF61" s="204"/>
      <c r="BG61" s="215"/>
      <c r="BH61" s="328"/>
      <c r="BI61" s="28"/>
      <c r="BJ61" s="226">
        <f t="shared" si="91"/>
        <v>0</v>
      </c>
      <c r="BL61" s="338">
        <v>46071</v>
      </c>
      <c r="BM61" s="27"/>
      <c r="BN61" s="27"/>
      <c r="BO61" s="29"/>
      <c r="BP61" s="33"/>
      <c r="BQ61" s="204"/>
      <c r="BR61" s="215"/>
      <c r="BS61" s="328"/>
      <c r="BT61" s="28"/>
      <c r="BU61" s="226">
        <f t="shared" si="92"/>
        <v>0</v>
      </c>
      <c r="BW61" s="338">
        <v>46071</v>
      </c>
      <c r="BX61" s="26"/>
      <c r="BY61" s="27"/>
      <c r="BZ61" s="37"/>
      <c r="CA61" s="204"/>
      <c r="CB61" s="88"/>
      <c r="CC61" s="328"/>
      <c r="CD61" s="335"/>
      <c r="CE61" s="226">
        <f t="shared" si="93"/>
        <v>0</v>
      </c>
      <c r="CG61" s="338">
        <v>46071</v>
      </c>
      <c r="CH61" s="26"/>
      <c r="CI61" s="27"/>
      <c r="CJ61" s="29"/>
      <c r="CK61" s="204"/>
      <c r="CL61" s="215"/>
      <c r="CM61" s="329"/>
      <c r="CN61" s="28"/>
      <c r="CO61" s="226">
        <f t="shared" si="94"/>
        <v>0</v>
      </c>
      <c r="CQ61" s="338">
        <v>46071</v>
      </c>
      <c r="CR61" s="27"/>
      <c r="CS61" s="27"/>
      <c r="CT61" s="32"/>
      <c r="CU61" s="33"/>
      <c r="CV61" s="204"/>
      <c r="CW61" s="88"/>
      <c r="CX61" s="329"/>
      <c r="CY61" s="335"/>
      <c r="CZ61" s="226">
        <f t="shared" si="100"/>
        <v>0</v>
      </c>
      <c r="DA61" s="228"/>
      <c r="DB61" s="338">
        <v>46071</v>
      </c>
      <c r="DC61" s="26"/>
      <c r="DD61" s="27"/>
      <c r="DE61" s="29"/>
      <c r="DF61" s="204"/>
      <c r="DG61" s="88"/>
      <c r="DH61" s="328"/>
      <c r="DI61" s="335"/>
      <c r="DJ61" s="226">
        <f t="shared" si="95"/>
        <v>0</v>
      </c>
      <c r="DL61" s="338">
        <v>46071</v>
      </c>
      <c r="DM61" s="27"/>
      <c r="DN61" s="28"/>
      <c r="DO61" s="204"/>
      <c r="DP61" s="215"/>
      <c r="DQ61" s="28"/>
      <c r="DR61" s="28"/>
      <c r="DS61" s="226">
        <f t="shared" si="96"/>
        <v>0</v>
      </c>
      <c r="DU61" s="338">
        <v>46071</v>
      </c>
      <c r="DV61" s="27"/>
      <c r="DW61" s="35"/>
      <c r="DX61" s="204"/>
      <c r="DY61" s="215"/>
      <c r="DZ61" s="28"/>
      <c r="EA61" s="28"/>
      <c r="EB61" s="226">
        <f t="shared" si="97"/>
        <v>0</v>
      </c>
      <c r="ED61" s="338">
        <v>46071</v>
      </c>
      <c r="EE61" s="26"/>
      <c r="EF61" s="36"/>
      <c r="EG61" s="204"/>
      <c r="EH61" s="215"/>
      <c r="EI61" s="28"/>
      <c r="EJ61" s="28"/>
      <c r="EK61" s="226">
        <f t="shared" si="98"/>
        <v>0</v>
      </c>
      <c r="EM61" s="338">
        <v>46071</v>
      </c>
      <c r="EN61" s="26"/>
      <c r="EO61" s="28"/>
      <c r="EP61" s="204"/>
      <c r="EQ61" s="88">
        <v>53.91798</v>
      </c>
      <c r="ER61" s="28"/>
      <c r="ES61" s="28"/>
      <c r="ET61" s="226">
        <f t="shared" si="99"/>
        <v>53.91798</v>
      </c>
    </row>
    <row r="62" spans="2:150" ht="15.75" x14ac:dyDescent="0.25">
      <c r="B62" s="338">
        <v>46072</v>
      </c>
      <c r="C62" s="26"/>
      <c r="D62" s="26"/>
      <c r="E62" s="208"/>
      <c r="F62" s="204"/>
      <c r="G62" s="88"/>
      <c r="H62" s="329"/>
      <c r="I62" s="28"/>
      <c r="J62" s="226">
        <f t="shared" si="86"/>
        <v>0</v>
      </c>
      <c r="L62" s="338">
        <v>46072</v>
      </c>
      <c r="M62" s="26"/>
      <c r="N62" s="26"/>
      <c r="O62" s="29"/>
      <c r="P62" s="204"/>
      <c r="Q62" s="88"/>
      <c r="R62" s="28"/>
      <c r="S62" s="28"/>
      <c r="T62" s="226">
        <f t="shared" si="87"/>
        <v>0</v>
      </c>
      <c r="V62" s="338">
        <v>46072</v>
      </c>
      <c r="W62" s="26"/>
      <c r="X62" s="26"/>
      <c r="Y62" s="30"/>
      <c r="Z62" s="204"/>
      <c r="AA62" s="215"/>
      <c r="AB62" s="329"/>
      <c r="AC62" s="28"/>
      <c r="AD62" s="226">
        <f t="shared" si="88"/>
        <v>0</v>
      </c>
      <c r="AF62" s="338">
        <v>46072</v>
      </c>
      <c r="AG62" s="26"/>
      <c r="AH62" s="27"/>
      <c r="AI62" s="32"/>
      <c r="AJ62" s="204"/>
      <c r="AK62" s="88"/>
      <c r="AL62" s="328"/>
      <c r="AM62" s="335"/>
      <c r="AN62" s="226">
        <f t="shared" si="89"/>
        <v>0</v>
      </c>
      <c r="AP62" s="338">
        <v>46131</v>
      </c>
      <c r="AQ62" s="26"/>
      <c r="AR62" s="26"/>
      <c r="AS62" s="26"/>
      <c r="AT62" s="32"/>
      <c r="AU62" s="204"/>
      <c r="AV62" s="88"/>
      <c r="AW62" s="28"/>
      <c r="AX62" s="28"/>
      <c r="AY62" s="226">
        <f t="shared" si="90"/>
        <v>0</v>
      </c>
      <c r="BA62" s="338">
        <v>46072</v>
      </c>
      <c r="BB62" s="27"/>
      <c r="BC62" s="27"/>
      <c r="BD62" s="33"/>
      <c r="BE62" s="32"/>
      <c r="BF62" s="204"/>
      <c r="BG62" s="215"/>
      <c r="BH62" s="328"/>
      <c r="BI62" s="28"/>
      <c r="BJ62" s="226">
        <f t="shared" si="91"/>
        <v>0</v>
      </c>
      <c r="BL62" s="338">
        <v>46072</v>
      </c>
      <c r="BM62" s="27"/>
      <c r="BN62" s="27"/>
      <c r="BO62" s="29"/>
      <c r="BP62" s="33"/>
      <c r="BQ62" s="204"/>
      <c r="BR62" s="215"/>
      <c r="BS62" s="328"/>
      <c r="BT62" s="28"/>
      <c r="BU62" s="226">
        <f t="shared" si="92"/>
        <v>0</v>
      </c>
      <c r="BW62" s="338">
        <v>46072</v>
      </c>
      <c r="BX62" s="26"/>
      <c r="BY62" s="27"/>
      <c r="BZ62" s="41"/>
      <c r="CA62" s="204"/>
      <c r="CB62" s="88"/>
      <c r="CC62" s="328"/>
      <c r="CD62" s="335"/>
      <c r="CE62" s="226">
        <f t="shared" si="93"/>
        <v>0</v>
      </c>
      <c r="CG62" s="338">
        <v>46072</v>
      </c>
      <c r="CH62" s="26"/>
      <c r="CI62" s="27"/>
      <c r="CJ62" s="29"/>
      <c r="CK62" s="204"/>
      <c r="CL62" s="215"/>
      <c r="CM62" s="329"/>
      <c r="CN62" s="28"/>
      <c r="CO62" s="226">
        <f t="shared" si="94"/>
        <v>0</v>
      </c>
      <c r="CQ62" s="338">
        <v>46072</v>
      </c>
      <c r="CR62" s="27"/>
      <c r="CS62" s="27"/>
      <c r="CT62" s="32"/>
      <c r="CU62" s="33"/>
      <c r="CV62" s="204"/>
      <c r="CW62" s="88"/>
      <c r="CX62" s="329"/>
      <c r="CY62" s="335"/>
      <c r="CZ62" s="226">
        <f t="shared" si="100"/>
        <v>0</v>
      </c>
      <c r="DA62" s="228"/>
      <c r="DB62" s="338">
        <v>46072</v>
      </c>
      <c r="DC62" s="26"/>
      <c r="DD62" s="27"/>
      <c r="DE62" s="32"/>
      <c r="DF62" s="204"/>
      <c r="DG62" s="88"/>
      <c r="DH62" s="328"/>
      <c r="DI62" s="335"/>
      <c r="DJ62" s="226">
        <f t="shared" si="95"/>
        <v>0</v>
      </c>
      <c r="DL62" s="338">
        <v>46072</v>
      </c>
      <c r="DM62" s="27"/>
      <c r="DN62" s="28"/>
      <c r="DO62" s="204"/>
      <c r="DP62" s="215"/>
      <c r="DQ62" s="28"/>
      <c r="DR62" s="28"/>
      <c r="DS62" s="226">
        <f t="shared" si="96"/>
        <v>0</v>
      </c>
      <c r="DU62" s="338">
        <v>46072</v>
      </c>
      <c r="DV62" s="27"/>
      <c r="DW62" s="35"/>
      <c r="DX62" s="204"/>
      <c r="DY62" s="215"/>
      <c r="DZ62" s="28"/>
      <c r="EA62" s="28"/>
      <c r="EB62" s="226">
        <f t="shared" si="97"/>
        <v>0</v>
      </c>
      <c r="ED62" s="338">
        <v>46072</v>
      </c>
      <c r="EE62" s="26"/>
      <c r="EF62" s="36"/>
      <c r="EG62" s="204"/>
      <c r="EH62" s="215"/>
      <c r="EI62" s="28"/>
      <c r="EJ62" s="28"/>
      <c r="EK62" s="226">
        <f t="shared" si="98"/>
        <v>0</v>
      </c>
      <c r="EM62" s="338">
        <v>46072</v>
      </c>
      <c r="EN62" s="26"/>
      <c r="EO62" s="28"/>
      <c r="EP62" s="204"/>
      <c r="EQ62" s="88">
        <v>14.152339999999981</v>
      </c>
      <c r="ER62" s="28"/>
      <c r="ES62" s="28"/>
      <c r="ET62" s="226">
        <f t="shared" si="99"/>
        <v>14.152339999999981</v>
      </c>
    </row>
    <row r="63" spans="2:150" ht="15.75" x14ac:dyDescent="0.25">
      <c r="B63" s="338">
        <v>46073</v>
      </c>
      <c r="C63" s="26"/>
      <c r="D63" s="27"/>
      <c r="E63" s="208"/>
      <c r="F63" s="204"/>
      <c r="G63" s="88"/>
      <c r="H63" s="329"/>
      <c r="I63" s="28"/>
      <c r="J63" s="226">
        <f t="shared" si="86"/>
        <v>0</v>
      </c>
      <c r="L63" s="338">
        <v>46073</v>
      </c>
      <c r="M63" s="26"/>
      <c r="N63" s="26"/>
      <c r="O63" s="29"/>
      <c r="P63" s="204"/>
      <c r="Q63" s="88"/>
      <c r="R63" s="28"/>
      <c r="S63" s="28"/>
      <c r="T63" s="226">
        <f t="shared" si="87"/>
        <v>0</v>
      </c>
      <c r="V63" s="338">
        <v>46073</v>
      </c>
      <c r="W63" s="26"/>
      <c r="X63" s="26"/>
      <c r="Y63" s="30"/>
      <c r="Z63" s="204"/>
      <c r="AA63" s="215"/>
      <c r="AB63" s="329"/>
      <c r="AC63" s="28"/>
      <c r="AD63" s="226">
        <f t="shared" si="88"/>
        <v>0</v>
      </c>
      <c r="AF63" s="338">
        <v>46073</v>
      </c>
      <c r="AG63" s="26"/>
      <c r="AH63" s="26"/>
      <c r="AI63" s="29"/>
      <c r="AJ63" s="204"/>
      <c r="AK63" s="88"/>
      <c r="AL63" s="328"/>
      <c r="AM63" s="335"/>
      <c r="AN63" s="226">
        <f t="shared" si="89"/>
        <v>0</v>
      </c>
      <c r="AP63" s="338">
        <v>46132</v>
      </c>
      <c r="AQ63" s="26"/>
      <c r="AR63" s="26"/>
      <c r="AS63" s="26"/>
      <c r="AT63" s="32"/>
      <c r="AU63" s="204"/>
      <c r="AV63" s="88"/>
      <c r="AW63" s="28"/>
      <c r="AX63" s="28"/>
      <c r="AY63" s="226">
        <f t="shared" si="90"/>
        <v>0</v>
      </c>
      <c r="BA63" s="338">
        <v>46073</v>
      </c>
      <c r="BB63" s="27"/>
      <c r="BC63" s="27"/>
      <c r="BD63" s="33"/>
      <c r="BE63" s="32"/>
      <c r="BF63" s="204"/>
      <c r="BG63" s="215"/>
      <c r="BH63" s="328"/>
      <c r="BI63" s="28"/>
      <c r="BJ63" s="226">
        <f t="shared" si="91"/>
        <v>0</v>
      </c>
      <c r="BL63" s="338">
        <v>46073</v>
      </c>
      <c r="BM63" s="27"/>
      <c r="BN63" s="27"/>
      <c r="BO63" s="29"/>
      <c r="BP63" s="33"/>
      <c r="BQ63" s="204"/>
      <c r="BR63" s="215"/>
      <c r="BS63" s="328"/>
      <c r="BT63" s="28"/>
      <c r="BU63" s="226">
        <f t="shared" si="92"/>
        <v>0</v>
      </c>
      <c r="BW63" s="338">
        <v>46073</v>
      </c>
      <c r="BX63" s="26"/>
      <c r="BY63" s="26"/>
      <c r="BZ63" s="37"/>
      <c r="CA63" s="204"/>
      <c r="CB63" s="88"/>
      <c r="CC63" s="328"/>
      <c r="CD63" s="335"/>
      <c r="CE63" s="226">
        <f t="shared" si="93"/>
        <v>0</v>
      </c>
      <c r="CG63" s="338">
        <v>46073</v>
      </c>
      <c r="CH63" s="26"/>
      <c r="CI63" s="27"/>
      <c r="CJ63" s="29"/>
      <c r="CK63" s="204"/>
      <c r="CL63" s="215"/>
      <c r="CM63" s="329"/>
      <c r="CN63" s="28"/>
      <c r="CO63" s="226">
        <f t="shared" si="94"/>
        <v>0</v>
      </c>
      <c r="CQ63" s="338">
        <v>46073</v>
      </c>
      <c r="CR63" s="27"/>
      <c r="CS63" s="27"/>
      <c r="CT63" s="32"/>
      <c r="CU63" s="154"/>
      <c r="CV63" s="204"/>
      <c r="CW63" s="88"/>
      <c r="CX63" s="329"/>
      <c r="CY63" s="335"/>
      <c r="CZ63" s="226">
        <f t="shared" si="100"/>
        <v>0</v>
      </c>
      <c r="DA63" s="228"/>
      <c r="DB63" s="338">
        <v>46073</v>
      </c>
      <c r="DC63" s="26"/>
      <c r="DD63" s="27"/>
      <c r="DE63" s="29"/>
      <c r="DF63" s="204"/>
      <c r="DG63" s="88"/>
      <c r="DH63" s="328"/>
      <c r="DI63" s="335"/>
      <c r="DJ63" s="226">
        <f t="shared" si="95"/>
        <v>0</v>
      </c>
      <c r="DL63" s="338">
        <v>46073</v>
      </c>
      <c r="DM63" s="27"/>
      <c r="DN63" s="28"/>
      <c r="DO63" s="204"/>
      <c r="DP63" s="215"/>
      <c r="DQ63" s="28"/>
      <c r="DR63" s="28"/>
      <c r="DS63" s="226">
        <f t="shared" si="96"/>
        <v>0</v>
      </c>
      <c r="DU63" s="338">
        <v>46073</v>
      </c>
      <c r="DV63" s="27"/>
      <c r="DW63" s="35"/>
      <c r="DX63" s="204"/>
      <c r="DY63" s="215"/>
      <c r="DZ63" s="28"/>
      <c r="EA63" s="28"/>
      <c r="EB63" s="226">
        <f t="shared" si="97"/>
        <v>0</v>
      </c>
      <c r="ED63" s="338">
        <v>46073</v>
      </c>
      <c r="EE63" s="26"/>
      <c r="EF63" s="36"/>
      <c r="EG63" s="204"/>
      <c r="EH63" s="215"/>
      <c r="EI63" s="28"/>
      <c r="EJ63" s="28"/>
      <c r="EK63" s="226">
        <f t="shared" si="98"/>
        <v>0</v>
      </c>
      <c r="EM63" s="338">
        <v>46073</v>
      </c>
      <c r="EN63" s="26"/>
      <c r="EO63" s="28"/>
      <c r="EP63" s="204"/>
      <c r="EQ63" s="88">
        <v>84.609379999999973</v>
      </c>
      <c r="ER63" s="28"/>
      <c r="ES63" s="28"/>
      <c r="ET63" s="226">
        <f t="shared" si="99"/>
        <v>84.609379999999973</v>
      </c>
    </row>
    <row r="64" spans="2:150" ht="15.75" x14ac:dyDescent="0.25">
      <c r="B64" s="338">
        <v>46074</v>
      </c>
      <c r="C64" s="26"/>
      <c r="D64" s="27"/>
      <c r="E64" s="208"/>
      <c r="F64" s="204"/>
      <c r="G64" s="88"/>
      <c r="H64" s="329"/>
      <c r="I64" s="28"/>
      <c r="J64" s="226">
        <f t="shared" si="86"/>
        <v>0</v>
      </c>
      <c r="L64" s="338">
        <v>46074</v>
      </c>
      <c r="M64" s="26"/>
      <c r="N64" s="26"/>
      <c r="O64" s="29"/>
      <c r="P64" s="204"/>
      <c r="Q64" s="88"/>
      <c r="R64" s="28"/>
      <c r="S64" s="28"/>
      <c r="T64" s="226">
        <f t="shared" si="87"/>
        <v>0</v>
      </c>
      <c r="V64" s="338">
        <v>46074</v>
      </c>
      <c r="W64" s="26"/>
      <c r="X64" s="26"/>
      <c r="Y64" s="30"/>
      <c r="Z64" s="204"/>
      <c r="AA64" s="215"/>
      <c r="AB64" s="329"/>
      <c r="AC64" s="28"/>
      <c r="AD64" s="226">
        <f t="shared" si="88"/>
        <v>0</v>
      </c>
      <c r="AF64" s="338">
        <v>46074</v>
      </c>
      <c r="AG64" s="26"/>
      <c r="AH64" s="26"/>
      <c r="AI64" s="32"/>
      <c r="AJ64" s="204"/>
      <c r="AK64" s="88"/>
      <c r="AL64" s="328"/>
      <c r="AM64" s="335"/>
      <c r="AN64" s="226">
        <f t="shared" si="89"/>
        <v>0</v>
      </c>
      <c r="AP64" s="338">
        <v>46133</v>
      </c>
      <c r="AQ64" s="26"/>
      <c r="AR64" s="26"/>
      <c r="AS64" s="26"/>
      <c r="AT64" s="43"/>
      <c r="AU64" s="204"/>
      <c r="AV64" s="88"/>
      <c r="AW64" s="28"/>
      <c r="AX64" s="28"/>
      <c r="AY64" s="226">
        <f t="shared" si="90"/>
        <v>0</v>
      </c>
      <c r="BA64" s="338">
        <v>46074</v>
      </c>
      <c r="BB64" s="27"/>
      <c r="BC64" s="27"/>
      <c r="BD64" s="33"/>
      <c r="BE64" s="29"/>
      <c r="BF64" s="204"/>
      <c r="BG64" s="215"/>
      <c r="BH64" s="328"/>
      <c r="BI64" s="28"/>
      <c r="BJ64" s="226">
        <f t="shared" si="91"/>
        <v>0</v>
      </c>
      <c r="BL64" s="338">
        <v>46074</v>
      </c>
      <c r="BM64" s="27"/>
      <c r="BN64" s="27"/>
      <c r="BO64" s="32"/>
      <c r="BP64" s="33"/>
      <c r="BQ64" s="204"/>
      <c r="BR64" s="215"/>
      <c r="BS64" s="328"/>
      <c r="BT64" s="28"/>
      <c r="BU64" s="226">
        <f t="shared" si="92"/>
        <v>0</v>
      </c>
      <c r="BW64" s="338">
        <v>46074</v>
      </c>
      <c r="BX64" s="26"/>
      <c r="BY64" s="26"/>
      <c r="BZ64" s="34"/>
      <c r="CA64" s="204"/>
      <c r="CB64" s="88"/>
      <c r="CC64" s="328"/>
      <c r="CD64" s="335"/>
      <c r="CE64" s="226">
        <f t="shared" si="93"/>
        <v>0</v>
      </c>
      <c r="CG64" s="338">
        <v>46074</v>
      </c>
      <c r="CH64" s="26"/>
      <c r="CI64" s="27"/>
      <c r="CJ64" s="29"/>
      <c r="CK64" s="204"/>
      <c r="CL64" s="215"/>
      <c r="CM64" s="329"/>
      <c r="CN64" s="28"/>
      <c r="CO64" s="226">
        <f t="shared" si="94"/>
        <v>0</v>
      </c>
      <c r="CQ64" s="338">
        <v>46074</v>
      </c>
      <c r="CR64" s="27"/>
      <c r="CS64" s="27"/>
      <c r="CT64" s="32"/>
      <c r="CU64" s="33"/>
      <c r="CV64" s="204"/>
      <c r="CW64" s="88"/>
      <c r="CX64" s="329"/>
      <c r="CY64" s="335"/>
      <c r="CZ64" s="226">
        <f t="shared" si="100"/>
        <v>0</v>
      </c>
      <c r="DA64" s="228"/>
      <c r="DB64" s="338">
        <v>46074</v>
      </c>
      <c r="DC64" s="26"/>
      <c r="DD64" s="27"/>
      <c r="DE64" s="32"/>
      <c r="DF64" s="204"/>
      <c r="DG64" s="88"/>
      <c r="DH64" s="328"/>
      <c r="DI64" s="335"/>
      <c r="DJ64" s="226">
        <f t="shared" si="95"/>
        <v>0</v>
      </c>
      <c r="DL64" s="338">
        <v>46074</v>
      </c>
      <c r="DM64" s="27"/>
      <c r="DN64" s="28"/>
      <c r="DO64" s="204"/>
      <c r="DP64" s="215"/>
      <c r="DQ64" s="28"/>
      <c r="DR64" s="28"/>
      <c r="DS64" s="226">
        <f t="shared" si="96"/>
        <v>0</v>
      </c>
      <c r="DU64" s="338">
        <v>46074</v>
      </c>
      <c r="DV64" s="27"/>
      <c r="DW64" s="35"/>
      <c r="DX64" s="204"/>
      <c r="DY64" s="215"/>
      <c r="DZ64" s="28"/>
      <c r="EA64" s="28"/>
      <c r="EB64" s="226">
        <f t="shared" si="97"/>
        <v>0</v>
      </c>
      <c r="ED64" s="338">
        <v>46074</v>
      </c>
      <c r="EE64" s="26"/>
      <c r="EF64" s="36"/>
      <c r="EG64" s="204"/>
      <c r="EH64" s="215"/>
      <c r="EI64" s="28"/>
      <c r="EJ64" s="28"/>
      <c r="EK64" s="226">
        <f t="shared" si="98"/>
        <v>0</v>
      </c>
      <c r="EM64" s="338">
        <v>46074</v>
      </c>
      <c r="EN64" s="26"/>
      <c r="EO64" s="28"/>
      <c r="EP64" s="204"/>
      <c r="EQ64" s="88">
        <v>62.717060999999937</v>
      </c>
      <c r="ER64" s="28"/>
      <c r="ES64" s="28"/>
      <c r="ET64" s="226">
        <f t="shared" si="99"/>
        <v>62.717060999999937</v>
      </c>
    </row>
    <row r="65" spans="2:150" ht="15.75" x14ac:dyDescent="0.25">
      <c r="B65" s="338">
        <v>46075</v>
      </c>
      <c r="C65" s="26"/>
      <c r="D65" s="27"/>
      <c r="E65" s="208"/>
      <c r="F65" s="204"/>
      <c r="G65" s="88"/>
      <c r="H65" s="329"/>
      <c r="I65" s="28"/>
      <c r="J65" s="226">
        <f t="shared" si="86"/>
        <v>0</v>
      </c>
      <c r="L65" s="338">
        <v>46075</v>
      </c>
      <c r="M65" s="26"/>
      <c r="N65" s="26"/>
      <c r="O65" s="29"/>
      <c r="P65" s="204"/>
      <c r="Q65" s="88"/>
      <c r="R65" s="28"/>
      <c r="S65" s="28"/>
      <c r="T65" s="226">
        <f t="shared" si="87"/>
        <v>0</v>
      </c>
      <c r="V65" s="338">
        <v>46075</v>
      </c>
      <c r="W65" s="26"/>
      <c r="X65" s="26"/>
      <c r="Y65" s="30"/>
      <c r="Z65" s="204"/>
      <c r="AA65" s="215"/>
      <c r="AB65" s="329"/>
      <c r="AC65" s="28"/>
      <c r="AD65" s="226">
        <f t="shared" si="88"/>
        <v>0</v>
      </c>
      <c r="AF65" s="338">
        <v>46075</v>
      </c>
      <c r="AG65" s="26"/>
      <c r="AH65" s="27"/>
      <c r="AI65" s="32"/>
      <c r="AJ65" s="204"/>
      <c r="AK65" s="88"/>
      <c r="AL65" s="328"/>
      <c r="AM65" s="335"/>
      <c r="AN65" s="226">
        <f t="shared" si="89"/>
        <v>0</v>
      </c>
      <c r="AP65" s="338">
        <v>46134</v>
      </c>
      <c r="AQ65" s="26"/>
      <c r="AR65" s="26"/>
      <c r="AS65" s="26"/>
      <c r="AT65" s="32"/>
      <c r="AU65" s="204"/>
      <c r="AV65" s="88"/>
      <c r="AW65" s="28"/>
      <c r="AX65" s="28"/>
      <c r="AY65" s="226">
        <f t="shared" si="90"/>
        <v>0</v>
      </c>
      <c r="BA65" s="338">
        <v>46075</v>
      </c>
      <c r="BB65" s="27"/>
      <c r="BC65" s="27"/>
      <c r="BD65" s="33"/>
      <c r="BE65" s="32"/>
      <c r="BF65" s="204"/>
      <c r="BG65" s="215"/>
      <c r="BH65" s="328"/>
      <c r="BI65" s="28"/>
      <c r="BJ65" s="226">
        <f t="shared" si="91"/>
        <v>0</v>
      </c>
      <c r="BL65" s="338">
        <v>46075</v>
      </c>
      <c r="BM65" s="27"/>
      <c r="BN65" s="27"/>
      <c r="BO65" s="29"/>
      <c r="BP65" s="33"/>
      <c r="BQ65" s="204"/>
      <c r="BR65" s="215"/>
      <c r="BS65" s="328"/>
      <c r="BT65" s="28"/>
      <c r="BU65" s="226">
        <f t="shared" si="92"/>
        <v>0</v>
      </c>
      <c r="BW65" s="338">
        <v>46075</v>
      </c>
      <c r="BX65" s="26"/>
      <c r="BY65" s="27"/>
      <c r="BZ65" s="34"/>
      <c r="CA65" s="204"/>
      <c r="CB65" s="88"/>
      <c r="CC65" s="328"/>
      <c r="CD65" s="335"/>
      <c r="CE65" s="226">
        <f t="shared" si="93"/>
        <v>0</v>
      </c>
      <c r="CG65" s="338">
        <v>46075</v>
      </c>
      <c r="CH65" s="26"/>
      <c r="CI65" s="27"/>
      <c r="CJ65" s="29"/>
      <c r="CK65" s="204"/>
      <c r="CL65" s="215"/>
      <c r="CM65" s="329"/>
      <c r="CN65" s="28"/>
      <c r="CO65" s="226">
        <f t="shared" si="94"/>
        <v>0</v>
      </c>
      <c r="CQ65" s="338">
        <v>46075</v>
      </c>
      <c r="CR65" s="27"/>
      <c r="CS65" s="27"/>
      <c r="CT65" s="32"/>
      <c r="CU65" s="33"/>
      <c r="CV65" s="204"/>
      <c r="CW65" s="88"/>
      <c r="CX65" s="329"/>
      <c r="CY65" s="335"/>
      <c r="CZ65" s="226">
        <f t="shared" si="100"/>
        <v>0</v>
      </c>
      <c r="DA65" s="228"/>
      <c r="DB65" s="338">
        <v>46075</v>
      </c>
      <c r="DC65" s="26"/>
      <c r="DD65" s="27"/>
      <c r="DE65" s="29"/>
      <c r="DF65" s="204"/>
      <c r="DG65" s="88"/>
      <c r="DH65" s="328"/>
      <c r="DI65" s="335"/>
      <c r="DJ65" s="226">
        <f t="shared" si="95"/>
        <v>0</v>
      </c>
      <c r="DL65" s="338">
        <v>46075</v>
      </c>
      <c r="DM65" s="27"/>
      <c r="DN65" s="28"/>
      <c r="DO65" s="204"/>
      <c r="DP65" s="215"/>
      <c r="DQ65" s="28"/>
      <c r="DR65" s="28"/>
      <c r="DS65" s="226">
        <f t="shared" si="96"/>
        <v>0</v>
      </c>
      <c r="DU65" s="338">
        <v>46075</v>
      </c>
      <c r="DV65" s="27"/>
      <c r="DW65" s="35"/>
      <c r="DX65" s="204"/>
      <c r="DY65" s="215"/>
      <c r="DZ65" s="28"/>
      <c r="EA65" s="28"/>
      <c r="EB65" s="226">
        <f t="shared" si="97"/>
        <v>0</v>
      </c>
      <c r="ED65" s="338">
        <v>46075</v>
      </c>
      <c r="EE65" s="26"/>
      <c r="EF65" s="36"/>
      <c r="EG65" s="204"/>
      <c r="EH65" s="215"/>
      <c r="EI65" s="28"/>
      <c r="EJ65" s="28"/>
      <c r="EK65" s="226">
        <f t="shared" si="98"/>
        <v>0</v>
      </c>
      <c r="EM65" s="338">
        <v>46075</v>
      </c>
      <c r="EN65" s="26"/>
      <c r="EO65" s="28"/>
      <c r="EP65" s="204"/>
      <c r="EQ65" s="88">
        <v>92.518460999999917</v>
      </c>
      <c r="ER65" s="28"/>
      <c r="ES65" s="28"/>
      <c r="ET65" s="226">
        <f t="shared" si="99"/>
        <v>92.518460999999917</v>
      </c>
    </row>
    <row r="66" spans="2:150" ht="15.75" x14ac:dyDescent="0.25">
      <c r="B66" s="338">
        <v>46076</v>
      </c>
      <c r="C66" s="26"/>
      <c r="D66" s="26"/>
      <c r="E66" s="208"/>
      <c r="F66" s="204"/>
      <c r="G66" s="88"/>
      <c r="H66" s="329"/>
      <c r="I66" s="28"/>
      <c r="J66" s="226">
        <f t="shared" si="86"/>
        <v>0</v>
      </c>
      <c r="L66" s="338">
        <v>46076</v>
      </c>
      <c r="M66" s="26"/>
      <c r="N66" s="26"/>
      <c r="O66" s="29"/>
      <c r="P66" s="204"/>
      <c r="Q66" s="88"/>
      <c r="R66" s="28"/>
      <c r="S66" s="28"/>
      <c r="T66" s="226">
        <f t="shared" si="87"/>
        <v>0</v>
      </c>
      <c r="V66" s="338">
        <v>46076</v>
      </c>
      <c r="W66" s="26"/>
      <c r="X66" s="26"/>
      <c r="Y66" s="30"/>
      <c r="Z66" s="204"/>
      <c r="AA66" s="215"/>
      <c r="AB66" s="329"/>
      <c r="AC66" s="28"/>
      <c r="AD66" s="226">
        <f t="shared" si="88"/>
        <v>0</v>
      </c>
      <c r="AF66" s="338">
        <v>46076</v>
      </c>
      <c r="AG66" s="26"/>
      <c r="AH66" s="26"/>
      <c r="AI66" s="29"/>
      <c r="AJ66" s="204"/>
      <c r="AK66" s="88"/>
      <c r="AL66" s="328"/>
      <c r="AM66" s="335"/>
      <c r="AN66" s="226">
        <f t="shared" si="89"/>
        <v>0</v>
      </c>
      <c r="AP66" s="338">
        <v>46135</v>
      </c>
      <c r="AQ66" s="26"/>
      <c r="AR66" s="26"/>
      <c r="AS66" s="26"/>
      <c r="AT66" s="32"/>
      <c r="AU66" s="204"/>
      <c r="AV66" s="88"/>
      <c r="AW66" s="28"/>
      <c r="AX66" s="28"/>
      <c r="AY66" s="226">
        <f t="shared" si="90"/>
        <v>0</v>
      </c>
      <c r="BA66" s="338">
        <v>46076</v>
      </c>
      <c r="BB66" s="27"/>
      <c r="BC66" s="27"/>
      <c r="BD66" s="33"/>
      <c r="BE66" s="32"/>
      <c r="BF66" s="204"/>
      <c r="BG66" s="215"/>
      <c r="BH66" s="328"/>
      <c r="BI66" s="28"/>
      <c r="BJ66" s="226">
        <f t="shared" si="91"/>
        <v>0</v>
      </c>
      <c r="BL66" s="338">
        <v>46076</v>
      </c>
      <c r="BM66" s="26"/>
      <c r="BN66" s="27"/>
      <c r="BO66" s="29"/>
      <c r="BP66" s="33"/>
      <c r="BQ66" s="204"/>
      <c r="BR66" s="215"/>
      <c r="BS66" s="328"/>
      <c r="BT66" s="28"/>
      <c r="BU66" s="226">
        <f t="shared" si="92"/>
        <v>0</v>
      </c>
      <c r="BW66" s="338">
        <v>46076</v>
      </c>
      <c r="BX66" s="26"/>
      <c r="BY66" s="27"/>
      <c r="BZ66" s="34"/>
      <c r="CA66" s="204"/>
      <c r="CB66" s="88"/>
      <c r="CC66" s="328"/>
      <c r="CD66" s="335"/>
      <c r="CE66" s="226">
        <f t="shared" si="93"/>
        <v>0</v>
      </c>
      <c r="CG66" s="338">
        <v>46076</v>
      </c>
      <c r="CH66" s="26"/>
      <c r="CI66" s="27"/>
      <c r="CJ66" s="29"/>
      <c r="CK66" s="204"/>
      <c r="CL66" s="215"/>
      <c r="CM66" s="329"/>
      <c r="CN66" s="28"/>
      <c r="CO66" s="226">
        <f t="shared" si="94"/>
        <v>0</v>
      </c>
      <c r="CQ66" s="338">
        <v>46076</v>
      </c>
      <c r="CR66" s="27"/>
      <c r="CS66" s="27"/>
      <c r="CT66" s="32"/>
      <c r="CU66" s="33"/>
      <c r="CV66" s="204"/>
      <c r="CW66" s="88"/>
      <c r="CX66" s="329"/>
      <c r="CY66" s="335"/>
      <c r="CZ66" s="226">
        <f t="shared" si="100"/>
        <v>0</v>
      </c>
      <c r="DA66" s="228"/>
      <c r="DB66" s="338">
        <v>46076</v>
      </c>
      <c r="DC66" s="27"/>
      <c r="DD66" s="27"/>
      <c r="DE66" s="32"/>
      <c r="DF66" s="204"/>
      <c r="DG66" s="88"/>
      <c r="DH66" s="328"/>
      <c r="DI66" s="335"/>
      <c r="DJ66" s="226">
        <f t="shared" si="95"/>
        <v>0</v>
      </c>
      <c r="DL66" s="338">
        <v>46076</v>
      </c>
      <c r="DM66" s="27"/>
      <c r="DN66" s="28"/>
      <c r="DO66" s="204"/>
      <c r="DP66" s="215"/>
      <c r="DQ66" s="28"/>
      <c r="DR66" s="28"/>
      <c r="DS66" s="226">
        <f t="shared" si="96"/>
        <v>0</v>
      </c>
      <c r="DU66" s="338">
        <v>46076</v>
      </c>
      <c r="DV66" s="27"/>
      <c r="DW66" s="35"/>
      <c r="DX66" s="204"/>
      <c r="DY66" s="215"/>
      <c r="DZ66" s="28"/>
      <c r="EA66" s="28"/>
      <c r="EB66" s="226">
        <f t="shared" si="97"/>
        <v>0</v>
      </c>
      <c r="ED66" s="338">
        <v>46076</v>
      </c>
      <c r="EE66" s="26"/>
      <c r="EF66" s="36"/>
      <c r="EG66" s="204"/>
      <c r="EH66" s="215"/>
      <c r="EI66" s="28"/>
      <c r="EJ66" s="28"/>
      <c r="EK66" s="226">
        <f t="shared" si="98"/>
        <v>0</v>
      </c>
      <c r="EM66" s="338">
        <v>46076</v>
      </c>
      <c r="EN66" s="26"/>
      <c r="EO66" s="28"/>
      <c r="EP66" s="204"/>
      <c r="EQ66" s="88">
        <v>37.061570999999972</v>
      </c>
      <c r="ER66" s="28"/>
      <c r="ES66" s="28"/>
      <c r="ET66" s="226">
        <f t="shared" si="99"/>
        <v>37.061570999999972</v>
      </c>
    </row>
    <row r="67" spans="2:150" ht="15.75" x14ac:dyDescent="0.25">
      <c r="B67" s="338">
        <v>46077</v>
      </c>
      <c r="C67" s="26"/>
      <c r="D67" s="26"/>
      <c r="E67" s="208"/>
      <c r="F67" s="204"/>
      <c r="G67" s="88"/>
      <c r="H67" s="329"/>
      <c r="I67" s="28"/>
      <c r="J67" s="226">
        <f t="shared" si="86"/>
        <v>0</v>
      </c>
      <c r="L67" s="338">
        <v>46077</v>
      </c>
      <c r="M67" s="26"/>
      <c r="N67" s="26"/>
      <c r="O67" s="29"/>
      <c r="P67" s="204"/>
      <c r="Q67" s="88"/>
      <c r="R67" s="28"/>
      <c r="S67" s="28"/>
      <c r="T67" s="226">
        <f t="shared" si="87"/>
        <v>0</v>
      </c>
      <c r="V67" s="338">
        <v>46077</v>
      </c>
      <c r="W67" s="26"/>
      <c r="X67" s="26"/>
      <c r="Y67" s="30"/>
      <c r="Z67" s="204"/>
      <c r="AA67" s="215"/>
      <c r="AB67" s="329"/>
      <c r="AC67" s="28"/>
      <c r="AD67" s="226">
        <f t="shared" si="88"/>
        <v>0</v>
      </c>
      <c r="AF67" s="338">
        <v>46077</v>
      </c>
      <c r="AG67" s="26"/>
      <c r="AH67" s="26"/>
      <c r="AI67" s="32"/>
      <c r="AJ67" s="204"/>
      <c r="AK67" s="88"/>
      <c r="AL67" s="328"/>
      <c r="AM67" s="335"/>
      <c r="AN67" s="226">
        <f t="shared" si="89"/>
        <v>0</v>
      </c>
      <c r="AP67" s="338">
        <v>46136</v>
      </c>
      <c r="AQ67" s="26"/>
      <c r="AR67" s="26"/>
      <c r="AS67" s="26"/>
      <c r="AT67" s="32"/>
      <c r="AU67" s="204"/>
      <c r="AV67" s="88"/>
      <c r="AW67" s="28"/>
      <c r="AX67" s="28"/>
      <c r="AY67" s="226">
        <f t="shared" si="90"/>
        <v>0</v>
      </c>
      <c r="BA67" s="338">
        <v>46077</v>
      </c>
      <c r="BB67" s="27"/>
      <c r="BC67" s="27"/>
      <c r="BD67" s="33"/>
      <c r="BE67" s="32"/>
      <c r="BF67" s="204"/>
      <c r="BG67" s="215"/>
      <c r="BH67" s="328"/>
      <c r="BI67" s="28"/>
      <c r="BJ67" s="226">
        <f t="shared" si="91"/>
        <v>0</v>
      </c>
      <c r="BL67" s="338">
        <v>46077</v>
      </c>
      <c r="BM67" s="27"/>
      <c r="BN67" s="27"/>
      <c r="BO67" s="32"/>
      <c r="BP67" s="33"/>
      <c r="BQ67" s="204"/>
      <c r="BR67" s="215"/>
      <c r="BS67" s="328"/>
      <c r="BT67" s="28"/>
      <c r="BU67" s="226">
        <f t="shared" si="92"/>
        <v>0</v>
      </c>
      <c r="BW67" s="338">
        <v>46077</v>
      </c>
      <c r="BX67" s="26"/>
      <c r="BY67" s="27"/>
      <c r="BZ67" s="37"/>
      <c r="CA67" s="204"/>
      <c r="CB67" s="88"/>
      <c r="CC67" s="328"/>
      <c r="CD67" s="335"/>
      <c r="CE67" s="226">
        <f t="shared" si="93"/>
        <v>0</v>
      </c>
      <c r="CG67" s="338">
        <v>46077</v>
      </c>
      <c r="CH67" s="26"/>
      <c r="CI67" s="27"/>
      <c r="CJ67" s="29"/>
      <c r="CK67" s="204"/>
      <c r="CL67" s="215"/>
      <c r="CM67" s="329"/>
      <c r="CN67" s="28"/>
      <c r="CO67" s="226">
        <f t="shared" si="94"/>
        <v>0</v>
      </c>
      <c r="CQ67" s="338">
        <v>46077</v>
      </c>
      <c r="CR67" s="27"/>
      <c r="CS67" s="27"/>
      <c r="CT67" s="32"/>
      <c r="CU67" s="154"/>
      <c r="CV67" s="204"/>
      <c r="CW67" s="88"/>
      <c r="CX67" s="329"/>
      <c r="CY67" s="335"/>
      <c r="CZ67" s="226">
        <f t="shared" si="100"/>
        <v>0</v>
      </c>
      <c r="DA67" s="228"/>
      <c r="DB67" s="338">
        <v>46077</v>
      </c>
      <c r="DC67" s="27"/>
      <c r="DD67" s="27"/>
      <c r="DE67" s="32"/>
      <c r="DF67" s="204"/>
      <c r="DG67" s="88"/>
      <c r="DH67" s="328"/>
      <c r="DI67" s="335"/>
      <c r="DJ67" s="226">
        <f t="shared" si="95"/>
        <v>0</v>
      </c>
      <c r="DL67" s="338">
        <v>46077</v>
      </c>
      <c r="DM67" s="27"/>
      <c r="DN67" s="28"/>
      <c r="DO67" s="204"/>
      <c r="DP67" s="215"/>
      <c r="DQ67" s="28"/>
      <c r="DR67" s="28"/>
      <c r="DS67" s="226">
        <f t="shared" si="96"/>
        <v>0</v>
      </c>
      <c r="DU67" s="338">
        <v>46077</v>
      </c>
      <c r="DV67" s="27"/>
      <c r="DW67" s="35"/>
      <c r="DX67" s="204"/>
      <c r="DY67" s="215"/>
      <c r="DZ67" s="28"/>
      <c r="EA67" s="28"/>
      <c r="EB67" s="226">
        <f t="shared" si="97"/>
        <v>0</v>
      </c>
      <c r="ED67" s="338">
        <v>46077</v>
      </c>
      <c r="EE67" s="26"/>
      <c r="EF67" s="36"/>
      <c r="EG67" s="204"/>
      <c r="EH67" s="215"/>
      <c r="EI67" s="28"/>
      <c r="EJ67" s="28"/>
      <c r="EK67" s="226">
        <f t="shared" si="98"/>
        <v>0</v>
      </c>
      <c r="EM67" s="338">
        <v>46077</v>
      </c>
      <c r="EN67" s="26"/>
      <c r="EO67" s="28"/>
      <c r="EP67" s="204"/>
      <c r="EQ67" s="88"/>
      <c r="ER67" s="28"/>
      <c r="ES67" s="28"/>
      <c r="ET67" s="226">
        <f t="shared" si="99"/>
        <v>0</v>
      </c>
    </row>
    <row r="68" spans="2:150" ht="15.75" x14ac:dyDescent="0.25">
      <c r="B68" s="338">
        <v>46078</v>
      </c>
      <c r="C68" s="26"/>
      <c r="D68" s="27"/>
      <c r="E68" s="208"/>
      <c r="F68" s="204"/>
      <c r="G68" s="88"/>
      <c r="H68" s="329"/>
      <c r="I68" s="28"/>
      <c r="J68" s="226">
        <f t="shared" si="86"/>
        <v>0</v>
      </c>
      <c r="L68" s="338">
        <v>46078</v>
      </c>
      <c r="M68" s="26"/>
      <c r="N68" s="26"/>
      <c r="O68" s="29"/>
      <c r="P68" s="204"/>
      <c r="Q68" s="88"/>
      <c r="R68" s="28"/>
      <c r="S68" s="28"/>
      <c r="T68" s="226">
        <f t="shared" si="87"/>
        <v>0</v>
      </c>
      <c r="V68" s="338">
        <v>46078</v>
      </c>
      <c r="W68" s="26"/>
      <c r="X68" s="26"/>
      <c r="Y68" s="30"/>
      <c r="Z68" s="204"/>
      <c r="AA68" s="215"/>
      <c r="AB68" s="329"/>
      <c r="AC68" s="28"/>
      <c r="AD68" s="226">
        <f t="shared" si="88"/>
        <v>0</v>
      </c>
      <c r="AF68" s="338">
        <v>46078</v>
      </c>
      <c r="AG68" s="26"/>
      <c r="AH68" s="27"/>
      <c r="AI68" s="32"/>
      <c r="AJ68" s="204"/>
      <c r="AK68" s="88"/>
      <c r="AL68" s="328"/>
      <c r="AM68" s="335"/>
      <c r="AN68" s="226">
        <f t="shared" si="89"/>
        <v>0</v>
      </c>
      <c r="AP68" s="338">
        <v>46137</v>
      </c>
      <c r="AQ68" s="26"/>
      <c r="AR68" s="26"/>
      <c r="AS68" s="26"/>
      <c r="AT68" s="43"/>
      <c r="AU68" s="204"/>
      <c r="AV68" s="88"/>
      <c r="AW68" s="28"/>
      <c r="AX68" s="28"/>
      <c r="AY68" s="226">
        <f t="shared" si="90"/>
        <v>0</v>
      </c>
      <c r="BA68" s="338">
        <v>46078</v>
      </c>
      <c r="BB68" s="26"/>
      <c r="BC68" s="27"/>
      <c r="BD68" s="33"/>
      <c r="BE68" s="32"/>
      <c r="BF68" s="204"/>
      <c r="BG68" s="215"/>
      <c r="BH68" s="328"/>
      <c r="BI68" s="28"/>
      <c r="BJ68" s="226">
        <f t="shared" si="91"/>
        <v>0</v>
      </c>
      <c r="BL68" s="338">
        <v>46078</v>
      </c>
      <c r="BM68" s="27"/>
      <c r="BN68" s="27"/>
      <c r="BO68" s="29"/>
      <c r="BP68" s="33"/>
      <c r="BQ68" s="204"/>
      <c r="BR68" s="215"/>
      <c r="BS68" s="328"/>
      <c r="BT68" s="28"/>
      <c r="BU68" s="226">
        <f t="shared" si="92"/>
        <v>0</v>
      </c>
      <c r="BW68" s="338">
        <v>46078</v>
      </c>
      <c r="BX68" s="26"/>
      <c r="BY68" s="27"/>
      <c r="BZ68" s="34"/>
      <c r="CA68" s="204"/>
      <c r="CB68" s="88"/>
      <c r="CC68" s="328"/>
      <c r="CD68" s="335"/>
      <c r="CE68" s="226">
        <f t="shared" si="93"/>
        <v>0</v>
      </c>
      <c r="CG68" s="338">
        <v>46078</v>
      </c>
      <c r="CH68" s="26"/>
      <c r="CI68" s="27"/>
      <c r="CJ68" s="29"/>
      <c r="CK68" s="204"/>
      <c r="CL68" s="215"/>
      <c r="CM68" s="329"/>
      <c r="CN68" s="28"/>
      <c r="CO68" s="226">
        <f t="shared" si="94"/>
        <v>0</v>
      </c>
      <c r="CQ68" s="338">
        <v>46078</v>
      </c>
      <c r="CR68" s="27"/>
      <c r="CS68" s="27"/>
      <c r="CT68" s="32"/>
      <c r="CU68" s="33"/>
      <c r="CV68" s="204"/>
      <c r="CW68" s="88"/>
      <c r="CX68" s="329"/>
      <c r="CY68" s="335"/>
      <c r="CZ68" s="226">
        <f t="shared" si="100"/>
        <v>0</v>
      </c>
      <c r="DA68" s="228"/>
      <c r="DB68" s="338">
        <v>46078</v>
      </c>
      <c r="DC68" s="26"/>
      <c r="DD68" s="27"/>
      <c r="DE68" s="32"/>
      <c r="DF68" s="204"/>
      <c r="DG68" s="88"/>
      <c r="DH68" s="328"/>
      <c r="DI68" s="335"/>
      <c r="DJ68" s="226">
        <f t="shared" si="95"/>
        <v>0</v>
      </c>
      <c r="DL68" s="338">
        <v>46078</v>
      </c>
      <c r="DM68" s="27"/>
      <c r="DN68" s="28"/>
      <c r="DO68" s="204"/>
      <c r="DP68" s="215"/>
      <c r="DQ68" s="28"/>
      <c r="DR68" s="28"/>
      <c r="DS68" s="226">
        <f t="shared" si="96"/>
        <v>0</v>
      </c>
      <c r="DU68" s="338">
        <v>46078</v>
      </c>
      <c r="DV68" s="27"/>
      <c r="DW68" s="35"/>
      <c r="DX68" s="204"/>
      <c r="DY68" s="215"/>
      <c r="DZ68" s="28"/>
      <c r="EA68" s="28"/>
      <c r="EB68" s="226">
        <f t="shared" si="97"/>
        <v>0</v>
      </c>
      <c r="ED68" s="338">
        <v>46078</v>
      </c>
      <c r="EE68" s="26"/>
      <c r="EF68" s="36"/>
      <c r="EG68" s="204"/>
      <c r="EH68" s="215"/>
      <c r="EI68" s="28"/>
      <c r="EJ68" s="28"/>
      <c r="EK68" s="226">
        <f t="shared" si="98"/>
        <v>0</v>
      </c>
      <c r="EM68" s="338">
        <v>46078</v>
      </c>
      <c r="EN68" s="26"/>
      <c r="EO68" s="28"/>
      <c r="EP68" s="204"/>
      <c r="EQ68" s="88">
        <v>215.62259899999998</v>
      </c>
      <c r="ER68" s="28"/>
      <c r="ES68" s="28"/>
      <c r="ET68" s="226">
        <f t="shared" si="99"/>
        <v>215.62259899999998</v>
      </c>
    </row>
    <row r="69" spans="2:150" ht="15.75" x14ac:dyDescent="0.25">
      <c r="B69" s="338">
        <v>46079</v>
      </c>
      <c r="C69" s="26"/>
      <c r="D69" s="26"/>
      <c r="E69" s="208"/>
      <c r="F69" s="204"/>
      <c r="G69" s="88"/>
      <c r="H69" s="329"/>
      <c r="I69" s="28"/>
      <c r="J69" s="226">
        <f t="shared" si="86"/>
        <v>0</v>
      </c>
      <c r="L69" s="338">
        <v>46079</v>
      </c>
      <c r="M69" s="26"/>
      <c r="N69" s="26"/>
      <c r="O69" s="29"/>
      <c r="P69" s="204"/>
      <c r="Q69" s="88"/>
      <c r="R69" s="28"/>
      <c r="S69" s="28"/>
      <c r="T69" s="226">
        <f t="shared" si="87"/>
        <v>0</v>
      </c>
      <c r="V69" s="338">
        <v>46079</v>
      </c>
      <c r="W69" s="26"/>
      <c r="X69" s="26"/>
      <c r="Y69" s="30"/>
      <c r="Z69" s="204"/>
      <c r="AA69" s="215"/>
      <c r="AB69" s="329"/>
      <c r="AC69" s="28"/>
      <c r="AD69" s="226">
        <f t="shared" si="88"/>
        <v>0</v>
      </c>
      <c r="AF69" s="338">
        <v>46079</v>
      </c>
      <c r="AG69" s="26"/>
      <c r="AH69" s="27"/>
      <c r="AI69" s="29"/>
      <c r="AJ69" s="204"/>
      <c r="AK69" s="88"/>
      <c r="AL69" s="328"/>
      <c r="AM69" s="335"/>
      <c r="AN69" s="226">
        <f t="shared" si="89"/>
        <v>0</v>
      </c>
      <c r="AP69" s="338">
        <v>46138</v>
      </c>
      <c r="AQ69" s="26"/>
      <c r="AR69" s="27"/>
      <c r="AS69" s="26"/>
      <c r="AT69" s="32"/>
      <c r="AU69" s="204"/>
      <c r="AV69" s="88"/>
      <c r="AW69" s="28"/>
      <c r="AX69" s="28"/>
      <c r="AY69" s="226">
        <f t="shared" si="90"/>
        <v>0</v>
      </c>
      <c r="BA69" s="338">
        <v>46079</v>
      </c>
      <c r="BB69" s="27"/>
      <c r="BC69" s="27"/>
      <c r="BD69" s="33"/>
      <c r="BE69" s="32"/>
      <c r="BF69" s="204"/>
      <c r="BG69" s="215"/>
      <c r="BH69" s="328"/>
      <c r="BI69" s="28"/>
      <c r="BJ69" s="226">
        <f t="shared" si="91"/>
        <v>0</v>
      </c>
      <c r="BL69" s="338">
        <v>46079</v>
      </c>
      <c r="BM69" s="27"/>
      <c r="BN69" s="27"/>
      <c r="BO69" s="29"/>
      <c r="BP69" s="33"/>
      <c r="BQ69" s="204"/>
      <c r="BR69" s="215"/>
      <c r="BS69" s="328"/>
      <c r="BT69" s="28"/>
      <c r="BU69" s="226">
        <f t="shared" si="92"/>
        <v>0</v>
      </c>
      <c r="BW69" s="338">
        <v>46079</v>
      </c>
      <c r="BX69" s="26"/>
      <c r="BY69" s="27"/>
      <c r="BZ69" s="34"/>
      <c r="CA69" s="204"/>
      <c r="CB69" s="88"/>
      <c r="CC69" s="328"/>
      <c r="CD69" s="335"/>
      <c r="CE69" s="226">
        <f t="shared" si="93"/>
        <v>0</v>
      </c>
      <c r="CG69" s="338">
        <v>46079</v>
      </c>
      <c r="CH69" s="26"/>
      <c r="CI69" s="27"/>
      <c r="CJ69" s="29"/>
      <c r="CK69" s="204"/>
      <c r="CL69" s="215"/>
      <c r="CM69" s="329"/>
      <c r="CN69" s="28"/>
      <c r="CO69" s="226">
        <f t="shared" si="94"/>
        <v>0</v>
      </c>
      <c r="CQ69" s="338">
        <v>46079</v>
      </c>
      <c r="CR69" s="27"/>
      <c r="CS69" s="27"/>
      <c r="CT69" s="32"/>
      <c r="CU69" s="33"/>
      <c r="CV69" s="204"/>
      <c r="CW69" s="88"/>
      <c r="CX69" s="329"/>
      <c r="CY69" s="335"/>
      <c r="CZ69" s="226">
        <f t="shared" si="100"/>
        <v>0</v>
      </c>
      <c r="DA69" s="228"/>
      <c r="DB69" s="338">
        <v>46079</v>
      </c>
      <c r="DC69" s="26"/>
      <c r="DD69" s="27"/>
      <c r="DE69" s="32"/>
      <c r="DF69" s="204"/>
      <c r="DG69" s="88"/>
      <c r="DH69" s="328"/>
      <c r="DI69" s="335"/>
      <c r="DJ69" s="226">
        <f t="shared" si="95"/>
        <v>0</v>
      </c>
      <c r="DL69" s="338">
        <v>46079</v>
      </c>
      <c r="DM69" s="27"/>
      <c r="DN69" s="28"/>
      <c r="DO69" s="204"/>
      <c r="DP69" s="215"/>
      <c r="DQ69" s="28"/>
      <c r="DR69" s="28"/>
      <c r="DS69" s="226">
        <f t="shared" si="96"/>
        <v>0</v>
      </c>
      <c r="DU69" s="338">
        <v>46079</v>
      </c>
      <c r="DV69" s="27"/>
      <c r="DW69" s="35"/>
      <c r="DX69" s="204"/>
      <c r="DY69" s="215"/>
      <c r="DZ69" s="28"/>
      <c r="EA69" s="28"/>
      <c r="EB69" s="226">
        <f t="shared" si="97"/>
        <v>0</v>
      </c>
      <c r="ED69" s="338">
        <v>46079</v>
      </c>
      <c r="EE69" s="26"/>
      <c r="EF69" s="36"/>
      <c r="EG69" s="204"/>
      <c r="EH69" s="215"/>
      <c r="EI69" s="28"/>
      <c r="EJ69" s="28"/>
      <c r="EK69" s="226">
        <f t="shared" si="98"/>
        <v>0</v>
      </c>
      <c r="EM69" s="338">
        <v>46079</v>
      </c>
      <c r="EN69" s="26"/>
      <c r="EO69" s="28"/>
      <c r="EP69" s="204"/>
      <c r="EQ69" s="88">
        <v>9.2133210000000023</v>
      </c>
      <c r="ER69" s="28"/>
      <c r="ES69" s="28"/>
      <c r="ET69" s="226">
        <f t="shared" si="99"/>
        <v>9.2133210000000023</v>
      </c>
    </row>
    <row r="70" spans="2:150" ht="15.75" x14ac:dyDescent="0.25">
      <c r="B70" s="338">
        <v>46080</v>
      </c>
      <c r="C70" s="26"/>
      <c r="D70" s="26"/>
      <c r="E70" s="208"/>
      <c r="F70" s="204"/>
      <c r="G70" s="88"/>
      <c r="H70" s="329"/>
      <c r="I70" s="28"/>
      <c r="J70" s="226">
        <f t="shared" si="86"/>
        <v>0</v>
      </c>
      <c r="L70" s="338">
        <v>46080</v>
      </c>
      <c r="M70" s="26"/>
      <c r="N70" s="26"/>
      <c r="O70" s="29"/>
      <c r="P70" s="204"/>
      <c r="Q70" s="88"/>
      <c r="R70" s="28"/>
      <c r="S70" s="28"/>
      <c r="T70" s="226">
        <f t="shared" si="87"/>
        <v>0</v>
      </c>
      <c r="V70" s="338">
        <v>46080</v>
      </c>
      <c r="W70" s="26"/>
      <c r="X70" s="26"/>
      <c r="Y70" s="30"/>
      <c r="Z70" s="204"/>
      <c r="AA70" s="215"/>
      <c r="AB70" s="329"/>
      <c r="AC70" s="28"/>
      <c r="AD70" s="226">
        <f t="shared" si="88"/>
        <v>0</v>
      </c>
      <c r="AF70" s="338">
        <v>46080</v>
      </c>
      <c r="AG70" s="26"/>
      <c r="AH70" s="27"/>
      <c r="AI70" s="32"/>
      <c r="AJ70" s="204"/>
      <c r="AK70" s="88"/>
      <c r="AL70" s="328"/>
      <c r="AM70" s="335"/>
      <c r="AN70" s="226">
        <f t="shared" si="89"/>
        <v>0</v>
      </c>
      <c r="AP70" s="338">
        <v>46139</v>
      </c>
      <c r="AQ70" s="26"/>
      <c r="AR70" s="26"/>
      <c r="AS70" s="26"/>
      <c r="AT70" s="32"/>
      <c r="AU70" s="204"/>
      <c r="AV70" s="88"/>
      <c r="AW70" s="28"/>
      <c r="AX70" s="28"/>
      <c r="AY70" s="226">
        <f t="shared" si="90"/>
        <v>0</v>
      </c>
      <c r="BA70" s="338">
        <v>46080</v>
      </c>
      <c r="BB70" s="27"/>
      <c r="BC70" s="27"/>
      <c r="BD70" s="157"/>
      <c r="BE70" s="155"/>
      <c r="BF70" s="204"/>
      <c r="BG70" s="215"/>
      <c r="BH70" s="328"/>
      <c r="BI70" s="28"/>
      <c r="BJ70" s="226">
        <f t="shared" si="91"/>
        <v>0</v>
      </c>
      <c r="BL70" s="338">
        <v>46080</v>
      </c>
      <c r="BM70" s="27"/>
      <c r="BN70" s="27"/>
      <c r="BO70" s="29"/>
      <c r="BP70" s="33"/>
      <c r="BQ70" s="204"/>
      <c r="BR70" s="215"/>
      <c r="BS70" s="328"/>
      <c r="BT70" s="28"/>
      <c r="BU70" s="226">
        <f t="shared" si="92"/>
        <v>0</v>
      </c>
      <c r="BW70" s="338">
        <v>46080</v>
      </c>
      <c r="BX70" s="26"/>
      <c r="BY70" s="27"/>
      <c r="BZ70" s="34"/>
      <c r="CA70" s="204"/>
      <c r="CB70" s="88"/>
      <c r="CC70" s="328"/>
      <c r="CD70" s="335"/>
      <c r="CE70" s="226">
        <f t="shared" si="93"/>
        <v>0</v>
      </c>
      <c r="CG70" s="338">
        <v>46080</v>
      </c>
      <c r="CH70" s="26"/>
      <c r="CI70" s="27"/>
      <c r="CJ70" s="29"/>
      <c r="CK70" s="204"/>
      <c r="CL70" s="215"/>
      <c r="CM70" s="329"/>
      <c r="CN70" s="28"/>
      <c r="CO70" s="226">
        <f t="shared" si="94"/>
        <v>0</v>
      </c>
      <c r="CQ70" s="338">
        <v>46080</v>
      </c>
      <c r="CR70" s="27"/>
      <c r="CS70" s="27"/>
      <c r="CT70" s="32"/>
      <c r="CU70" s="33"/>
      <c r="CV70" s="204"/>
      <c r="CW70" s="88"/>
      <c r="CX70" s="329"/>
      <c r="CY70" s="335"/>
      <c r="CZ70" s="226">
        <f t="shared" si="100"/>
        <v>0</v>
      </c>
      <c r="DA70" s="228"/>
      <c r="DB70" s="338">
        <v>46080</v>
      </c>
      <c r="DC70" s="26"/>
      <c r="DD70" s="27"/>
      <c r="DE70" s="29"/>
      <c r="DF70" s="204"/>
      <c r="DG70" s="88"/>
      <c r="DH70" s="328"/>
      <c r="DI70" s="335"/>
      <c r="DJ70" s="226">
        <f t="shared" si="95"/>
        <v>0</v>
      </c>
      <c r="DL70" s="338">
        <v>46080</v>
      </c>
      <c r="DM70" s="27"/>
      <c r="DN70" s="28"/>
      <c r="DO70" s="204"/>
      <c r="DP70" s="215"/>
      <c r="DQ70" s="28"/>
      <c r="DR70" s="28"/>
      <c r="DS70" s="226">
        <f t="shared" si="96"/>
        <v>0</v>
      </c>
      <c r="DU70" s="338">
        <v>46080</v>
      </c>
      <c r="DV70" s="27"/>
      <c r="DW70" s="35"/>
      <c r="DX70" s="204"/>
      <c r="DY70" s="215"/>
      <c r="DZ70" s="28"/>
      <c r="EA70" s="28"/>
      <c r="EB70" s="226">
        <f t="shared" si="97"/>
        <v>0</v>
      </c>
      <c r="ED70" s="338">
        <v>46080</v>
      </c>
      <c r="EE70" s="26"/>
      <c r="EF70" s="36"/>
      <c r="EG70" s="204"/>
      <c r="EH70" s="215"/>
      <c r="EI70" s="28"/>
      <c r="EJ70" s="28"/>
      <c r="EK70" s="226">
        <f t="shared" si="98"/>
        <v>0</v>
      </c>
      <c r="EM70" s="338">
        <v>46080</v>
      </c>
      <c r="EN70" s="26"/>
      <c r="EO70" s="28"/>
      <c r="EP70" s="204"/>
      <c r="EQ70" s="88">
        <v>123.29624199999995</v>
      </c>
      <c r="ER70" s="28"/>
      <c r="ES70" s="28"/>
      <c r="ET70" s="226">
        <f t="shared" si="99"/>
        <v>123.29624199999995</v>
      </c>
    </row>
    <row r="71" spans="2:150" ht="15.75" x14ac:dyDescent="0.25">
      <c r="B71" s="338">
        <v>46081</v>
      </c>
      <c r="C71" s="26"/>
      <c r="D71" s="26"/>
      <c r="E71" s="208"/>
      <c r="F71" s="204"/>
      <c r="G71" s="88"/>
      <c r="H71" s="329"/>
      <c r="I71" s="28"/>
      <c r="J71" s="226">
        <f t="shared" si="86"/>
        <v>0</v>
      </c>
      <c r="L71" s="338">
        <v>46081</v>
      </c>
      <c r="M71" s="26"/>
      <c r="N71" s="26"/>
      <c r="O71" s="29"/>
      <c r="P71" s="204"/>
      <c r="Q71" s="88"/>
      <c r="R71" s="28"/>
      <c r="S71" s="28"/>
      <c r="T71" s="226">
        <f t="shared" si="87"/>
        <v>0</v>
      </c>
      <c r="V71" s="338">
        <v>46081</v>
      </c>
      <c r="W71" s="26"/>
      <c r="X71" s="26"/>
      <c r="Y71" s="30"/>
      <c r="Z71" s="204"/>
      <c r="AA71" s="215"/>
      <c r="AB71" s="329"/>
      <c r="AC71" s="28"/>
      <c r="AD71" s="226">
        <f t="shared" si="88"/>
        <v>0</v>
      </c>
      <c r="AF71" s="338">
        <v>46081</v>
      </c>
      <c r="AG71" s="26"/>
      <c r="AH71" s="27"/>
      <c r="AI71" s="32"/>
      <c r="AJ71" s="204"/>
      <c r="AK71" s="88"/>
      <c r="AL71" s="328"/>
      <c r="AM71" s="335"/>
      <c r="AN71" s="226">
        <f t="shared" si="89"/>
        <v>0</v>
      </c>
      <c r="AP71" s="338">
        <v>46140</v>
      </c>
      <c r="AQ71" s="26"/>
      <c r="AR71" s="26"/>
      <c r="AS71" s="26"/>
      <c r="AT71" s="32"/>
      <c r="AU71" s="204"/>
      <c r="AV71" s="88"/>
      <c r="AW71" s="28"/>
      <c r="AX71" s="28"/>
      <c r="AY71" s="226">
        <f t="shared" si="90"/>
        <v>0</v>
      </c>
      <c r="BA71" s="338">
        <v>46081</v>
      </c>
      <c r="BB71" s="27"/>
      <c r="BC71" s="27"/>
      <c r="BD71" s="33"/>
      <c r="BE71" s="32"/>
      <c r="BF71" s="204"/>
      <c r="BG71" s="215"/>
      <c r="BH71" s="328"/>
      <c r="BI71" s="28"/>
      <c r="BJ71" s="226">
        <f t="shared" si="91"/>
        <v>0</v>
      </c>
      <c r="BL71" s="338">
        <v>46081</v>
      </c>
      <c r="BM71" s="27"/>
      <c r="BN71" s="27"/>
      <c r="BO71" s="29"/>
      <c r="BP71" s="33"/>
      <c r="BQ71" s="204"/>
      <c r="BR71" s="215"/>
      <c r="BS71" s="328"/>
      <c r="BT71" s="28"/>
      <c r="BU71" s="226">
        <f t="shared" si="92"/>
        <v>0</v>
      </c>
      <c r="BW71" s="338">
        <v>46081</v>
      </c>
      <c r="BX71" s="26"/>
      <c r="BY71" s="27"/>
      <c r="BZ71" s="34"/>
      <c r="CA71" s="204"/>
      <c r="CB71" s="88"/>
      <c r="CC71" s="328"/>
      <c r="CD71" s="335"/>
      <c r="CE71" s="226">
        <f t="shared" si="93"/>
        <v>0</v>
      </c>
      <c r="CG71" s="338">
        <v>46081</v>
      </c>
      <c r="CH71" s="26"/>
      <c r="CI71" s="27"/>
      <c r="CJ71" s="29"/>
      <c r="CK71" s="204"/>
      <c r="CL71" s="215"/>
      <c r="CM71" s="329"/>
      <c r="CN71" s="28"/>
      <c r="CO71" s="226">
        <f t="shared" si="94"/>
        <v>0</v>
      </c>
      <c r="CQ71" s="338">
        <v>46081</v>
      </c>
      <c r="CR71" s="27"/>
      <c r="CS71" s="27"/>
      <c r="CT71" s="32"/>
      <c r="CU71" s="33"/>
      <c r="CV71" s="204"/>
      <c r="CW71" s="88"/>
      <c r="CX71" s="329"/>
      <c r="CY71" s="335"/>
      <c r="CZ71" s="226">
        <f t="shared" si="100"/>
        <v>0</v>
      </c>
      <c r="DA71" s="228"/>
      <c r="DB71" s="338">
        <v>46081</v>
      </c>
      <c r="DC71" s="26"/>
      <c r="DD71" s="27"/>
      <c r="DE71" s="29"/>
      <c r="DF71" s="204"/>
      <c r="DG71" s="88"/>
      <c r="DH71" s="328"/>
      <c r="DI71" s="335"/>
      <c r="DJ71" s="226">
        <f t="shared" si="95"/>
        <v>0</v>
      </c>
      <c r="DL71" s="338">
        <v>46081</v>
      </c>
      <c r="DM71" s="27"/>
      <c r="DN71" s="28"/>
      <c r="DO71" s="204"/>
      <c r="DP71" s="215"/>
      <c r="DQ71" s="28"/>
      <c r="DR71" s="28"/>
      <c r="DS71" s="226">
        <f t="shared" si="96"/>
        <v>0</v>
      </c>
      <c r="DU71" s="338">
        <v>46081</v>
      </c>
      <c r="DV71" s="27"/>
      <c r="DW71" s="35"/>
      <c r="DX71" s="204"/>
      <c r="DY71" s="215"/>
      <c r="DZ71" s="28"/>
      <c r="EA71" s="28"/>
      <c r="EB71" s="226">
        <f t="shared" si="97"/>
        <v>0</v>
      </c>
      <c r="ED71" s="338">
        <v>46081</v>
      </c>
      <c r="EE71" s="26"/>
      <c r="EF71" s="36"/>
      <c r="EG71" s="204"/>
      <c r="EH71" s="215"/>
      <c r="EI71" s="28"/>
      <c r="EJ71" s="28"/>
      <c r="EK71" s="226">
        <f t="shared" si="98"/>
        <v>0</v>
      </c>
      <c r="EM71" s="338">
        <v>46081</v>
      </c>
      <c r="EN71" s="26"/>
      <c r="EO71" s="28"/>
      <c r="EP71" s="204"/>
      <c r="EQ71" s="88">
        <v>38.328635999999975</v>
      </c>
      <c r="ER71" s="28"/>
      <c r="ES71" s="28"/>
      <c r="ET71" s="226">
        <f t="shared" si="99"/>
        <v>38.328635999999975</v>
      </c>
    </row>
    <row r="72" spans="2:150" ht="15.75" x14ac:dyDescent="0.25">
      <c r="B72" s="338">
        <v>46082</v>
      </c>
      <c r="C72" s="26"/>
      <c r="D72" s="26"/>
      <c r="E72" s="208"/>
      <c r="F72" s="204"/>
      <c r="G72" s="88"/>
      <c r="H72" s="329"/>
      <c r="I72" s="28"/>
      <c r="J72" s="226">
        <f t="shared" si="86"/>
        <v>0</v>
      </c>
      <c r="L72" s="338">
        <v>46082</v>
      </c>
      <c r="M72" s="26"/>
      <c r="N72" s="26"/>
      <c r="O72" s="29"/>
      <c r="P72" s="204"/>
      <c r="Q72" s="88"/>
      <c r="R72" s="28"/>
      <c r="S72" s="28"/>
      <c r="T72" s="226">
        <f t="shared" si="87"/>
        <v>0</v>
      </c>
      <c r="V72" s="338">
        <v>46082</v>
      </c>
      <c r="W72" s="26"/>
      <c r="X72" s="26"/>
      <c r="Y72" s="30"/>
      <c r="Z72" s="204"/>
      <c r="AA72" s="215"/>
      <c r="AB72" s="329"/>
      <c r="AC72" s="28"/>
      <c r="AD72" s="226">
        <f t="shared" si="88"/>
        <v>0</v>
      </c>
      <c r="AF72" s="338">
        <v>46082</v>
      </c>
      <c r="AG72" s="26"/>
      <c r="AH72" s="26"/>
      <c r="AI72" s="32"/>
      <c r="AJ72" s="204"/>
      <c r="AK72" s="88"/>
      <c r="AL72" s="328"/>
      <c r="AM72" s="335"/>
      <c r="AN72" s="226">
        <f t="shared" si="89"/>
        <v>0</v>
      </c>
      <c r="AP72" s="338">
        <v>46141</v>
      </c>
      <c r="AQ72" s="26"/>
      <c r="AR72" s="26"/>
      <c r="AS72" s="26"/>
      <c r="AT72" s="32"/>
      <c r="AU72" s="204"/>
      <c r="AV72" s="88"/>
      <c r="AW72" s="28"/>
      <c r="AX72" s="28"/>
      <c r="AY72" s="226">
        <f t="shared" si="90"/>
        <v>0</v>
      </c>
      <c r="BA72" s="338">
        <v>46082</v>
      </c>
      <c r="BB72" s="26"/>
      <c r="BC72" s="27"/>
      <c r="BD72" s="33"/>
      <c r="BE72" s="32"/>
      <c r="BF72" s="204"/>
      <c r="BG72" s="215"/>
      <c r="BH72" s="328"/>
      <c r="BI72" s="28"/>
      <c r="BJ72" s="226">
        <f t="shared" si="91"/>
        <v>0</v>
      </c>
      <c r="BL72" s="338">
        <v>46082</v>
      </c>
      <c r="BM72" s="27"/>
      <c r="BN72" s="27"/>
      <c r="BO72" s="29"/>
      <c r="BP72" s="33"/>
      <c r="BQ72" s="204"/>
      <c r="BR72" s="215"/>
      <c r="BS72" s="328"/>
      <c r="BT72" s="28"/>
      <c r="BU72" s="226">
        <f t="shared" si="92"/>
        <v>0</v>
      </c>
      <c r="BW72" s="338">
        <v>46082</v>
      </c>
      <c r="BX72" s="26"/>
      <c r="BY72" s="26"/>
      <c r="BZ72" s="34"/>
      <c r="CA72" s="204"/>
      <c r="CB72" s="88"/>
      <c r="CC72" s="328"/>
      <c r="CD72" s="335"/>
      <c r="CE72" s="226">
        <f t="shared" si="93"/>
        <v>0</v>
      </c>
      <c r="CG72" s="338">
        <v>46082</v>
      </c>
      <c r="CH72" s="26"/>
      <c r="CI72" s="27"/>
      <c r="CJ72" s="156"/>
      <c r="CK72" s="204"/>
      <c r="CL72" s="215"/>
      <c r="CM72" s="329"/>
      <c r="CN72" s="28"/>
      <c r="CO72" s="226">
        <f t="shared" si="94"/>
        <v>0</v>
      </c>
      <c r="CQ72" s="338">
        <v>46082</v>
      </c>
      <c r="CR72" s="26"/>
      <c r="CS72" s="27"/>
      <c r="CT72" s="32"/>
      <c r="CU72" s="33"/>
      <c r="CV72" s="204"/>
      <c r="CW72" s="88"/>
      <c r="CX72" s="329"/>
      <c r="CY72" s="335"/>
      <c r="CZ72" s="226">
        <f t="shared" si="100"/>
        <v>0</v>
      </c>
      <c r="DA72" s="228"/>
      <c r="DB72" s="338">
        <v>46082</v>
      </c>
      <c r="DC72" s="26"/>
      <c r="DD72" s="27"/>
      <c r="DE72" s="29"/>
      <c r="DF72" s="204"/>
      <c r="DG72" s="88"/>
      <c r="DH72" s="328"/>
      <c r="DI72" s="335"/>
      <c r="DJ72" s="226">
        <f t="shared" si="95"/>
        <v>0</v>
      </c>
      <c r="DL72" s="338">
        <v>46082</v>
      </c>
      <c r="DM72" s="27"/>
      <c r="DN72" s="28"/>
      <c r="DO72" s="204"/>
      <c r="DP72" s="215"/>
      <c r="DQ72" s="28"/>
      <c r="DR72" s="28"/>
      <c r="DS72" s="226">
        <f t="shared" si="96"/>
        <v>0</v>
      </c>
      <c r="DU72" s="338">
        <v>46082</v>
      </c>
      <c r="DV72" s="27"/>
      <c r="DW72" s="35"/>
      <c r="DX72" s="204"/>
      <c r="DY72" s="215"/>
      <c r="DZ72" s="28"/>
      <c r="EA72" s="28"/>
      <c r="EB72" s="226">
        <f t="shared" si="97"/>
        <v>0</v>
      </c>
      <c r="ED72" s="338">
        <v>46082</v>
      </c>
      <c r="EE72" s="26"/>
      <c r="EF72" s="36"/>
      <c r="EG72" s="204"/>
      <c r="EH72" s="215"/>
      <c r="EI72" s="28"/>
      <c r="EJ72" s="28"/>
      <c r="EK72" s="226">
        <f t="shared" si="98"/>
        <v>0</v>
      </c>
      <c r="EM72" s="338">
        <v>46082</v>
      </c>
      <c r="EN72" s="26"/>
      <c r="EO72" s="28"/>
      <c r="EP72" s="204"/>
      <c r="EQ72" s="88">
        <v>56.900741999999987</v>
      </c>
      <c r="ER72" s="28"/>
      <c r="ES72" s="28"/>
      <c r="ET72" s="226">
        <f t="shared" si="99"/>
        <v>56.900741999999987</v>
      </c>
    </row>
    <row r="73" spans="2:150" ht="15.75" x14ac:dyDescent="0.25">
      <c r="B73" s="338">
        <v>46083</v>
      </c>
      <c r="C73" s="26"/>
      <c r="D73" s="26"/>
      <c r="E73" s="208"/>
      <c r="F73" s="204"/>
      <c r="G73" s="88"/>
      <c r="H73" s="329"/>
      <c r="I73" s="28"/>
      <c r="J73" s="226">
        <f t="shared" si="86"/>
        <v>0</v>
      </c>
      <c r="L73" s="338">
        <v>46083</v>
      </c>
      <c r="M73" s="26"/>
      <c r="N73" s="26"/>
      <c r="O73" s="29"/>
      <c r="P73" s="204"/>
      <c r="Q73" s="88"/>
      <c r="R73" s="28"/>
      <c r="S73" s="28"/>
      <c r="T73" s="226">
        <f t="shared" si="87"/>
        <v>0</v>
      </c>
      <c r="V73" s="338">
        <v>46083</v>
      </c>
      <c r="W73" s="26"/>
      <c r="X73" s="26"/>
      <c r="Y73" s="30"/>
      <c r="Z73" s="204"/>
      <c r="AA73" s="215"/>
      <c r="AB73" s="329"/>
      <c r="AC73" s="28"/>
      <c r="AD73" s="226">
        <f t="shared" si="88"/>
        <v>0</v>
      </c>
      <c r="AF73" s="338">
        <v>46083</v>
      </c>
      <c r="AG73" s="26"/>
      <c r="AH73" s="27"/>
      <c r="AI73" s="29"/>
      <c r="AJ73" s="204"/>
      <c r="AK73" s="88"/>
      <c r="AL73" s="328"/>
      <c r="AM73" s="335"/>
      <c r="AN73" s="226">
        <f t="shared" si="89"/>
        <v>0</v>
      </c>
      <c r="AP73" s="338">
        <v>46142</v>
      </c>
      <c r="AQ73" s="26"/>
      <c r="AR73" s="26"/>
      <c r="AS73" s="26"/>
      <c r="AT73" s="43"/>
      <c r="AU73" s="204"/>
      <c r="AV73" s="88"/>
      <c r="AW73" s="28"/>
      <c r="AX73" s="28"/>
      <c r="AY73" s="226">
        <f t="shared" si="90"/>
        <v>0</v>
      </c>
      <c r="BA73" s="338">
        <v>46083</v>
      </c>
      <c r="BB73" s="26"/>
      <c r="BC73" s="27"/>
      <c r="BD73" s="33"/>
      <c r="BE73" s="32"/>
      <c r="BF73" s="204"/>
      <c r="BG73" s="215"/>
      <c r="BH73" s="328"/>
      <c r="BI73" s="28"/>
      <c r="BJ73" s="226">
        <f t="shared" si="91"/>
        <v>0</v>
      </c>
      <c r="BL73" s="338">
        <v>46083</v>
      </c>
      <c r="BM73" s="27"/>
      <c r="BN73" s="27"/>
      <c r="BO73" s="29"/>
      <c r="BP73" s="33"/>
      <c r="BQ73" s="204"/>
      <c r="BR73" s="88"/>
      <c r="BS73" s="328"/>
      <c r="BT73" s="28"/>
      <c r="BU73" s="226">
        <f t="shared" si="92"/>
        <v>0</v>
      </c>
      <c r="BW73" s="338">
        <v>46083</v>
      </c>
      <c r="BX73" s="26"/>
      <c r="BY73" s="27"/>
      <c r="BZ73" s="34"/>
      <c r="CA73" s="204"/>
      <c r="CB73" s="88"/>
      <c r="CC73" s="328"/>
      <c r="CD73" s="335"/>
      <c r="CE73" s="226">
        <f t="shared" si="93"/>
        <v>0</v>
      </c>
      <c r="CG73" s="338">
        <v>46083</v>
      </c>
      <c r="CH73" s="26"/>
      <c r="CI73" s="27"/>
      <c r="CJ73" s="29"/>
      <c r="CK73" s="204"/>
      <c r="CL73" s="215"/>
      <c r="CM73" s="329"/>
      <c r="CN73" s="28"/>
      <c r="CO73" s="226">
        <f t="shared" si="94"/>
        <v>0</v>
      </c>
      <c r="CQ73" s="338">
        <v>46083</v>
      </c>
      <c r="CR73" s="27"/>
      <c r="CS73" s="27"/>
      <c r="CT73" s="32"/>
      <c r="CU73" s="33"/>
      <c r="CV73" s="204"/>
      <c r="CW73" s="88"/>
      <c r="CX73" s="329"/>
      <c r="CY73" s="335"/>
      <c r="CZ73" s="226">
        <f t="shared" si="100"/>
        <v>0</v>
      </c>
      <c r="DA73" s="228"/>
      <c r="DB73" s="338">
        <v>46083</v>
      </c>
      <c r="DC73" s="26"/>
      <c r="DD73" s="27"/>
      <c r="DE73" s="29"/>
      <c r="DF73" s="204"/>
      <c r="DG73" s="88"/>
      <c r="DH73" s="328"/>
      <c r="DI73" s="335"/>
      <c r="DJ73" s="226">
        <f t="shared" si="95"/>
        <v>0</v>
      </c>
      <c r="DL73" s="338">
        <v>46083</v>
      </c>
      <c r="DM73" s="27"/>
      <c r="DN73" s="28"/>
      <c r="DO73" s="204"/>
      <c r="DP73" s="215"/>
      <c r="DQ73" s="28"/>
      <c r="DR73" s="28"/>
      <c r="DS73" s="226">
        <f t="shared" si="96"/>
        <v>0</v>
      </c>
      <c r="DU73" s="338">
        <v>46083</v>
      </c>
      <c r="DV73" s="27"/>
      <c r="DW73" s="35"/>
      <c r="DX73" s="204"/>
      <c r="DY73" s="215"/>
      <c r="DZ73" s="28"/>
      <c r="EA73" s="28"/>
      <c r="EB73" s="226">
        <f t="shared" si="97"/>
        <v>0</v>
      </c>
      <c r="ED73" s="338">
        <v>46083</v>
      </c>
      <c r="EE73" s="26"/>
      <c r="EF73" s="36"/>
      <c r="EG73" s="204"/>
      <c r="EH73" s="215"/>
      <c r="EI73" s="28"/>
      <c r="EJ73" s="28"/>
      <c r="EK73" s="226">
        <f t="shared" si="98"/>
        <v>0</v>
      </c>
      <c r="EM73" s="338">
        <v>46083</v>
      </c>
      <c r="EN73" s="26"/>
      <c r="EO73" s="28"/>
      <c r="EP73" s="204"/>
      <c r="EQ73" s="88"/>
      <c r="ER73" s="28"/>
      <c r="ES73" s="28"/>
      <c r="ET73" s="226">
        <f t="shared" si="99"/>
        <v>0</v>
      </c>
    </row>
    <row r="74" spans="2:150" ht="16.5" thickBot="1" x14ac:dyDescent="0.3">
      <c r="B74" s="338">
        <v>46084</v>
      </c>
      <c r="C74" s="44"/>
      <c r="D74" s="44"/>
      <c r="E74" s="209"/>
      <c r="F74" s="204"/>
      <c r="G74" s="88"/>
      <c r="H74" s="329"/>
      <c r="I74" s="45"/>
      <c r="J74" s="227">
        <f t="shared" si="86"/>
        <v>0</v>
      </c>
      <c r="L74" s="338">
        <v>46084</v>
      </c>
      <c r="M74" s="44"/>
      <c r="N74" s="44"/>
      <c r="O74" s="46"/>
      <c r="P74" s="204"/>
      <c r="Q74" s="88"/>
      <c r="R74" s="45"/>
      <c r="S74" s="45"/>
      <c r="T74" s="227">
        <f t="shared" si="87"/>
        <v>0</v>
      </c>
      <c r="V74" s="338">
        <v>46084</v>
      </c>
      <c r="W74" s="44"/>
      <c r="X74" s="44"/>
      <c r="Y74" s="47"/>
      <c r="Z74" s="204"/>
      <c r="AA74" s="216"/>
      <c r="AB74" s="329"/>
      <c r="AC74" s="45"/>
      <c r="AD74" s="227">
        <f t="shared" si="88"/>
        <v>0</v>
      </c>
      <c r="AF74" s="338">
        <v>46084</v>
      </c>
      <c r="AG74" s="44"/>
      <c r="AH74" s="44"/>
      <c r="AI74" s="49"/>
      <c r="AJ74" s="204"/>
      <c r="AK74" s="88"/>
      <c r="AL74" s="328"/>
      <c r="AM74" s="336"/>
      <c r="AN74" s="227">
        <f t="shared" si="89"/>
        <v>0</v>
      </c>
      <c r="AP74" s="338">
        <v>46143</v>
      </c>
      <c r="AQ74" s="44"/>
      <c r="AR74" s="44"/>
      <c r="AS74" s="44"/>
      <c r="AT74" s="49"/>
      <c r="AU74" s="204"/>
      <c r="AV74" s="88"/>
      <c r="AW74" s="45"/>
      <c r="AX74" s="45"/>
      <c r="AY74" s="227">
        <f t="shared" si="90"/>
        <v>0</v>
      </c>
      <c r="BA74" s="338">
        <v>46084</v>
      </c>
      <c r="BB74" s="57"/>
      <c r="BC74" s="57"/>
      <c r="BD74" s="158"/>
      <c r="BE74" s="49"/>
      <c r="BF74" s="204"/>
      <c r="BG74" s="216"/>
      <c r="BH74" s="328"/>
      <c r="BI74" s="45"/>
      <c r="BJ74" s="227">
        <f t="shared" si="91"/>
        <v>0</v>
      </c>
      <c r="BL74" s="338">
        <v>46084</v>
      </c>
      <c r="BM74" s="44"/>
      <c r="BN74" s="57"/>
      <c r="BO74" s="46"/>
      <c r="BP74" s="158"/>
      <c r="BQ74" s="204"/>
      <c r="BR74" s="216"/>
      <c r="BS74" s="328"/>
      <c r="BT74" s="45"/>
      <c r="BU74" s="227">
        <f t="shared" si="92"/>
        <v>0</v>
      </c>
      <c r="BW74" s="338">
        <v>46084</v>
      </c>
      <c r="BX74" s="44"/>
      <c r="BY74" s="57"/>
      <c r="BZ74" s="159"/>
      <c r="CA74" s="204"/>
      <c r="CB74" s="88"/>
      <c r="CC74" s="328"/>
      <c r="CD74" s="336"/>
      <c r="CE74" s="227">
        <f t="shared" si="93"/>
        <v>0</v>
      </c>
      <c r="CG74" s="338">
        <v>46084</v>
      </c>
      <c r="CH74" s="53"/>
      <c r="CI74" s="50"/>
      <c r="CJ74" s="56"/>
      <c r="CK74" s="204"/>
      <c r="CL74" s="216"/>
      <c r="CM74" s="329"/>
      <c r="CN74" s="45"/>
      <c r="CO74" s="227">
        <f t="shared" si="94"/>
        <v>0</v>
      </c>
      <c r="CQ74" s="338">
        <v>46084</v>
      </c>
      <c r="CR74" s="50"/>
      <c r="CS74" s="50"/>
      <c r="CT74" s="52"/>
      <c r="CU74" s="51"/>
      <c r="CV74" s="204"/>
      <c r="CW74" s="88"/>
      <c r="CX74" s="329"/>
      <c r="CY74" s="336"/>
      <c r="CZ74" s="227">
        <f t="shared" si="100"/>
        <v>0</v>
      </c>
      <c r="DA74" s="228"/>
      <c r="DB74" s="338">
        <v>46084</v>
      </c>
      <c r="DC74" s="50"/>
      <c r="DD74" s="50"/>
      <c r="DE74" s="160"/>
      <c r="DF74" s="204"/>
      <c r="DG74" s="88"/>
      <c r="DH74" s="328"/>
      <c r="DI74" s="336"/>
      <c r="DJ74" s="227">
        <f t="shared" si="95"/>
        <v>0</v>
      </c>
      <c r="DL74" s="338">
        <v>46084</v>
      </c>
      <c r="DM74" s="50"/>
      <c r="DN74" s="161"/>
      <c r="DO74" s="204"/>
      <c r="DP74" s="216"/>
      <c r="DQ74" s="45"/>
      <c r="DR74" s="45"/>
      <c r="DS74" s="227">
        <f t="shared" si="96"/>
        <v>0</v>
      </c>
      <c r="DU74" s="338">
        <v>46084</v>
      </c>
      <c r="DV74" s="50"/>
      <c r="DW74" s="162"/>
      <c r="DX74" s="204"/>
      <c r="DY74" s="216"/>
      <c r="DZ74" s="45"/>
      <c r="EA74" s="45"/>
      <c r="EB74" s="227">
        <f t="shared" si="97"/>
        <v>0</v>
      </c>
      <c r="ED74" s="338">
        <v>46084</v>
      </c>
      <c r="EE74" s="53"/>
      <c r="EF74" s="160"/>
      <c r="EG74" s="204"/>
      <c r="EH74" s="216"/>
      <c r="EI74" s="45"/>
      <c r="EJ74" s="45"/>
      <c r="EK74" s="227">
        <f t="shared" si="98"/>
        <v>0</v>
      </c>
      <c r="EM74" s="338">
        <v>46084</v>
      </c>
      <c r="EN74" s="53"/>
      <c r="EO74" s="161"/>
      <c r="EP74" s="204"/>
      <c r="EQ74" s="88">
        <v>5.0499999999999972</v>
      </c>
      <c r="ER74" s="45"/>
      <c r="ES74" s="45"/>
      <c r="ET74" s="227">
        <f t="shared" si="99"/>
        <v>5.0499999999999972</v>
      </c>
    </row>
    <row r="75" spans="2:150" s="309" customFormat="1" ht="16.5" thickBot="1" x14ac:dyDescent="0.3">
      <c r="B75" s="310" t="s">
        <v>23</v>
      </c>
      <c r="C75" s="304">
        <f>SUM(C44:C74)</f>
        <v>0</v>
      </c>
      <c r="D75" s="304">
        <f>SUM(D44:D74)</f>
        <v>0</v>
      </c>
      <c r="E75" s="305">
        <f>SUM(E44:E74)</f>
        <v>0</v>
      </c>
      <c r="F75" s="306"/>
      <c r="G75" s="307">
        <f t="shared" ref="G75" si="101">SUM(G44:G74)</f>
        <v>0</v>
      </c>
      <c r="H75" s="308">
        <f t="shared" ref="H75" si="102">SUM(H44:H74)</f>
        <v>0</v>
      </c>
      <c r="I75" s="308">
        <f t="shared" ref="I75" si="103">SUM(I44:I74)</f>
        <v>0</v>
      </c>
      <c r="J75" s="308">
        <f t="shared" ref="J75" si="104">SUM(J44:J74)</f>
        <v>0</v>
      </c>
      <c r="L75" s="303" t="s">
        <v>23</v>
      </c>
      <c r="M75" s="304">
        <f>SUM(M44:M74)</f>
        <v>0</v>
      </c>
      <c r="N75" s="304">
        <f>SUM(N44:N74)</f>
        <v>0</v>
      </c>
      <c r="O75" s="308">
        <f>SUM(O44:O74)</f>
        <v>0</v>
      </c>
      <c r="P75" s="306"/>
      <c r="Q75" s="307">
        <f t="shared" ref="Q75" si="105">SUM(Q44:Q74)</f>
        <v>0</v>
      </c>
      <c r="R75" s="308">
        <f t="shared" ref="R75" si="106">SUM(R44:R74)</f>
        <v>0</v>
      </c>
      <c r="S75" s="308">
        <f t="shared" ref="S75" si="107">SUM(S44:S74)</f>
        <v>0</v>
      </c>
      <c r="T75" s="308">
        <f t="shared" ref="T75" si="108">SUM(T44:T74)</f>
        <v>0</v>
      </c>
      <c r="V75" s="303" t="s">
        <v>23</v>
      </c>
      <c r="W75" s="304">
        <f>SUM(W44:W74)</f>
        <v>0</v>
      </c>
      <c r="X75" s="304">
        <f>SUM(X44:X74)</f>
        <v>0</v>
      </c>
      <c r="Y75" s="308">
        <f>SUM(Y44:Y74)</f>
        <v>0</v>
      </c>
      <c r="Z75" s="306"/>
      <c r="AA75" s="307">
        <f t="shared" ref="AA75" si="109">SUM(AA44:AA74)</f>
        <v>0</v>
      </c>
      <c r="AB75" s="308">
        <f t="shared" ref="AB75" si="110">SUM(AB44:AB74)</f>
        <v>0</v>
      </c>
      <c r="AC75" s="308">
        <f t="shared" ref="AC75" si="111">SUM(AC44:AC74)</f>
        <v>0</v>
      </c>
      <c r="AD75" s="308">
        <f t="shared" ref="AD75" si="112">SUM(AD44:AD74)</f>
        <v>0</v>
      </c>
      <c r="AF75" s="303"/>
      <c r="AG75" s="304">
        <f>SUM(AG74:AG74)</f>
        <v>0</v>
      </c>
      <c r="AH75" s="304">
        <f>SUM(AH74:AH74)</f>
        <v>0</v>
      </c>
      <c r="AI75" s="308">
        <f>SUM(AI44:AI74)</f>
        <v>0</v>
      </c>
      <c r="AJ75" s="306"/>
      <c r="AK75" s="307">
        <f t="shared" ref="AK75" si="113">SUM(AK44:AK74)</f>
        <v>0</v>
      </c>
      <c r="AL75" s="308">
        <f t="shared" ref="AL75" si="114">SUM(AL44:AL74)</f>
        <v>0</v>
      </c>
      <c r="AM75" s="308">
        <f t="shared" ref="AM75" si="115">SUM(AM44:AM74)</f>
        <v>0</v>
      </c>
      <c r="AN75" s="308">
        <f t="shared" ref="AN75" si="116">SUM(AN44:AN74)</f>
        <v>0</v>
      </c>
      <c r="AP75" s="303" t="s">
        <v>23</v>
      </c>
      <c r="AQ75" s="304">
        <f>SUM(AQ44:AQ74)</f>
        <v>0</v>
      </c>
      <c r="AR75" s="304">
        <f>SUM(AR44:AR74)</f>
        <v>0</v>
      </c>
      <c r="AS75" s="304">
        <f>SUM(AS44:AS74)</f>
        <v>0</v>
      </c>
      <c r="AT75" s="308">
        <f>SUM(AT44:AT74)</f>
        <v>0</v>
      </c>
      <c r="AU75" s="306"/>
      <c r="AV75" s="307">
        <f t="shared" ref="AV75" si="117">SUM(AV44:AV74)</f>
        <v>0</v>
      </c>
      <c r="AW75" s="308">
        <f t="shared" ref="AW75" si="118">SUM(AW44:AW74)</f>
        <v>0</v>
      </c>
      <c r="AX75" s="308">
        <f t="shared" ref="AX75" si="119">SUM(AX44:AX74)</f>
        <v>0</v>
      </c>
      <c r="AY75" s="308">
        <f t="shared" ref="AY75" si="120">SUM(AY44:AY74)</f>
        <v>0</v>
      </c>
      <c r="BA75" s="303" t="s">
        <v>23</v>
      </c>
      <c r="BB75" s="304">
        <f>SUM(BB44:BB74)</f>
        <v>0</v>
      </c>
      <c r="BC75" s="304">
        <f>SUM(BC44:BC74)</f>
        <v>0</v>
      </c>
      <c r="BD75" s="304">
        <f>SUM(BD44:BD74)</f>
        <v>0</v>
      </c>
      <c r="BE75" s="308">
        <f>SUM(BE44:BE74)</f>
        <v>0</v>
      </c>
      <c r="BF75" s="306"/>
      <c r="BG75" s="307">
        <f t="shared" ref="BG75" si="121">SUM(BG44:BG74)</f>
        <v>0</v>
      </c>
      <c r="BH75" s="308">
        <f t="shared" ref="BH75" si="122">SUM(BH44:BH74)</f>
        <v>0</v>
      </c>
      <c r="BI75" s="308">
        <f t="shared" ref="BI75" si="123">SUM(BI44:BI74)</f>
        <v>0</v>
      </c>
      <c r="BJ75" s="308">
        <f t="shared" ref="BJ75" si="124">SUM(BJ44:BJ74)</f>
        <v>0</v>
      </c>
      <c r="BL75" s="303" t="s">
        <v>23</v>
      </c>
      <c r="BM75" s="304">
        <f>SUM(BM44:BM74)</f>
        <v>0</v>
      </c>
      <c r="BN75" s="304">
        <f>SUM(BN44:BN74)</f>
        <v>0</v>
      </c>
      <c r="BO75" s="308">
        <f>SUM(BO44:BO74)</f>
        <v>0</v>
      </c>
      <c r="BP75" s="304">
        <f>SUM(BP44:BP74)</f>
        <v>0</v>
      </c>
      <c r="BQ75" s="306"/>
      <c r="BR75" s="307">
        <f t="shared" ref="BR75" si="125">SUM(BR44:BR74)</f>
        <v>0</v>
      </c>
      <c r="BS75" s="308">
        <f t="shared" ref="BS75" si="126">SUM(BS44:BS74)</f>
        <v>0</v>
      </c>
      <c r="BT75" s="308">
        <f t="shared" ref="BT75" si="127">SUM(BT44:BT74)</f>
        <v>0</v>
      </c>
      <c r="BU75" s="308">
        <f>SUM(BU44:BU74)</f>
        <v>0</v>
      </c>
      <c r="BW75" s="303" t="s">
        <v>23</v>
      </c>
      <c r="BX75" s="304">
        <f>SUM(BX44:BX74)</f>
        <v>0</v>
      </c>
      <c r="BY75" s="304">
        <f>SUM(BY44:BY74)</f>
        <v>0</v>
      </c>
      <c r="BZ75" s="308">
        <f>SUM(BZ44:BZ74)</f>
        <v>0</v>
      </c>
      <c r="CA75" s="306"/>
      <c r="CB75" s="307">
        <f t="shared" ref="CB75" si="128">SUM(CB44:CB74)</f>
        <v>0</v>
      </c>
      <c r="CC75" s="308">
        <f t="shared" ref="CC75" si="129">SUM(CC44:CC74)</f>
        <v>0</v>
      </c>
      <c r="CD75" s="308">
        <f t="shared" ref="CD75" si="130">SUM(CD44:CD74)</f>
        <v>0</v>
      </c>
      <c r="CE75" s="308">
        <f t="shared" ref="CE75" si="131">SUM(CE44:CE74)</f>
        <v>0</v>
      </c>
      <c r="CG75" s="310" t="s">
        <v>23</v>
      </c>
      <c r="CH75" s="311">
        <f>SUM(CH44:CH74)</f>
        <v>0</v>
      </c>
      <c r="CI75" s="311">
        <f>SUM(CI44:CI74)</f>
        <v>0</v>
      </c>
      <c r="CJ75" s="312">
        <f>SUM(CJ44:CJ74)</f>
        <v>0</v>
      </c>
      <c r="CK75" s="306"/>
      <c r="CL75" s="307">
        <f t="shared" ref="CL75" si="132">SUM(CL44:CL74)</f>
        <v>0</v>
      </c>
      <c r="CM75" s="308">
        <f t="shared" ref="CM75" si="133">SUM(CM44:CM74)</f>
        <v>0</v>
      </c>
      <c r="CN75" s="308">
        <f t="shared" ref="CN75" si="134">SUM(CN44:CN74)</f>
        <v>0</v>
      </c>
      <c r="CO75" s="308">
        <f t="shared" ref="CO75" si="135">SUM(CO44:CO74)</f>
        <v>0</v>
      </c>
      <c r="CQ75" s="310" t="s">
        <v>23</v>
      </c>
      <c r="CR75" s="311">
        <f>SUM(CR44:CR74)</f>
        <v>0</v>
      </c>
      <c r="CS75" s="311">
        <f>SUM(CS44:CS74)</f>
        <v>0</v>
      </c>
      <c r="CT75" s="312">
        <f>SUM(CT44:CT74)</f>
        <v>0</v>
      </c>
      <c r="CU75" s="311">
        <f>SUM(CU44:CU74)</f>
        <v>0</v>
      </c>
      <c r="CV75" s="306"/>
      <c r="CW75" s="307">
        <f t="shared" ref="CW75" si="136">SUM(CW44:CW74)</f>
        <v>0</v>
      </c>
      <c r="CX75" s="308">
        <f t="shared" ref="CX75" si="137">SUM(CX44:CX74)</f>
        <v>0</v>
      </c>
      <c r="CY75" s="308">
        <f t="shared" ref="CY75" si="138">SUM(CY44:CY74)</f>
        <v>0</v>
      </c>
      <c r="CZ75" s="308">
        <f t="shared" ref="CZ75" si="139">SUM(CZ44:CZ74)</f>
        <v>0</v>
      </c>
      <c r="DA75" s="313"/>
      <c r="DB75" s="310" t="s">
        <v>23</v>
      </c>
      <c r="DC75" s="311">
        <f>SUM(DC44:DC74)</f>
        <v>0</v>
      </c>
      <c r="DD75" s="311">
        <f>SUM(DD44:DD74)</f>
        <v>0</v>
      </c>
      <c r="DE75" s="312">
        <f>SUM(DE44:DE74)</f>
        <v>0</v>
      </c>
      <c r="DF75" s="306"/>
      <c r="DG75" s="307">
        <f t="shared" ref="DG75" si="140">SUM(DG44:DG74)</f>
        <v>0</v>
      </c>
      <c r="DH75" s="308">
        <f t="shared" ref="DH75" si="141">SUM(DH44:DH74)</f>
        <v>0</v>
      </c>
      <c r="DI75" s="308">
        <f t="shared" ref="DI75" si="142">SUM(DI44:DI74)</f>
        <v>0</v>
      </c>
      <c r="DJ75" s="308">
        <f t="shared" ref="DJ75" si="143">SUM(DJ44:DJ74)</f>
        <v>0</v>
      </c>
      <c r="DL75" s="303" t="s">
        <v>23</v>
      </c>
      <c r="DM75" s="304">
        <f>SUM(DM44:DM74)</f>
        <v>0</v>
      </c>
      <c r="DN75" s="308">
        <f>SUM(DN44:DN74)</f>
        <v>0</v>
      </c>
      <c r="DO75" s="306"/>
      <c r="DP75" s="307">
        <f t="shared" ref="DP75" si="144">SUM(DP44:DP74)</f>
        <v>0</v>
      </c>
      <c r="DQ75" s="308">
        <f t="shared" ref="DQ75" si="145">SUM(DQ44:DQ74)</f>
        <v>0</v>
      </c>
      <c r="DR75" s="308">
        <f t="shared" ref="DR75" si="146">SUM(DR44:DR74)</f>
        <v>0</v>
      </c>
      <c r="DS75" s="308">
        <f t="shared" ref="DS75" si="147">SUM(DS44:DS74)</f>
        <v>0</v>
      </c>
      <c r="DU75" s="310" t="s">
        <v>23</v>
      </c>
      <c r="DV75" s="311">
        <f>SUM(DV44:DV74)</f>
        <v>0</v>
      </c>
      <c r="DW75" s="312">
        <f>SUM(DW44:DW74)</f>
        <v>0</v>
      </c>
      <c r="DX75" s="306"/>
      <c r="DY75" s="307">
        <f t="shared" ref="DY75" si="148">SUM(DY44:DY74)</f>
        <v>0</v>
      </c>
      <c r="DZ75" s="308">
        <f t="shared" ref="DZ75" si="149">SUM(DZ44:DZ74)</f>
        <v>0</v>
      </c>
      <c r="EA75" s="308">
        <f t="shared" ref="EA75" si="150">SUM(EA44:EA74)</f>
        <v>0</v>
      </c>
      <c r="EB75" s="308">
        <f t="shared" ref="EB75" si="151">SUM(EB44:EB74)</f>
        <v>0</v>
      </c>
      <c r="ED75" s="310" t="s">
        <v>23</v>
      </c>
      <c r="EE75" s="311">
        <f>SUM(EE44:EE74)</f>
        <v>0</v>
      </c>
      <c r="EF75" s="312">
        <f>SUM(EF44:EF74)</f>
        <v>0</v>
      </c>
      <c r="EG75" s="306"/>
      <c r="EH75" s="307">
        <f t="shared" ref="EH75" si="152">SUM(EH44:EH74)</f>
        <v>0</v>
      </c>
      <c r="EI75" s="308">
        <f t="shared" ref="EI75" si="153">SUM(EI44:EI74)</f>
        <v>0</v>
      </c>
      <c r="EJ75" s="308">
        <f t="shared" ref="EJ75" si="154">SUM(EJ44:EJ74)</f>
        <v>0</v>
      </c>
      <c r="EK75" s="308">
        <f t="shared" ref="EK75" si="155">SUM(EK44:EK74)</f>
        <v>0</v>
      </c>
      <c r="EM75" s="310" t="s">
        <v>23</v>
      </c>
      <c r="EN75" s="311">
        <f>SUM(EN44:EN74)</f>
        <v>0</v>
      </c>
      <c r="EO75" s="312">
        <f>SUM(EO44:EO74)</f>
        <v>0</v>
      </c>
      <c r="EP75" s="306"/>
      <c r="EQ75" s="307">
        <f t="shared" ref="EQ75" si="156">SUM(EQ44:EQ74)</f>
        <v>2029.0300914999991</v>
      </c>
      <c r="ER75" s="308">
        <f t="shared" ref="ER75" si="157">SUM(ER44:ER74)</f>
        <v>0</v>
      </c>
      <c r="ES75" s="308">
        <f t="shared" ref="ES75" si="158">SUM(ES44:ES74)</f>
        <v>0</v>
      </c>
      <c r="ET75" s="308">
        <f t="shared" ref="ET75" si="159">SUM(ET44:ET74)</f>
        <v>2029.0300914999991</v>
      </c>
    </row>
    <row r="76" spans="2:150" x14ac:dyDescent="0.25">
      <c r="DV76" s="59"/>
      <c r="DW76" s="60"/>
      <c r="EC76" s="61"/>
    </row>
    <row r="77" spans="2:150" ht="21" x14ac:dyDescent="0.35">
      <c r="J77" s="328"/>
      <c r="DV77" s="62"/>
      <c r="DW77" s="63"/>
      <c r="EC77" s="63"/>
    </row>
  </sheetData>
  <mergeCells count="49">
    <mergeCell ref="EM4:EM5"/>
    <mergeCell ref="CG4:CG5"/>
    <mergeCell ref="CQ4:CQ5"/>
    <mergeCell ref="DB4:DB5"/>
    <mergeCell ref="DL4:DL5"/>
    <mergeCell ref="DU4:DU5"/>
    <mergeCell ref="ED4:ED5"/>
    <mergeCell ref="ED2:EE2"/>
    <mergeCell ref="EM2:EN2"/>
    <mergeCell ref="B4:B5"/>
    <mergeCell ref="L4:L5"/>
    <mergeCell ref="V4:V5"/>
    <mergeCell ref="AF4:AF5"/>
    <mergeCell ref="AP4:AP5"/>
    <mergeCell ref="BA4:BA5"/>
    <mergeCell ref="BL4:BL5"/>
    <mergeCell ref="BW4:BW5"/>
    <mergeCell ref="BL2:BM2"/>
    <mergeCell ref="BW2:BX2"/>
    <mergeCell ref="CG2:CH2"/>
    <mergeCell ref="CQ2:CR2"/>
    <mergeCell ref="DB2:DC2"/>
    <mergeCell ref="DL2:DM2"/>
    <mergeCell ref="BA2:BB2"/>
    <mergeCell ref="B2:C2"/>
    <mergeCell ref="L2:N2"/>
    <mergeCell ref="V2:W2"/>
    <mergeCell ref="AF2:AG2"/>
    <mergeCell ref="AP2:AQ2"/>
    <mergeCell ref="B40:C40"/>
    <mergeCell ref="L40:N40"/>
    <mergeCell ref="V40:W40"/>
    <mergeCell ref="AF40:AG40"/>
    <mergeCell ref="AP40:AQ40"/>
    <mergeCell ref="BA40:BB40"/>
    <mergeCell ref="BL40:BM40"/>
    <mergeCell ref="BW40:BX40"/>
    <mergeCell ref="CG40:CH40"/>
    <mergeCell ref="CQ40:CR40"/>
    <mergeCell ref="BA42:BA43"/>
    <mergeCell ref="BL42:BL43"/>
    <mergeCell ref="BW42:BW43"/>
    <mergeCell ref="CG42:CG43"/>
    <mergeCell ref="CQ42:CQ43"/>
    <mergeCell ref="B42:B43"/>
    <mergeCell ref="L42:L43"/>
    <mergeCell ref="V42:V43"/>
    <mergeCell ref="AF42:AF43"/>
    <mergeCell ref="AP42:AP4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H79"/>
  <sheetViews>
    <sheetView topLeftCell="EF1" workbookViewId="0">
      <selection activeCell="FL17" sqref="FL17"/>
    </sheetView>
  </sheetViews>
  <sheetFormatPr baseColWidth="10" defaultRowHeight="15" x14ac:dyDescent="0.25"/>
  <cols>
    <col min="1" max="1" width="9.28515625" customWidth="1"/>
    <col min="3" max="3" width="12.7109375" bestFit="1" customWidth="1"/>
    <col min="4" max="4" width="11.5703125" bestFit="1" customWidth="1"/>
    <col min="6" max="6" width="11.5703125" bestFit="1" customWidth="1"/>
    <col min="7" max="7" width="1.42578125" style="210" customWidth="1"/>
    <col min="8" max="8" width="10.85546875" hidden="1" customWidth="1"/>
    <col min="9" max="9" width="11" hidden="1" customWidth="1"/>
    <col min="10" max="10" width="11.7109375" hidden="1" customWidth="1"/>
    <col min="11" max="11" width="13" hidden="1" customWidth="1"/>
    <col min="14" max="14" width="12.7109375" bestFit="1" customWidth="1"/>
    <col min="16" max="16" width="11.5703125" bestFit="1" customWidth="1"/>
    <col min="17" max="17" width="1.42578125" style="210" customWidth="1"/>
    <col min="18" max="18" width="10.85546875" hidden="1" customWidth="1"/>
    <col min="19" max="19" width="11" hidden="1" customWidth="1"/>
    <col min="20" max="20" width="11.7109375" hidden="1" customWidth="1"/>
    <col min="21" max="21" width="13" hidden="1" customWidth="1"/>
    <col min="24" max="25" width="11.5703125" bestFit="1" customWidth="1"/>
    <col min="27" max="27" width="11.5703125" bestFit="1" customWidth="1"/>
    <col min="28" max="28" width="1.42578125" style="210" customWidth="1"/>
    <col min="29" max="29" width="10.85546875" hidden="1" customWidth="1"/>
    <col min="30" max="30" width="11" hidden="1" customWidth="1"/>
    <col min="31" max="31" width="11.7109375" hidden="1" customWidth="1"/>
    <col min="32" max="32" width="13" hidden="1" customWidth="1"/>
    <col min="36" max="36" width="11.5703125" bestFit="1" customWidth="1"/>
    <col min="39" max="39" width="1.42578125" style="210" customWidth="1"/>
    <col min="40" max="40" width="10.85546875" hidden="1" customWidth="1"/>
    <col min="41" max="41" width="11" hidden="1" customWidth="1"/>
    <col min="42" max="42" width="11.7109375" hidden="1" customWidth="1"/>
    <col min="43" max="43" width="13" hidden="1" customWidth="1"/>
    <col min="46" max="46" width="12.7109375" bestFit="1" customWidth="1"/>
    <col min="48" max="48" width="11.5703125" bestFit="1" customWidth="1"/>
    <col min="49" max="49" width="1.42578125" style="210" customWidth="1"/>
    <col min="50" max="50" width="10.85546875" hidden="1" customWidth="1"/>
    <col min="51" max="51" width="11" hidden="1" customWidth="1"/>
    <col min="52" max="52" width="11.7109375" hidden="1" customWidth="1"/>
    <col min="53" max="53" width="13" hidden="1" customWidth="1"/>
    <col min="56" max="56" width="12.7109375" bestFit="1" customWidth="1"/>
    <col min="58" max="58" width="11.5703125" bestFit="1" customWidth="1"/>
    <col min="59" max="59" width="1.42578125" style="210" customWidth="1"/>
    <col min="60" max="60" width="10.85546875" hidden="1" customWidth="1"/>
    <col min="61" max="61" width="11" hidden="1" customWidth="1"/>
    <col min="62" max="62" width="11.7109375" hidden="1" customWidth="1"/>
    <col min="63" max="63" width="13" hidden="1" customWidth="1"/>
    <col min="66" max="66" width="12.7109375" bestFit="1" customWidth="1"/>
    <col min="67" max="67" width="11.5703125" bestFit="1" customWidth="1"/>
    <col min="68" max="68" width="12.7109375" bestFit="1" customWidth="1"/>
    <col min="69" max="70" width="11.5703125" bestFit="1" customWidth="1"/>
    <col min="71" max="71" width="1.42578125" style="210" customWidth="1"/>
    <col min="72" max="72" width="10.85546875" hidden="1" customWidth="1"/>
    <col min="73" max="73" width="11" hidden="1" customWidth="1"/>
    <col min="74" max="74" width="11.7109375" hidden="1" customWidth="1"/>
    <col min="75" max="75" width="13" hidden="1" customWidth="1"/>
    <col min="78" max="78" width="11.5703125" style="88" bestFit="1" customWidth="1"/>
    <col min="79" max="79" width="11.5703125" style="89" bestFit="1" customWidth="1"/>
    <col min="80" max="80" width="10.28515625" customWidth="1"/>
    <col min="81" max="81" width="10.140625" customWidth="1"/>
    <col min="82" max="82" width="1.42578125" style="210" customWidth="1"/>
    <col min="83" max="83" width="10.85546875" hidden="1" customWidth="1"/>
    <col min="84" max="84" width="11" hidden="1" customWidth="1"/>
    <col min="85" max="85" width="11.7109375" hidden="1" customWidth="1"/>
    <col min="86" max="86" width="13" hidden="1" customWidth="1"/>
    <col min="89" max="89" width="12.7109375" bestFit="1" customWidth="1"/>
    <col min="90" max="90" width="11.5703125" bestFit="1" customWidth="1"/>
    <col min="92" max="92" width="11.5703125" bestFit="1" customWidth="1"/>
    <col min="93" max="93" width="1.42578125" style="210" customWidth="1"/>
    <col min="94" max="94" width="10.85546875" hidden="1" customWidth="1"/>
    <col min="95" max="95" width="11" hidden="1" customWidth="1"/>
    <col min="96" max="96" width="11.7109375" hidden="1" customWidth="1"/>
    <col min="97" max="97" width="13" hidden="1" customWidth="1"/>
    <col min="100" max="100" width="12.7109375" bestFit="1" customWidth="1"/>
    <col min="101" max="101" width="11.5703125" bestFit="1" customWidth="1"/>
    <col min="102" max="102" width="12.28515625" customWidth="1"/>
    <col min="103" max="103" width="11.5703125" bestFit="1" customWidth="1"/>
    <col min="104" max="104" width="1.42578125" style="210" customWidth="1"/>
    <col min="105" max="105" width="10.85546875" hidden="1" customWidth="1"/>
    <col min="106" max="106" width="11" hidden="1" customWidth="1"/>
    <col min="107" max="107" width="11.7109375" hidden="1" customWidth="1"/>
    <col min="108" max="108" width="13" hidden="1" customWidth="1"/>
    <col min="112" max="113" width="11.5703125" bestFit="1" customWidth="1"/>
    <col min="115" max="115" width="11.5703125" bestFit="1" customWidth="1"/>
    <col min="116" max="116" width="1.42578125" style="210" customWidth="1"/>
    <col min="117" max="117" width="10.85546875" hidden="1" customWidth="1"/>
    <col min="118" max="118" width="11" hidden="1" customWidth="1"/>
    <col min="119" max="119" width="11.7109375" hidden="1" customWidth="1"/>
    <col min="120" max="120" width="13" hidden="1" customWidth="1"/>
    <col min="123" max="124" width="11.5703125" bestFit="1" customWidth="1"/>
    <col min="126" max="126" width="11.5703125" bestFit="1" customWidth="1"/>
    <col min="127" max="127" width="1.42578125" style="210" customWidth="1"/>
    <col min="128" max="128" width="10.85546875" hidden="1" customWidth="1"/>
    <col min="129" max="129" width="11" hidden="1" customWidth="1"/>
    <col min="130" max="130" width="11.7109375" hidden="1" customWidth="1"/>
    <col min="131" max="131" width="13" hidden="1" customWidth="1"/>
    <col min="134" max="134" width="11.5703125" bestFit="1" customWidth="1"/>
    <col min="135" max="135" width="11.5703125" style="88" bestFit="1" customWidth="1"/>
    <col min="137" max="137" width="11.5703125" bestFit="1" customWidth="1"/>
    <col min="138" max="138" width="1.42578125" style="210" customWidth="1"/>
    <col min="139" max="139" width="10.85546875" hidden="1" customWidth="1"/>
    <col min="140" max="140" width="11" hidden="1" customWidth="1"/>
    <col min="141" max="141" width="11.7109375" hidden="1" customWidth="1"/>
    <col min="142" max="142" width="13" hidden="1" customWidth="1"/>
    <col min="145" max="145" width="12.7109375" bestFit="1" customWidth="1"/>
    <col min="146" max="146" width="11.5703125" bestFit="1" customWidth="1"/>
    <col min="148" max="148" width="11.5703125" bestFit="1" customWidth="1"/>
    <col min="149" max="149" width="1.42578125" style="210" customWidth="1"/>
    <col min="150" max="150" width="10.85546875" hidden="1" customWidth="1"/>
    <col min="151" max="151" width="11" hidden="1" customWidth="1"/>
    <col min="152" max="152" width="11.7109375" hidden="1" customWidth="1"/>
    <col min="153" max="153" width="13" hidden="1" customWidth="1"/>
    <col min="156" max="157" width="11.5703125" bestFit="1" customWidth="1"/>
    <col min="159" max="159" width="11.5703125" bestFit="1" customWidth="1"/>
    <col min="160" max="160" width="1.42578125" style="210" customWidth="1"/>
    <col min="161" max="161" width="10.85546875" hidden="1" customWidth="1"/>
    <col min="162" max="162" width="11" hidden="1" customWidth="1"/>
    <col min="163" max="163" width="11.7109375" hidden="1" customWidth="1"/>
    <col min="164" max="164" width="13" hidden="1" customWidth="1"/>
  </cols>
  <sheetData>
    <row r="2" spans="2:164" ht="23.25" x14ac:dyDescent="0.35">
      <c r="B2" s="231" t="s">
        <v>24</v>
      </c>
      <c r="C2" s="231"/>
      <c r="D2" s="231"/>
      <c r="E2" s="231"/>
      <c r="F2" s="231"/>
      <c r="G2" s="211"/>
      <c r="H2" s="1"/>
      <c r="I2" s="1"/>
      <c r="J2" s="1"/>
      <c r="K2" s="1"/>
      <c r="M2" s="346" t="s">
        <v>25</v>
      </c>
      <c r="N2" s="346"/>
      <c r="O2" s="346"/>
      <c r="P2" s="346"/>
      <c r="Q2" s="211"/>
      <c r="R2" s="1"/>
      <c r="S2" s="1"/>
      <c r="T2" s="1"/>
      <c r="U2" s="1"/>
      <c r="W2" s="231" t="s">
        <v>26</v>
      </c>
      <c r="X2" s="231"/>
      <c r="Y2" s="231"/>
      <c r="Z2" s="231"/>
      <c r="AA2" s="231"/>
      <c r="AB2" s="211"/>
      <c r="AC2" s="1"/>
      <c r="AD2" s="1"/>
      <c r="AE2" s="1"/>
      <c r="AF2" s="1"/>
      <c r="AI2" s="346" t="s">
        <v>27</v>
      </c>
      <c r="AJ2" s="346"/>
      <c r="AK2" s="346"/>
      <c r="AL2" s="346"/>
      <c r="AM2" s="346"/>
      <c r="AN2" s="346"/>
      <c r="AO2" s="346"/>
      <c r="AP2" s="346"/>
      <c r="AQ2" s="346"/>
      <c r="AS2" s="346" t="s">
        <v>28</v>
      </c>
      <c r="AT2" s="346"/>
      <c r="AU2" s="346"/>
      <c r="AV2" s="346"/>
      <c r="AW2" s="346"/>
      <c r="AX2" s="346"/>
      <c r="AY2" s="346"/>
      <c r="AZ2" s="346"/>
      <c r="BA2" s="346"/>
      <c r="BC2" s="346" t="s">
        <v>29</v>
      </c>
      <c r="BD2" s="346"/>
      <c r="BE2" s="346"/>
      <c r="BF2" s="346"/>
      <c r="BG2" s="346"/>
      <c r="BH2" s="346"/>
      <c r="BI2" s="346"/>
      <c r="BJ2" s="346"/>
      <c r="BK2" s="346"/>
      <c r="BM2" s="231" t="s">
        <v>30</v>
      </c>
      <c r="BN2" s="231"/>
      <c r="BO2" s="231"/>
      <c r="BP2" s="231"/>
      <c r="BQ2" s="64"/>
      <c r="BR2" s="231"/>
      <c r="BS2" s="151"/>
      <c r="BT2" s="151"/>
      <c r="BU2" s="151"/>
      <c r="BV2" s="151"/>
      <c r="BW2" s="151"/>
      <c r="BY2" s="231" t="s">
        <v>31</v>
      </c>
      <c r="BZ2" s="231"/>
      <c r="CA2" s="231"/>
      <c r="CB2" s="231"/>
      <c r="CC2" s="231"/>
      <c r="CD2" s="151"/>
      <c r="CE2" s="151"/>
      <c r="CF2" s="151"/>
      <c r="CG2" s="151"/>
      <c r="CH2" s="151"/>
      <c r="CJ2" s="231" t="s">
        <v>32</v>
      </c>
      <c r="CK2" s="231"/>
      <c r="CL2" s="231"/>
      <c r="CM2" s="231"/>
      <c r="CN2" s="231"/>
      <c r="CO2" s="151"/>
      <c r="CP2" s="151"/>
      <c r="CQ2" s="151"/>
      <c r="CR2" s="151"/>
      <c r="CS2" s="151"/>
      <c r="CU2" s="231" t="s">
        <v>33</v>
      </c>
      <c r="CV2" s="231"/>
      <c r="CW2" s="231"/>
      <c r="CX2" s="231"/>
      <c r="CY2" s="231"/>
      <c r="CZ2" s="151"/>
      <c r="DA2" s="151"/>
      <c r="DB2" s="151"/>
      <c r="DC2" s="151"/>
      <c r="DD2" s="151"/>
      <c r="DG2" s="231" t="s">
        <v>34</v>
      </c>
      <c r="DH2" s="231"/>
      <c r="DI2" s="231"/>
      <c r="DJ2" s="231"/>
      <c r="DK2" s="231"/>
      <c r="DL2" s="151"/>
      <c r="DM2" s="151"/>
      <c r="DN2" s="151"/>
      <c r="DO2" s="151"/>
      <c r="DP2" s="151"/>
      <c r="DR2" s="231" t="s">
        <v>35</v>
      </c>
      <c r="DS2" s="231"/>
      <c r="DT2" s="231"/>
      <c r="DU2" s="231"/>
      <c r="DV2" s="231"/>
      <c r="DW2" s="151"/>
      <c r="DX2" s="151"/>
      <c r="DY2" s="151"/>
      <c r="DZ2" s="151"/>
      <c r="EA2" s="151"/>
      <c r="EC2" s="231" t="s">
        <v>36</v>
      </c>
      <c r="ED2" s="231"/>
      <c r="EE2" s="231"/>
      <c r="EF2" s="231"/>
      <c r="EG2" s="231"/>
      <c r="EH2" s="151"/>
      <c r="EI2" s="151"/>
      <c r="EJ2" s="151"/>
      <c r="EK2" s="151"/>
      <c r="EL2" s="151"/>
      <c r="EN2" s="231" t="s">
        <v>37</v>
      </c>
      <c r="EO2" s="231"/>
      <c r="EP2" s="231"/>
      <c r="EQ2" s="231"/>
      <c r="ER2" s="231"/>
      <c r="ES2" s="151"/>
      <c r="ET2" s="151"/>
      <c r="EU2" s="151"/>
      <c r="EV2" s="151"/>
      <c r="EW2" s="151"/>
      <c r="EY2" s="231" t="s">
        <v>38</v>
      </c>
      <c r="EZ2" s="231"/>
      <c r="FA2" s="231"/>
      <c r="FB2" s="231"/>
      <c r="FC2" s="231"/>
      <c r="FD2" s="151"/>
      <c r="FE2" s="151"/>
      <c r="FF2" s="151"/>
      <c r="FG2" s="151"/>
      <c r="FH2" s="151"/>
    </row>
    <row r="3" spans="2:164" ht="15.75" thickBot="1" x14ac:dyDescent="0.3"/>
    <row r="4" spans="2:164" x14ac:dyDescent="0.25">
      <c r="B4" s="65" t="s">
        <v>15</v>
      </c>
      <c r="C4" s="66" t="s">
        <v>16</v>
      </c>
      <c r="D4" s="66" t="s">
        <v>16</v>
      </c>
      <c r="E4" s="67" t="s">
        <v>17</v>
      </c>
      <c r="F4" s="67" t="s">
        <v>17</v>
      </c>
      <c r="G4" s="212"/>
      <c r="H4" s="232" t="s">
        <v>17</v>
      </c>
      <c r="I4" s="233" t="s">
        <v>17</v>
      </c>
      <c r="J4" s="234" t="s">
        <v>17</v>
      </c>
      <c r="K4" s="223" t="s">
        <v>23</v>
      </c>
      <c r="M4" s="65" t="s">
        <v>15</v>
      </c>
      <c r="N4" s="66" t="s">
        <v>16</v>
      </c>
      <c r="O4" s="66" t="s">
        <v>16</v>
      </c>
      <c r="P4" s="67" t="s">
        <v>17</v>
      </c>
      <c r="Q4" s="212"/>
      <c r="R4" s="232" t="s">
        <v>17</v>
      </c>
      <c r="S4" s="233" t="s">
        <v>17</v>
      </c>
      <c r="T4" s="234" t="s">
        <v>17</v>
      </c>
      <c r="U4" s="223" t="s">
        <v>23</v>
      </c>
      <c r="W4" s="65" t="s">
        <v>15</v>
      </c>
      <c r="X4" s="66" t="s">
        <v>16</v>
      </c>
      <c r="Y4" s="66" t="s">
        <v>16</v>
      </c>
      <c r="Z4" s="67" t="s">
        <v>17</v>
      </c>
      <c r="AA4" s="67" t="s">
        <v>17</v>
      </c>
      <c r="AB4" s="212"/>
      <c r="AC4" s="232" t="s">
        <v>17</v>
      </c>
      <c r="AD4" s="233" t="s">
        <v>17</v>
      </c>
      <c r="AE4" s="234" t="s">
        <v>17</v>
      </c>
      <c r="AF4" s="223" t="s">
        <v>23</v>
      </c>
      <c r="AI4" s="65" t="s">
        <v>15</v>
      </c>
      <c r="AJ4" s="66" t="s">
        <v>16</v>
      </c>
      <c r="AK4" s="66" t="s">
        <v>16</v>
      </c>
      <c r="AL4" s="67" t="s">
        <v>17</v>
      </c>
      <c r="AM4" s="212"/>
      <c r="AN4" s="232" t="s">
        <v>17</v>
      </c>
      <c r="AO4" s="233" t="s">
        <v>17</v>
      </c>
      <c r="AP4" s="234" t="s">
        <v>17</v>
      </c>
      <c r="AQ4" s="223" t="s">
        <v>23</v>
      </c>
      <c r="AS4" s="65" t="s">
        <v>15</v>
      </c>
      <c r="AT4" s="66" t="s">
        <v>16</v>
      </c>
      <c r="AU4" s="66" t="s">
        <v>16</v>
      </c>
      <c r="AV4" s="67" t="s">
        <v>17</v>
      </c>
      <c r="AW4" s="212"/>
      <c r="AX4" s="232" t="s">
        <v>17</v>
      </c>
      <c r="AY4" s="233" t="s">
        <v>17</v>
      </c>
      <c r="AZ4" s="234" t="s">
        <v>17</v>
      </c>
      <c r="BA4" s="223" t="s">
        <v>23</v>
      </c>
      <c r="BC4" s="65" t="s">
        <v>15</v>
      </c>
      <c r="BD4" s="66" t="s">
        <v>16</v>
      </c>
      <c r="BE4" s="66" t="s">
        <v>16</v>
      </c>
      <c r="BF4" s="67" t="s">
        <v>17</v>
      </c>
      <c r="BG4" s="212"/>
      <c r="BH4" s="232" t="s">
        <v>17</v>
      </c>
      <c r="BI4" s="233" t="s">
        <v>17</v>
      </c>
      <c r="BJ4" s="234" t="s">
        <v>17</v>
      </c>
      <c r="BK4" s="223" t="s">
        <v>23</v>
      </c>
      <c r="BM4" s="65" t="s">
        <v>15</v>
      </c>
      <c r="BN4" s="66" t="s">
        <v>16</v>
      </c>
      <c r="BO4" s="66" t="s">
        <v>16</v>
      </c>
      <c r="BP4" s="66" t="s">
        <v>16</v>
      </c>
      <c r="BQ4" s="67" t="s">
        <v>17</v>
      </c>
      <c r="BR4" s="67" t="s">
        <v>17</v>
      </c>
      <c r="BS4" s="212"/>
      <c r="BT4" s="232" t="s">
        <v>17</v>
      </c>
      <c r="BU4" s="233" t="s">
        <v>17</v>
      </c>
      <c r="BV4" s="234" t="s">
        <v>17</v>
      </c>
      <c r="BW4" s="223" t="s">
        <v>23</v>
      </c>
      <c r="BY4" s="65" t="s">
        <v>15</v>
      </c>
      <c r="BZ4" s="68" t="s">
        <v>16</v>
      </c>
      <c r="CA4" s="69" t="s">
        <v>16</v>
      </c>
      <c r="CB4" s="67" t="s">
        <v>17</v>
      </c>
      <c r="CC4" s="67" t="s">
        <v>17</v>
      </c>
      <c r="CD4" s="212"/>
      <c r="CE4" s="232" t="s">
        <v>17</v>
      </c>
      <c r="CF4" s="233" t="s">
        <v>17</v>
      </c>
      <c r="CG4" s="234" t="s">
        <v>17</v>
      </c>
      <c r="CH4" s="223" t="s">
        <v>23</v>
      </c>
      <c r="CJ4" s="65" t="s">
        <v>15</v>
      </c>
      <c r="CK4" s="66" t="s">
        <v>16</v>
      </c>
      <c r="CL4" s="66" t="s">
        <v>16</v>
      </c>
      <c r="CM4" s="67" t="s">
        <v>17</v>
      </c>
      <c r="CN4" s="67" t="s">
        <v>17</v>
      </c>
      <c r="CO4" s="212"/>
      <c r="CP4" s="232" t="s">
        <v>17</v>
      </c>
      <c r="CQ4" s="233" t="s">
        <v>17</v>
      </c>
      <c r="CR4" s="234" t="s">
        <v>17</v>
      </c>
      <c r="CS4" s="223" t="s">
        <v>23</v>
      </c>
      <c r="CU4" s="65" t="s">
        <v>15</v>
      </c>
      <c r="CV4" s="66" t="s">
        <v>16</v>
      </c>
      <c r="CW4" s="66" t="s">
        <v>16</v>
      </c>
      <c r="CX4" s="67" t="s">
        <v>17</v>
      </c>
      <c r="CY4" s="67" t="s">
        <v>17</v>
      </c>
      <c r="CZ4" s="212"/>
      <c r="DA4" s="232" t="s">
        <v>17</v>
      </c>
      <c r="DB4" s="233" t="s">
        <v>17</v>
      </c>
      <c r="DC4" s="234" t="s">
        <v>17</v>
      </c>
      <c r="DD4" s="223" t="s">
        <v>23</v>
      </c>
      <c r="DG4" s="65" t="s">
        <v>15</v>
      </c>
      <c r="DH4" s="66" t="s">
        <v>16</v>
      </c>
      <c r="DI4" s="66" t="s">
        <v>16</v>
      </c>
      <c r="DJ4" s="67" t="s">
        <v>17</v>
      </c>
      <c r="DK4" s="67" t="s">
        <v>17</v>
      </c>
      <c r="DL4" s="212"/>
      <c r="DM4" s="232" t="s">
        <v>17</v>
      </c>
      <c r="DN4" s="233" t="s">
        <v>17</v>
      </c>
      <c r="DO4" s="234" t="s">
        <v>17</v>
      </c>
      <c r="DP4" s="223" t="s">
        <v>23</v>
      </c>
      <c r="DR4" s="65" t="s">
        <v>15</v>
      </c>
      <c r="DS4" s="66" t="s">
        <v>16</v>
      </c>
      <c r="DT4" s="66" t="s">
        <v>16</v>
      </c>
      <c r="DU4" s="67" t="s">
        <v>17</v>
      </c>
      <c r="DV4" s="67" t="s">
        <v>17</v>
      </c>
      <c r="DW4" s="212"/>
      <c r="DX4" s="232" t="s">
        <v>17</v>
      </c>
      <c r="DY4" s="233" t="s">
        <v>17</v>
      </c>
      <c r="DZ4" s="234" t="s">
        <v>17</v>
      </c>
      <c r="EA4" s="223" t="s">
        <v>23</v>
      </c>
      <c r="EC4" s="65" t="s">
        <v>15</v>
      </c>
      <c r="ED4" s="66" t="s">
        <v>16</v>
      </c>
      <c r="EE4" s="68" t="s">
        <v>16</v>
      </c>
      <c r="EF4" s="67" t="s">
        <v>17</v>
      </c>
      <c r="EG4" s="67" t="s">
        <v>17</v>
      </c>
      <c r="EH4" s="212"/>
      <c r="EI4" s="232" t="s">
        <v>17</v>
      </c>
      <c r="EJ4" s="233" t="s">
        <v>17</v>
      </c>
      <c r="EK4" s="234" t="s">
        <v>17</v>
      </c>
      <c r="EL4" s="223" t="s">
        <v>23</v>
      </c>
      <c r="EN4" s="65" t="s">
        <v>15</v>
      </c>
      <c r="EO4" s="66" t="s">
        <v>16</v>
      </c>
      <c r="EP4" s="66" t="s">
        <v>16</v>
      </c>
      <c r="EQ4" s="67" t="s">
        <v>17</v>
      </c>
      <c r="ER4" s="67" t="s">
        <v>17</v>
      </c>
      <c r="ES4" s="212"/>
      <c r="ET4" s="232" t="s">
        <v>17</v>
      </c>
      <c r="EU4" s="233" t="s">
        <v>17</v>
      </c>
      <c r="EV4" s="234" t="s">
        <v>17</v>
      </c>
      <c r="EW4" s="223" t="s">
        <v>23</v>
      </c>
      <c r="EY4" s="65" t="s">
        <v>15</v>
      </c>
      <c r="EZ4" s="66" t="s">
        <v>16</v>
      </c>
      <c r="FA4" s="66" t="s">
        <v>16</v>
      </c>
      <c r="FB4" s="67" t="s">
        <v>17</v>
      </c>
      <c r="FC4" s="67" t="s">
        <v>17</v>
      </c>
      <c r="FD4" s="212"/>
      <c r="FE4" s="232" t="s">
        <v>17</v>
      </c>
      <c r="FF4" s="233" t="s">
        <v>17</v>
      </c>
      <c r="FG4" s="234" t="s">
        <v>17</v>
      </c>
      <c r="FH4" s="223" t="s">
        <v>23</v>
      </c>
    </row>
    <row r="5" spans="2:164" ht="15.75" thickBot="1" x14ac:dyDescent="0.3">
      <c r="B5" s="65"/>
      <c r="C5" s="66" t="s">
        <v>19</v>
      </c>
      <c r="D5" s="66" t="s">
        <v>20</v>
      </c>
      <c r="E5" s="67" t="s">
        <v>20</v>
      </c>
      <c r="F5" s="67" t="s">
        <v>21</v>
      </c>
      <c r="G5" s="212"/>
      <c r="H5" s="235" t="s">
        <v>64</v>
      </c>
      <c r="I5" s="236" t="s">
        <v>65</v>
      </c>
      <c r="J5" s="237" t="s">
        <v>66</v>
      </c>
      <c r="K5" s="238" t="s">
        <v>67</v>
      </c>
      <c r="M5" s="65"/>
      <c r="N5" s="66" t="s">
        <v>19</v>
      </c>
      <c r="O5" s="66" t="s">
        <v>20</v>
      </c>
      <c r="P5" s="67" t="s">
        <v>21</v>
      </c>
      <c r="Q5" s="212"/>
      <c r="R5" s="235" t="s">
        <v>64</v>
      </c>
      <c r="S5" s="236" t="s">
        <v>65</v>
      </c>
      <c r="T5" s="237" t="s">
        <v>66</v>
      </c>
      <c r="U5" s="238" t="s">
        <v>67</v>
      </c>
      <c r="W5" s="65"/>
      <c r="X5" s="66" t="s">
        <v>19</v>
      </c>
      <c r="Y5" s="66" t="s">
        <v>20</v>
      </c>
      <c r="Z5" s="67" t="s">
        <v>20</v>
      </c>
      <c r="AA5" s="67" t="s">
        <v>21</v>
      </c>
      <c r="AB5" s="212"/>
      <c r="AC5" s="235" t="s">
        <v>64</v>
      </c>
      <c r="AD5" s="236" t="s">
        <v>65</v>
      </c>
      <c r="AE5" s="237" t="s">
        <v>66</v>
      </c>
      <c r="AF5" s="238" t="s">
        <v>67</v>
      </c>
      <c r="AI5" s="65"/>
      <c r="AJ5" s="66" t="s">
        <v>19</v>
      </c>
      <c r="AK5" s="66" t="s">
        <v>20</v>
      </c>
      <c r="AL5" s="67" t="s">
        <v>21</v>
      </c>
      <c r="AM5" s="212"/>
      <c r="AN5" s="235" t="s">
        <v>64</v>
      </c>
      <c r="AO5" s="236" t="s">
        <v>65</v>
      </c>
      <c r="AP5" s="237" t="s">
        <v>66</v>
      </c>
      <c r="AQ5" s="238" t="s">
        <v>67</v>
      </c>
      <c r="AS5" s="65"/>
      <c r="AT5" s="66" t="s">
        <v>19</v>
      </c>
      <c r="AU5" s="66" t="s">
        <v>20</v>
      </c>
      <c r="AV5" s="67" t="s">
        <v>21</v>
      </c>
      <c r="AW5" s="212"/>
      <c r="AX5" s="235" t="s">
        <v>64</v>
      </c>
      <c r="AY5" s="236" t="s">
        <v>65</v>
      </c>
      <c r="AZ5" s="237" t="s">
        <v>66</v>
      </c>
      <c r="BA5" s="238" t="s">
        <v>67</v>
      </c>
      <c r="BC5" s="65"/>
      <c r="BD5" s="66" t="s">
        <v>19</v>
      </c>
      <c r="BE5" s="66" t="s">
        <v>20</v>
      </c>
      <c r="BF5" s="67" t="s">
        <v>21</v>
      </c>
      <c r="BG5" s="212"/>
      <c r="BH5" s="235" t="s">
        <v>64</v>
      </c>
      <c r="BI5" s="236" t="s">
        <v>65</v>
      </c>
      <c r="BJ5" s="237" t="s">
        <v>66</v>
      </c>
      <c r="BK5" s="238" t="s">
        <v>67</v>
      </c>
      <c r="BM5" s="65"/>
      <c r="BN5" s="66" t="s">
        <v>19</v>
      </c>
      <c r="BO5" s="66" t="s">
        <v>20</v>
      </c>
      <c r="BP5" s="66" t="s">
        <v>22</v>
      </c>
      <c r="BQ5" s="67" t="s">
        <v>20</v>
      </c>
      <c r="BR5" s="67" t="s">
        <v>21</v>
      </c>
      <c r="BS5" s="212"/>
      <c r="BT5" s="235" t="s">
        <v>64</v>
      </c>
      <c r="BU5" s="236" t="s">
        <v>65</v>
      </c>
      <c r="BV5" s="237" t="s">
        <v>66</v>
      </c>
      <c r="BW5" s="238" t="s">
        <v>67</v>
      </c>
      <c r="BY5" s="65"/>
      <c r="BZ5" s="68" t="s">
        <v>19</v>
      </c>
      <c r="CA5" s="69" t="s">
        <v>20</v>
      </c>
      <c r="CB5" s="67" t="s">
        <v>20</v>
      </c>
      <c r="CC5" s="67" t="s">
        <v>21</v>
      </c>
      <c r="CD5" s="212"/>
      <c r="CE5" s="235" t="s">
        <v>64</v>
      </c>
      <c r="CF5" s="236" t="s">
        <v>65</v>
      </c>
      <c r="CG5" s="237" t="s">
        <v>66</v>
      </c>
      <c r="CH5" s="238" t="s">
        <v>67</v>
      </c>
      <c r="CJ5" s="65"/>
      <c r="CK5" s="66" t="s">
        <v>19</v>
      </c>
      <c r="CL5" s="66" t="s">
        <v>20</v>
      </c>
      <c r="CM5" s="67" t="s">
        <v>20</v>
      </c>
      <c r="CN5" s="67" t="s">
        <v>21</v>
      </c>
      <c r="CO5" s="212"/>
      <c r="CP5" s="235" t="s">
        <v>64</v>
      </c>
      <c r="CQ5" s="236" t="s">
        <v>65</v>
      </c>
      <c r="CR5" s="237" t="s">
        <v>66</v>
      </c>
      <c r="CS5" s="238" t="s">
        <v>67</v>
      </c>
      <c r="CU5" s="65"/>
      <c r="CV5" s="66" t="s">
        <v>19</v>
      </c>
      <c r="CW5" s="66" t="s">
        <v>20</v>
      </c>
      <c r="CX5" s="67" t="s">
        <v>20</v>
      </c>
      <c r="CY5" s="67" t="s">
        <v>21</v>
      </c>
      <c r="CZ5" s="212"/>
      <c r="DA5" s="235" t="s">
        <v>64</v>
      </c>
      <c r="DB5" s="236" t="s">
        <v>65</v>
      </c>
      <c r="DC5" s="237" t="s">
        <v>66</v>
      </c>
      <c r="DD5" s="238" t="s">
        <v>67</v>
      </c>
      <c r="DG5" s="65"/>
      <c r="DH5" s="66" t="s">
        <v>19</v>
      </c>
      <c r="DI5" s="66" t="s">
        <v>20</v>
      </c>
      <c r="DJ5" s="67" t="s">
        <v>20</v>
      </c>
      <c r="DK5" s="67" t="s">
        <v>21</v>
      </c>
      <c r="DL5" s="212"/>
      <c r="DM5" s="235" t="s">
        <v>64</v>
      </c>
      <c r="DN5" s="236" t="s">
        <v>65</v>
      </c>
      <c r="DO5" s="237" t="s">
        <v>66</v>
      </c>
      <c r="DP5" s="238" t="s">
        <v>67</v>
      </c>
      <c r="DR5" s="65"/>
      <c r="DS5" s="66" t="s">
        <v>19</v>
      </c>
      <c r="DT5" s="66" t="s">
        <v>20</v>
      </c>
      <c r="DU5" s="67" t="s">
        <v>20</v>
      </c>
      <c r="DV5" s="67" t="s">
        <v>21</v>
      </c>
      <c r="DW5" s="212"/>
      <c r="DX5" s="235" t="s">
        <v>64</v>
      </c>
      <c r="DY5" s="236" t="s">
        <v>65</v>
      </c>
      <c r="DZ5" s="237" t="s">
        <v>66</v>
      </c>
      <c r="EA5" s="238" t="s">
        <v>67</v>
      </c>
      <c r="EC5" s="65"/>
      <c r="ED5" s="66" t="s">
        <v>19</v>
      </c>
      <c r="EE5" s="68" t="s">
        <v>20</v>
      </c>
      <c r="EF5" s="67" t="s">
        <v>20</v>
      </c>
      <c r="EG5" s="67" t="s">
        <v>21</v>
      </c>
      <c r="EH5" s="212"/>
      <c r="EI5" s="235" t="s">
        <v>64</v>
      </c>
      <c r="EJ5" s="236" t="s">
        <v>65</v>
      </c>
      <c r="EK5" s="237" t="s">
        <v>66</v>
      </c>
      <c r="EL5" s="238" t="s">
        <v>67</v>
      </c>
      <c r="EN5" s="65"/>
      <c r="EO5" s="66" t="s">
        <v>19</v>
      </c>
      <c r="EP5" s="66" t="s">
        <v>20</v>
      </c>
      <c r="EQ5" s="67" t="s">
        <v>20</v>
      </c>
      <c r="ER5" s="67" t="s">
        <v>21</v>
      </c>
      <c r="ES5" s="212"/>
      <c r="ET5" s="235" t="s">
        <v>64</v>
      </c>
      <c r="EU5" s="236" t="s">
        <v>65</v>
      </c>
      <c r="EV5" s="237" t="s">
        <v>66</v>
      </c>
      <c r="EW5" s="238" t="s">
        <v>67</v>
      </c>
      <c r="EY5" s="65"/>
      <c r="EZ5" s="70" t="s">
        <v>19</v>
      </c>
      <c r="FA5" s="70" t="s">
        <v>20</v>
      </c>
      <c r="FB5" s="71" t="s">
        <v>20</v>
      </c>
      <c r="FC5" s="71" t="s">
        <v>21</v>
      </c>
      <c r="FD5" s="212"/>
      <c r="FE5" s="235" t="s">
        <v>64</v>
      </c>
      <c r="FF5" s="236" t="s">
        <v>65</v>
      </c>
      <c r="FG5" s="237" t="s">
        <v>66</v>
      </c>
      <c r="FH5" s="238" t="s">
        <v>67</v>
      </c>
    </row>
    <row r="6" spans="2:164" x14ac:dyDescent="0.25">
      <c r="B6" s="72">
        <v>45839</v>
      </c>
      <c r="C6" s="73">
        <v>10222.86</v>
      </c>
      <c r="D6" s="74"/>
      <c r="E6" s="75"/>
      <c r="F6" s="74">
        <v>0</v>
      </c>
      <c r="G6" s="204"/>
      <c r="H6" s="88"/>
      <c r="I6" s="328"/>
      <c r="J6" s="15"/>
      <c r="K6" s="225">
        <f>SUM(F6:J6)</f>
        <v>0</v>
      </c>
      <c r="M6" s="72">
        <v>45839</v>
      </c>
      <c r="N6" s="73">
        <v>3388.88</v>
      </c>
      <c r="O6" s="75"/>
      <c r="P6" s="74">
        <v>39.28</v>
      </c>
      <c r="Q6" s="204"/>
      <c r="R6" s="214"/>
      <c r="S6" s="15"/>
      <c r="T6" s="15"/>
      <c r="U6" s="225">
        <f>SUM(P6:T6)</f>
        <v>39.28</v>
      </c>
      <c r="W6" s="72">
        <v>45839</v>
      </c>
      <c r="X6" s="73">
        <v>1659.91</v>
      </c>
      <c r="Y6" s="73">
        <v>180.28</v>
      </c>
      <c r="Z6" s="75"/>
      <c r="AA6" s="73">
        <v>0</v>
      </c>
      <c r="AB6" s="204"/>
      <c r="AC6" s="88"/>
      <c r="AD6" s="329"/>
      <c r="AE6" s="15"/>
      <c r="AF6" s="225">
        <f>SUM(AA6:AE6)</f>
        <v>0</v>
      </c>
      <c r="AI6" s="72">
        <v>45839</v>
      </c>
      <c r="AJ6" s="73">
        <v>1287.03</v>
      </c>
      <c r="AK6" s="75"/>
      <c r="AL6" s="74"/>
      <c r="AM6" s="204"/>
      <c r="AN6" s="214"/>
      <c r="AO6" s="15"/>
      <c r="AP6" s="15"/>
      <c r="AQ6" s="225">
        <f>SUM(AL6:AP6)</f>
        <v>0</v>
      </c>
      <c r="AS6" s="72">
        <v>45839</v>
      </c>
      <c r="AT6" s="73">
        <v>3582.77</v>
      </c>
      <c r="AU6" s="75"/>
      <c r="AV6" s="76"/>
      <c r="AW6" s="204"/>
      <c r="AX6" s="214"/>
      <c r="AY6" s="15"/>
      <c r="AZ6" s="15"/>
      <c r="BA6" s="225">
        <f>SUM(AV6:AZ6)</f>
        <v>0</v>
      </c>
      <c r="BC6" s="72">
        <v>45839</v>
      </c>
      <c r="BD6" s="73">
        <v>3627.25</v>
      </c>
      <c r="BE6" s="75"/>
      <c r="BF6" s="76">
        <v>17.920000000000002</v>
      </c>
      <c r="BG6" s="204"/>
      <c r="BH6" s="88"/>
      <c r="BI6" s="15"/>
      <c r="BJ6" s="15"/>
      <c r="BK6" s="225">
        <f>SUM(BF6:BJ6)</f>
        <v>17.920000000000002</v>
      </c>
      <c r="BM6" s="72">
        <v>45839</v>
      </c>
      <c r="BN6" s="73">
        <v>16105.45</v>
      </c>
      <c r="BO6" s="73">
        <v>3800.08</v>
      </c>
      <c r="BP6" s="73">
        <v>7335.25</v>
      </c>
      <c r="BQ6" s="75"/>
      <c r="BR6" s="75"/>
      <c r="BS6" s="204"/>
      <c r="BT6" s="88">
        <v>236.39439999999993</v>
      </c>
      <c r="BU6" s="329"/>
      <c r="BV6" s="15"/>
      <c r="BW6" s="225">
        <f>SUM(BR6:BV6)</f>
        <v>236.39439999999993</v>
      </c>
      <c r="BY6" s="72">
        <v>45839</v>
      </c>
      <c r="BZ6" s="77">
        <v>1525.89</v>
      </c>
      <c r="CA6" s="78">
        <v>573.70000000000005</v>
      </c>
      <c r="CB6" s="75"/>
      <c r="CC6" s="74"/>
      <c r="CD6" s="204"/>
      <c r="CE6" s="88"/>
      <c r="CF6" s="329">
        <v>16.208450000000028</v>
      </c>
      <c r="CG6" s="335"/>
      <c r="CH6" s="225">
        <f>SUM(CC6:CG6)</f>
        <v>16.208450000000028</v>
      </c>
      <c r="CJ6" s="72">
        <v>45839</v>
      </c>
      <c r="CK6" s="73">
        <v>3817.24</v>
      </c>
      <c r="CL6" s="73">
        <v>647.82000000000005</v>
      </c>
      <c r="CM6" s="75"/>
      <c r="CN6" s="74">
        <v>7</v>
      </c>
      <c r="CO6" s="204"/>
      <c r="CP6" s="88"/>
      <c r="CQ6" s="329">
        <v>17.545589999999976</v>
      </c>
      <c r="CR6" s="15"/>
      <c r="CS6" s="225">
        <f>SUM(CN6:CR6)</f>
        <v>24.545589999999976</v>
      </c>
      <c r="CU6" s="72">
        <v>45839</v>
      </c>
      <c r="CV6" s="73">
        <v>4961.01</v>
      </c>
      <c r="CW6" s="79">
        <v>873.6</v>
      </c>
      <c r="CX6" s="75"/>
      <c r="CY6" s="74">
        <v>71.06</v>
      </c>
      <c r="CZ6" s="204"/>
      <c r="DA6" s="88">
        <v>41.177639999999997</v>
      </c>
      <c r="DB6" s="15"/>
      <c r="DC6" s="15"/>
      <c r="DD6" s="225">
        <f>SUM(CY6:DC6)</f>
        <v>112.23764</v>
      </c>
      <c r="DG6" s="72">
        <v>45839</v>
      </c>
      <c r="DH6" s="73">
        <v>2096.41</v>
      </c>
      <c r="DI6" s="80">
        <v>605.54</v>
      </c>
      <c r="DJ6" s="80"/>
      <c r="DK6" s="74">
        <v>12.4</v>
      </c>
      <c r="DL6" s="204"/>
      <c r="DM6" s="88">
        <v>13.752604000000019</v>
      </c>
      <c r="DN6" s="328"/>
      <c r="DO6" s="15"/>
      <c r="DP6" s="225">
        <f>SUM(DK6:DO6)</f>
        <v>26.152604000000018</v>
      </c>
      <c r="DR6" s="72">
        <v>45839</v>
      </c>
      <c r="DS6" s="73">
        <v>1237.83</v>
      </c>
      <c r="DT6" s="80">
        <v>1804.41</v>
      </c>
      <c r="DU6" s="80"/>
      <c r="DV6" s="74">
        <v>18.149999999999999</v>
      </c>
      <c r="DW6" s="204"/>
      <c r="DX6" s="214"/>
      <c r="DY6" s="328"/>
      <c r="DZ6" s="15"/>
      <c r="EA6" s="225">
        <f>SUM(DV6:DZ6)</f>
        <v>18.149999999999999</v>
      </c>
      <c r="EC6" s="72">
        <v>45839</v>
      </c>
      <c r="ED6" s="73">
        <v>570.55999999999995</v>
      </c>
      <c r="EE6" s="80">
        <v>810.02</v>
      </c>
      <c r="EF6" s="80"/>
      <c r="EG6" s="239">
        <v>0</v>
      </c>
      <c r="EH6" s="204"/>
      <c r="EI6" s="88">
        <v>879.25936000000002</v>
      </c>
      <c r="EJ6" s="328"/>
      <c r="EK6" s="335"/>
      <c r="EL6" s="225">
        <f>SUM(EG6:EK6)</f>
        <v>879.25936000000002</v>
      </c>
      <c r="EN6" s="72">
        <v>45839</v>
      </c>
      <c r="EO6" s="73">
        <v>3671.89</v>
      </c>
      <c r="EP6" s="81">
        <v>322.2</v>
      </c>
      <c r="EQ6" s="80"/>
      <c r="ER6" s="74">
        <v>0</v>
      </c>
      <c r="ES6" s="204"/>
      <c r="ET6" s="88">
        <v>6.336039999999997</v>
      </c>
      <c r="EU6" s="328"/>
      <c r="EV6" s="15"/>
      <c r="EW6" s="225">
        <f>SUM(ER6:EV6)</f>
        <v>6.336039999999997</v>
      </c>
      <c r="EY6" s="72">
        <v>45839</v>
      </c>
      <c r="EZ6" s="73">
        <v>265</v>
      </c>
      <c r="FA6" s="73">
        <v>562</v>
      </c>
      <c r="FB6" s="75"/>
      <c r="FC6" s="74"/>
      <c r="FD6" s="204"/>
      <c r="FE6" s="214"/>
      <c r="FF6" s="15"/>
      <c r="FG6" s="15"/>
      <c r="FH6" s="225">
        <f>SUM(FC6:FG6)</f>
        <v>0</v>
      </c>
    </row>
    <row r="7" spans="2:164" x14ac:dyDescent="0.25">
      <c r="B7" s="72">
        <v>45840</v>
      </c>
      <c r="C7" s="73">
        <v>7393.61</v>
      </c>
      <c r="D7" s="75"/>
      <c r="E7" s="75"/>
      <c r="F7" s="75">
        <v>22.5</v>
      </c>
      <c r="G7" s="204"/>
      <c r="H7" s="88"/>
      <c r="I7" s="328"/>
      <c r="J7" s="28"/>
      <c r="K7" s="226">
        <f t="shared" ref="K7:K36" si="0">SUM(F7:J7)</f>
        <v>22.5</v>
      </c>
      <c r="M7" s="72">
        <v>45840</v>
      </c>
      <c r="N7" s="73">
        <v>3301.49</v>
      </c>
      <c r="O7" s="75"/>
      <c r="P7" s="74">
        <v>15.14</v>
      </c>
      <c r="Q7" s="204"/>
      <c r="R7" s="215"/>
      <c r="S7" s="28"/>
      <c r="T7" s="28"/>
      <c r="U7" s="226">
        <f t="shared" ref="U7:U36" si="1">SUM(P7:T7)</f>
        <v>15.14</v>
      </c>
      <c r="W7" s="72">
        <v>45840</v>
      </c>
      <c r="X7" s="73">
        <v>2382.2199999999998</v>
      </c>
      <c r="Y7" s="73">
        <v>147.61000000000001</v>
      </c>
      <c r="Z7" s="75"/>
      <c r="AA7" s="73">
        <v>0</v>
      </c>
      <c r="AB7" s="204"/>
      <c r="AC7" s="88">
        <v>9.3020399999999981</v>
      </c>
      <c r="AD7" s="329"/>
      <c r="AE7" s="28"/>
      <c r="AF7" s="226">
        <f t="shared" ref="AF7:AF8" si="2">SUM(AA7:AE7)</f>
        <v>9.3020399999999981</v>
      </c>
      <c r="AI7" s="72">
        <v>45840</v>
      </c>
      <c r="AJ7" s="73">
        <v>944.17</v>
      </c>
      <c r="AK7" s="75"/>
      <c r="AL7" s="74"/>
      <c r="AM7" s="204"/>
      <c r="AN7" s="215"/>
      <c r="AO7" s="28"/>
      <c r="AP7" s="28"/>
      <c r="AQ7" s="226">
        <f t="shared" ref="AQ7:AQ8" si="3">SUM(AL7:AP7)</f>
        <v>0</v>
      </c>
      <c r="AS7" s="72">
        <v>45840</v>
      </c>
      <c r="AT7" s="73">
        <v>4115.47</v>
      </c>
      <c r="AU7" s="75"/>
      <c r="AV7" s="76"/>
      <c r="AW7" s="204"/>
      <c r="AX7" s="215"/>
      <c r="AY7" s="28"/>
      <c r="AZ7" s="28"/>
      <c r="BA7" s="226">
        <f t="shared" ref="BA7:BA8" si="4">SUM(AV7:AZ7)</f>
        <v>0</v>
      </c>
      <c r="BC7" s="72">
        <v>45840</v>
      </c>
      <c r="BD7" s="73">
        <v>4083.55</v>
      </c>
      <c r="BE7" s="75"/>
      <c r="BF7" s="76">
        <v>8.6300000000000008</v>
      </c>
      <c r="BG7" s="204"/>
      <c r="BH7" s="88"/>
      <c r="BI7" s="28"/>
      <c r="BJ7" s="28"/>
      <c r="BK7" s="226">
        <f t="shared" ref="BK7:BK8" si="5">SUM(BF7:BJ7)</f>
        <v>8.6300000000000008</v>
      </c>
      <c r="BM7" s="72">
        <v>45840</v>
      </c>
      <c r="BN7" s="73">
        <v>17615.060000000001</v>
      </c>
      <c r="BO7" s="73">
        <v>2801.73</v>
      </c>
      <c r="BP7" s="73">
        <v>7485.57</v>
      </c>
      <c r="BQ7" s="75"/>
      <c r="BR7" s="75"/>
      <c r="BS7" s="204"/>
      <c r="BT7" s="88">
        <v>118.49771999999999</v>
      </c>
      <c r="BU7" s="329"/>
      <c r="BV7" s="28"/>
      <c r="BW7" s="226">
        <f t="shared" ref="BW7:BW36" si="6">SUM(BR7:BV7)</f>
        <v>118.49771999999999</v>
      </c>
      <c r="BY7" s="72">
        <v>45840</v>
      </c>
      <c r="BZ7" s="77">
        <v>2029.86</v>
      </c>
      <c r="CA7" s="78">
        <v>712.09</v>
      </c>
      <c r="CB7" s="75"/>
      <c r="CC7" s="74"/>
      <c r="CD7" s="204"/>
      <c r="CE7" s="88"/>
      <c r="CF7" s="329">
        <v>47.965469999999982</v>
      </c>
      <c r="CG7" s="335"/>
      <c r="CH7" s="226">
        <f t="shared" ref="CH7:CH36" si="7">SUM(CC7:CG7)</f>
        <v>47.965469999999982</v>
      </c>
      <c r="CJ7" s="72">
        <v>45840</v>
      </c>
      <c r="CK7" s="73">
        <v>5858.9</v>
      </c>
      <c r="CL7" s="73">
        <v>476.99</v>
      </c>
      <c r="CM7" s="75"/>
      <c r="CN7" s="74">
        <v>13.53</v>
      </c>
      <c r="CO7" s="204"/>
      <c r="CP7" s="88">
        <v>77.320159999999944</v>
      </c>
      <c r="CQ7" s="329"/>
      <c r="CR7" s="28"/>
      <c r="CS7" s="226">
        <f t="shared" ref="CS7:CS36" si="8">SUM(CN7:CR7)</f>
        <v>90.850159999999946</v>
      </c>
      <c r="CU7" s="72">
        <v>45840</v>
      </c>
      <c r="CV7" s="73">
        <v>5466.56</v>
      </c>
      <c r="CW7" s="80">
        <v>704.48</v>
      </c>
      <c r="CX7" s="75"/>
      <c r="CY7" s="76">
        <v>95.19</v>
      </c>
      <c r="CZ7" s="204"/>
      <c r="DA7" s="88">
        <v>7.6972500000000039</v>
      </c>
      <c r="DB7" s="28"/>
      <c r="DC7" s="28"/>
      <c r="DD7" s="226">
        <f t="shared" ref="DD7:DD36" si="9">SUM(CY7:DC7)</f>
        <v>102.88724999999999</v>
      </c>
      <c r="DG7" s="72">
        <v>45840</v>
      </c>
      <c r="DH7" s="73">
        <v>1847.35</v>
      </c>
      <c r="DI7" s="80">
        <v>621.71</v>
      </c>
      <c r="DJ7" s="80"/>
      <c r="DK7" s="74">
        <v>10.65</v>
      </c>
      <c r="DL7" s="204"/>
      <c r="DM7" s="88"/>
      <c r="DN7" s="328"/>
      <c r="DO7" s="28"/>
      <c r="DP7" s="226">
        <f t="shared" ref="DP7:DP36" si="10">SUM(DK7:DO7)</f>
        <v>10.65</v>
      </c>
      <c r="DR7" s="72">
        <v>45840</v>
      </c>
      <c r="DS7" s="73">
        <v>1138.31</v>
      </c>
      <c r="DT7" s="80">
        <v>1500.33</v>
      </c>
      <c r="DU7" s="80"/>
      <c r="DV7" s="74">
        <v>22.43</v>
      </c>
      <c r="DW7" s="204"/>
      <c r="DX7" s="215"/>
      <c r="DY7" s="328"/>
      <c r="DZ7" s="28"/>
      <c r="EA7" s="226">
        <f t="shared" ref="EA7:EA36" si="11">SUM(DV7:DZ7)</f>
        <v>22.43</v>
      </c>
      <c r="EC7" s="72">
        <v>45840</v>
      </c>
      <c r="ED7" s="73">
        <v>927.72</v>
      </c>
      <c r="EE7" s="80">
        <v>1081.9100000000001</v>
      </c>
      <c r="EF7" s="80"/>
      <c r="EG7" s="239">
        <v>0</v>
      </c>
      <c r="EH7" s="204"/>
      <c r="EI7" s="88">
        <v>1097.53792</v>
      </c>
      <c r="EJ7" s="328">
        <v>63.355799999999988</v>
      </c>
      <c r="EK7" s="335"/>
      <c r="EL7" s="226">
        <f t="shared" ref="EL7:EL36" si="12">SUM(EG7:EK7)</f>
        <v>1160.89372</v>
      </c>
      <c r="EN7" s="72">
        <v>45840</v>
      </c>
      <c r="EO7" s="73">
        <v>2923.03</v>
      </c>
      <c r="EP7" s="81">
        <v>162</v>
      </c>
      <c r="EQ7" s="80"/>
      <c r="ER7" s="74">
        <v>0</v>
      </c>
      <c r="ES7" s="204"/>
      <c r="ET7" s="88"/>
      <c r="EU7" s="328">
        <v>33.254999999999995</v>
      </c>
      <c r="EV7" s="28"/>
      <c r="EW7" s="226">
        <f t="shared" ref="EW7:EW36" si="13">SUM(ER7:EV7)</f>
        <v>33.254999999999995</v>
      </c>
      <c r="EY7" s="72">
        <v>45840</v>
      </c>
      <c r="EZ7" s="73">
        <v>341.38</v>
      </c>
      <c r="FA7" s="73">
        <v>337</v>
      </c>
      <c r="FB7" s="75"/>
      <c r="FC7" s="74"/>
      <c r="FD7" s="204"/>
      <c r="FE7" s="215"/>
      <c r="FF7" s="28"/>
      <c r="FG7" s="28"/>
      <c r="FH7" s="226">
        <f t="shared" ref="FH7:FH36" si="14">SUM(FC7:FG7)</f>
        <v>0</v>
      </c>
    </row>
    <row r="8" spans="2:164" x14ac:dyDescent="0.25">
      <c r="B8" s="72">
        <v>45841</v>
      </c>
      <c r="C8" s="73">
        <v>8592.15</v>
      </c>
      <c r="D8" s="75"/>
      <c r="E8" s="75"/>
      <c r="F8" s="75">
        <v>30.74</v>
      </c>
      <c r="G8" s="204"/>
      <c r="H8" s="88"/>
      <c r="I8" s="328"/>
      <c r="J8" s="28"/>
      <c r="K8" s="226">
        <f t="shared" si="0"/>
        <v>30.74</v>
      </c>
      <c r="M8" s="72">
        <v>45841</v>
      </c>
      <c r="N8" s="73">
        <v>3023.84</v>
      </c>
      <c r="O8" s="75"/>
      <c r="P8" s="74">
        <v>9.01</v>
      </c>
      <c r="Q8" s="204"/>
      <c r="R8" s="215"/>
      <c r="S8" s="28"/>
      <c r="T8" s="28"/>
      <c r="U8" s="226">
        <f t="shared" si="1"/>
        <v>9.01</v>
      </c>
      <c r="W8" s="72">
        <v>45841</v>
      </c>
      <c r="X8" s="73">
        <v>2416.41</v>
      </c>
      <c r="Y8" s="73">
        <v>229.85</v>
      </c>
      <c r="Z8" s="75"/>
      <c r="AA8" s="73">
        <v>0</v>
      </c>
      <c r="AB8" s="204"/>
      <c r="AC8" s="88"/>
      <c r="AD8" s="329"/>
      <c r="AE8" s="28"/>
      <c r="AF8" s="226">
        <f t="shared" si="2"/>
        <v>0</v>
      </c>
      <c r="AI8" s="72">
        <v>45841</v>
      </c>
      <c r="AJ8" s="73">
        <v>1619.31</v>
      </c>
      <c r="AK8" s="75"/>
      <c r="AL8" s="74"/>
      <c r="AM8" s="204"/>
      <c r="AN8" s="215"/>
      <c r="AO8" s="28"/>
      <c r="AP8" s="28"/>
      <c r="AQ8" s="226">
        <f t="shared" si="3"/>
        <v>0</v>
      </c>
      <c r="AS8" s="72">
        <v>45841</v>
      </c>
      <c r="AT8" s="73">
        <v>3805.64</v>
      </c>
      <c r="AU8" s="75"/>
      <c r="AV8" s="76"/>
      <c r="AW8" s="204"/>
      <c r="AX8" s="215"/>
      <c r="AY8" s="28"/>
      <c r="AZ8" s="28"/>
      <c r="BA8" s="226">
        <f t="shared" si="4"/>
        <v>0</v>
      </c>
      <c r="BC8" s="72">
        <v>45841</v>
      </c>
      <c r="BD8" s="73">
        <v>3071.73</v>
      </c>
      <c r="BE8" s="75"/>
      <c r="BF8" s="76">
        <v>29.57</v>
      </c>
      <c r="BG8" s="204"/>
      <c r="BH8" s="88"/>
      <c r="BI8" s="28"/>
      <c r="BJ8" s="28"/>
      <c r="BK8" s="226">
        <f t="shared" si="5"/>
        <v>29.57</v>
      </c>
      <c r="BM8" s="72">
        <v>45841</v>
      </c>
      <c r="BN8" s="73">
        <v>14698.93</v>
      </c>
      <c r="BO8" s="73">
        <v>2657.26</v>
      </c>
      <c r="BP8" s="73">
        <v>8020.48</v>
      </c>
      <c r="BQ8" s="75"/>
      <c r="BR8" s="75"/>
      <c r="BS8" s="204"/>
      <c r="BT8" s="88">
        <v>80.449126760563388</v>
      </c>
      <c r="BU8" s="329">
        <v>469.59999999999991</v>
      </c>
      <c r="BV8" s="28"/>
      <c r="BW8" s="226">
        <f t="shared" si="6"/>
        <v>550.04912676056324</v>
      </c>
      <c r="BY8" s="72">
        <v>45841</v>
      </c>
      <c r="BZ8" s="77">
        <v>1065</v>
      </c>
      <c r="CA8" s="78">
        <v>533.79999999999995</v>
      </c>
      <c r="CB8" s="75"/>
      <c r="CC8" s="74"/>
      <c r="CD8" s="204"/>
      <c r="CE8" s="88"/>
      <c r="CF8" s="329"/>
      <c r="CG8" s="335"/>
      <c r="CH8" s="226">
        <f t="shared" si="7"/>
        <v>0</v>
      </c>
      <c r="CJ8" s="72">
        <v>45841</v>
      </c>
      <c r="CK8" s="73">
        <v>5052.54</v>
      </c>
      <c r="CL8" s="73">
        <v>520.6</v>
      </c>
      <c r="CM8" s="75"/>
      <c r="CN8" s="74">
        <v>33.36</v>
      </c>
      <c r="CO8" s="204"/>
      <c r="CP8" s="88">
        <v>169.73539999999991</v>
      </c>
      <c r="CQ8" s="329">
        <v>20.061199999999985</v>
      </c>
      <c r="CR8" s="28"/>
      <c r="CS8" s="226">
        <f t="shared" si="8"/>
        <v>223.15659999999991</v>
      </c>
      <c r="CU8" s="72">
        <v>45841</v>
      </c>
      <c r="CV8" s="73">
        <v>8117.82</v>
      </c>
      <c r="CW8" s="80">
        <v>926.24</v>
      </c>
      <c r="CX8" s="75"/>
      <c r="CY8" s="74">
        <v>142.81</v>
      </c>
      <c r="CZ8" s="204"/>
      <c r="DA8" s="88"/>
      <c r="DB8" s="28"/>
      <c r="DC8" s="28"/>
      <c r="DD8" s="226">
        <f t="shared" si="9"/>
        <v>142.81</v>
      </c>
      <c r="DG8" s="72">
        <v>45841</v>
      </c>
      <c r="DH8" s="73">
        <v>1138.42</v>
      </c>
      <c r="DI8" s="74">
        <v>334.23</v>
      </c>
      <c r="DJ8" s="80"/>
      <c r="DK8" s="74">
        <v>4</v>
      </c>
      <c r="DL8" s="204"/>
      <c r="DM8" s="88">
        <v>6.125489999999985</v>
      </c>
      <c r="DN8" s="328"/>
      <c r="DO8" s="28"/>
      <c r="DP8" s="226">
        <f t="shared" si="10"/>
        <v>10.125489999999985</v>
      </c>
      <c r="DR8" s="72">
        <v>45841</v>
      </c>
      <c r="DS8" s="73">
        <v>1557.32</v>
      </c>
      <c r="DT8" s="80">
        <v>1399.29</v>
      </c>
      <c r="DU8" s="80"/>
      <c r="DV8" s="74">
        <v>23.19</v>
      </c>
      <c r="DW8" s="204"/>
      <c r="DX8" s="215"/>
      <c r="DY8" s="328"/>
      <c r="DZ8" s="28"/>
      <c r="EA8" s="226">
        <f t="shared" si="11"/>
        <v>23.19</v>
      </c>
      <c r="EC8" s="72">
        <v>45841</v>
      </c>
      <c r="ED8" s="73">
        <v>1159.8399999999999</v>
      </c>
      <c r="EE8" s="80">
        <v>905.02</v>
      </c>
      <c r="EF8" s="80"/>
      <c r="EG8" s="239">
        <v>0</v>
      </c>
      <c r="EH8" s="204"/>
      <c r="EI8" s="88">
        <v>861.49077999999997</v>
      </c>
      <c r="EJ8" s="328"/>
      <c r="EK8" s="335"/>
      <c r="EL8" s="226">
        <f t="shared" si="12"/>
        <v>861.49077999999997</v>
      </c>
      <c r="EN8" s="72">
        <v>45841</v>
      </c>
      <c r="EO8" s="73">
        <v>5357.7</v>
      </c>
      <c r="EP8" s="81">
        <v>801.8</v>
      </c>
      <c r="EQ8" s="80"/>
      <c r="ER8" s="74">
        <v>0</v>
      </c>
      <c r="ES8" s="204"/>
      <c r="ET8" s="88"/>
      <c r="EU8" s="328">
        <v>260.99000000000012</v>
      </c>
      <c r="EV8" s="28"/>
      <c r="EW8" s="226">
        <f t="shared" si="13"/>
        <v>260.99000000000012</v>
      </c>
      <c r="EY8" s="72">
        <v>45841</v>
      </c>
      <c r="EZ8" s="73">
        <v>453.81</v>
      </c>
      <c r="FA8" s="73">
        <v>205.55</v>
      </c>
      <c r="FB8" s="75"/>
      <c r="FC8" s="74"/>
      <c r="FD8" s="204"/>
      <c r="FE8" s="215"/>
      <c r="FF8" s="28"/>
      <c r="FG8" s="28"/>
      <c r="FH8" s="226">
        <f t="shared" si="14"/>
        <v>0</v>
      </c>
    </row>
    <row r="9" spans="2:164" x14ac:dyDescent="0.25">
      <c r="B9" s="72">
        <v>45842</v>
      </c>
      <c r="C9" s="73">
        <v>16811.45</v>
      </c>
      <c r="D9" s="75"/>
      <c r="E9" s="75"/>
      <c r="F9" s="75">
        <v>193.89</v>
      </c>
      <c r="G9" s="204"/>
      <c r="H9" s="88"/>
      <c r="I9" s="328"/>
      <c r="J9" s="28"/>
      <c r="K9" s="226">
        <f t="shared" si="0"/>
        <v>193.89</v>
      </c>
      <c r="M9" s="72">
        <v>45842</v>
      </c>
      <c r="N9" s="73">
        <v>3537.58</v>
      </c>
      <c r="O9" s="75"/>
      <c r="P9" s="74">
        <v>0</v>
      </c>
      <c r="Q9" s="204"/>
      <c r="R9" s="215"/>
      <c r="S9" s="28"/>
      <c r="T9" s="28"/>
      <c r="U9" s="226">
        <f>SUM(P9:T9)</f>
        <v>0</v>
      </c>
      <c r="W9" s="72">
        <v>45842</v>
      </c>
      <c r="X9" s="73">
        <v>1281.3699999999999</v>
      </c>
      <c r="Y9" s="73">
        <v>206</v>
      </c>
      <c r="Z9" s="75"/>
      <c r="AA9" s="73">
        <v>0</v>
      </c>
      <c r="AB9" s="204"/>
      <c r="AC9" s="88"/>
      <c r="AD9" s="329"/>
      <c r="AE9" s="28"/>
      <c r="AF9" s="226">
        <f>SUM(AA9:AE9)</f>
        <v>0</v>
      </c>
      <c r="AI9" s="72">
        <v>45842</v>
      </c>
      <c r="AJ9" s="73">
        <v>2075.63</v>
      </c>
      <c r="AK9" s="75"/>
      <c r="AL9" s="74"/>
      <c r="AM9" s="204"/>
      <c r="AN9" s="215"/>
      <c r="AO9" s="28"/>
      <c r="AP9" s="28"/>
      <c r="AQ9" s="226">
        <f>SUM(AL9:AP9)</f>
        <v>0</v>
      </c>
      <c r="AS9" s="72">
        <v>45842</v>
      </c>
      <c r="AT9" s="73">
        <v>3235.32</v>
      </c>
      <c r="AU9" s="75"/>
      <c r="AV9" s="76"/>
      <c r="AW9" s="204"/>
      <c r="AX9" s="215"/>
      <c r="AY9" s="28"/>
      <c r="AZ9" s="28"/>
      <c r="BA9" s="226">
        <f>SUM(AV9:AZ9)</f>
        <v>0</v>
      </c>
      <c r="BC9" s="72">
        <v>45842</v>
      </c>
      <c r="BD9" s="73">
        <v>3674.43</v>
      </c>
      <c r="BE9" s="75"/>
      <c r="BF9" s="76">
        <v>14.52</v>
      </c>
      <c r="BG9" s="204"/>
      <c r="BH9" s="88"/>
      <c r="BI9" s="28"/>
      <c r="BJ9" s="28"/>
      <c r="BK9" s="226">
        <f>SUM(BF9:BJ9)</f>
        <v>14.52</v>
      </c>
      <c r="BM9" s="72">
        <v>45842</v>
      </c>
      <c r="BN9" s="73">
        <v>15340.56</v>
      </c>
      <c r="BO9" s="73">
        <v>3160.57</v>
      </c>
      <c r="BP9" s="73">
        <v>8218.56</v>
      </c>
      <c r="BQ9" s="75"/>
      <c r="BR9" s="75"/>
      <c r="BS9" s="204"/>
      <c r="BT9" s="88">
        <v>240.50199191430701</v>
      </c>
      <c r="BU9" s="329"/>
      <c r="BV9" s="28"/>
      <c r="BW9" s="226">
        <f t="shared" si="6"/>
        <v>240.50199191430701</v>
      </c>
      <c r="BY9" s="72">
        <v>45842</v>
      </c>
      <c r="BZ9" s="77">
        <v>726.77</v>
      </c>
      <c r="CA9" s="78">
        <v>362.66</v>
      </c>
      <c r="CB9" s="74"/>
      <c r="CC9" s="74"/>
      <c r="CD9" s="204"/>
      <c r="CE9" s="88"/>
      <c r="CF9" s="329"/>
      <c r="CG9" s="335"/>
      <c r="CH9" s="226">
        <f t="shared" si="7"/>
        <v>0</v>
      </c>
      <c r="CJ9" s="72">
        <v>45842</v>
      </c>
      <c r="CK9" s="73">
        <v>2860.83</v>
      </c>
      <c r="CL9" s="73">
        <v>435.97</v>
      </c>
      <c r="CM9" s="75"/>
      <c r="CN9" s="74">
        <v>14.91</v>
      </c>
      <c r="CO9" s="204"/>
      <c r="CP9" s="88">
        <v>58.362359999999967</v>
      </c>
      <c r="CQ9" s="329"/>
      <c r="CR9" s="28"/>
      <c r="CS9" s="226">
        <f t="shared" si="8"/>
        <v>73.272359999999964</v>
      </c>
      <c r="CU9" s="72">
        <v>45842</v>
      </c>
      <c r="CV9" s="73">
        <v>9875.4699999999993</v>
      </c>
      <c r="CW9" s="80">
        <v>648.04999999999995</v>
      </c>
      <c r="CX9" s="75"/>
      <c r="CY9" s="74">
        <v>166.14</v>
      </c>
      <c r="CZ9" s="204"/>
      <c r="DA9" s="88"/>
      <c r="DB9" s="28"/>
      <c r="DC9" s="28"/>
      <c r="DD9" s="226">
        <f t="shared" si="9"/>
        <v>166.14</v>
      </c>
      <c r="DG9" s="72">
        <v>45842</v>
      </c>
      <c r="DH9" s="73">
        <v>1416.55</v>
      </c>
      <c r="DI9" s="80">
        <v>497.03</v>
      </c>
      <c r="DJ9" s="80"/>
      <c r="DK9" s="74">
        <v>4</v>
      </c>
      <c r="DL9" s="204"/>
      <c r="DM9" s="88"/>
      <c r="DN9" s="328"/>
      <c r="DO9" s="28"/>
      <c r="DP9" s="226">
        <f t="shared" si="10"/>
        <v>4</v>
      </c>
      <c r="DR9" s="72">
        <v>45842</v>
      </c>
      <c r="DS9" s="73">
        <v>1431.18</v>
      </c>
      <c r="DT9" s="80">
        <v>1546.25</v>
      </c>
      <c r="DU9" s="80"/>
      <c r="DV9" s="74">
        <v>59.4</v>
      </c>
      <c r="DW9" s="204"/>
      <c r="DX9" s="215"/>
      <c r="DY9" s="328"/>
      <c r="DZ9" s="28"/>
      <c r="EA9" s="226">
        <f t="shared" si="11"/>
        <v>59.4</v>
      </c>
      <c r="EC9" s="72">
        <v>45842</v>
      </c>
      <c r="ED9" s="73">
        <v>1140.24</v>
      </c>
      <c r="EE9" s="80">
        <v>829.51</v>
      </c>
      <c r="EF9" s="80"/>
      <c r="EG9" s="239">
        <v>0</v>
      </c>
      <c r="EH9" s="204"/>
      <c r="EI9" s="88">
        <v>578.30073999999991</v>
      </c>
      <c r="EJ9" s="328"/>
      <c r="EK9" s="335"/>
      <c r="EL9" s="226">
        <f t="shared" si="12"/>
        <v>578.30073999999991</v>
      </c>
      <c r="EN9" s="72">
        <v>45842</v>
      </c>
      <c r="EO9" s="73">
        <v>4564.72</v>
      </c>
      <c r="EP9" s="81">
        <v>208.56</v>
      </c>
      <c r="EQ9" s="80"/>
      <c r="ER9" s="74">
        <v>0</v>
      </c>
      <c r="ES9" s="204"/>
      <c r="ET9" s="88">
        <v>19.702500000000015</v>
      </c>
      <c r="EU9" s="328">
        <v>37.034999999999997</v>
      </c>
      <c r="EV9" s="28"/>
      <c r="EW9" s="226">
        <f t="shared" si="13"/>
        <v>56.737500000000011</v>
      </c>
      <c r="EY9" s="72">
        <v>45842</v>
      </c>
      <c r="EZ9" s="73">
        <v>585</v>
      </c>
      <c r="FA9" s="73">
        <v>236</v>
      </c>
      <c r="FB9" s="75"/>
      <c r="FC9" s="74"/>
      <c r="FD9" s="204"/>
      <c r="FE9" s="215"/>
      <c r="FF9" s="28"/>
      <c r="FG9" s="28"/>
      <c r="FH9" s="226">
        <f t="shared" si="14"/>
        <v>0</v>
      </c>
    </row>
    <row r="10" spans="2:164" x14ac:dyDescent="0.25">
      <c r="B10" s="72">
        <v>45843</v>
      </c>
      <c r="C10" s="73">
        <v>10026.82</v>
      </c>
      <c r="D10" s="75"/>
      <c r="E10" s="75"/>
      <c r="F10" s="75">
        <v>0</v>
      </c>
      <c r="G10" s="204"/>
      <c r="H10" s="88"/>
      <c r="I10" s="328"/>
      <c r="J10" s="28"/>
      <c r="K10" s="226">
        <f t="shared" si="0"/>
        <v>0</v>
      </c>
      <c r="M10" s="72">
        <v>45843</v>
      </c>
      <c r="N10" s="73">
        <v>2780.11</v>
      </c>
      <c r="O10" s="75"/>
      <c r="P10" s="74">
        <v>14.79</v>
      </c>
      <c r="Q10" s="204"/>
      <c r="R10" s="215"/>
      <c r="S10" s="28"/>
      <c r="T10" s="28"/>
      <c r="U10" s="226">
        <f t="shared" si="1"/>
        <v>14.79</v>
      </c>
      <c r="W10" s="72">
        <v>45843</v>
      </c>
      <c r="X10" s="73">
        <v>1983.17</v>
      </c>
      <c r="Y10" s="73">
        <v>274</v>
      </c>
      <c r="Z10" s="75"/>
      <c r="AA10" s="73">
        <v>0</v>
      </c>
      <c r="AB10" s="204"/>
      <c r="AC10" s="88"/>
      <c r="AD10" s="329"/>
      <c r="AE10" s="28"/>
      <c r="AF10" s="226">
        <f t="shared" ref="AF10:AF36" si="15">SUM(AA10:AE10)</f>
        <v>0</v>
      </c>
      <c r="AI10" s="72">
        <v>45843</v>
      </c>
      <c r="AJ10" s="73">
        <v>1926.15</v>
      </c>
      <c r="AK10" s="75"/>
      <c r="AL10" s="74"/>
      <c r="AM10" s="204"/>
      <c r="AN10" s="215"/>
      <c r="AO10" s="28"/>
      <c r="AP10" s="28"/>
      <c r="AQ10" s="226">
        <f t="shared" ref="AQ10:AQ36" si="16">SUM(AL10:AP10)</f>
        <v>0</v>
      </c>
      <c r="AS10" s="72">
        <v>45843</v>
      </c>
      <c r="AT10" s="73">
        <v>4815.7700000000004</v>
      </c>
      <c r="AU10" s="75"/>
      <c r="AV10" s="76"/>
      <c r="AW10" s="204"/>
      <c r="AX10" s="215"/>
      <c r="AY10" s="28"/>
      <c r="AZ10" s="28"/>
      <c r="BA10" s="226">
        <f t="shared" ref="BA10:BA36" si="17">SUM(AV10:AZ10)</f>
        <v>0</v>
      </c>
      <c r="BC10" s="72">
        <v>45843</v>
      </c>
      <c r="BD10" s="73">
        <v>3893.89</v>
      </c>
      <c r="BE10" s="75"/>
      <c r="BF10" s="76">
        <v>11.2</v>
      </c>
      <c r="BG10" s="204"/>
      <c r="BH10" s="88"/>
      <c r="BI10" s="28"/>
      <c r="BJ10" s="28"/>
      <c r="BK10" s="226">
        <f t="shared" ref="BK10:BK36" si="18">SUM(BF10:BJ10)</f>
        <v>11.2</v>
      </c>
      <c r="BM10" s="72">
        <v>45843</v>
      </c>
      <c r="BN10" s="73">
        <v>14154.71</v>
      </c>
      <c r="BO10" s="73">
        <v>2940.42</v>
      </c>
      <c r="BP10" s="73">
        <v>7832.05</v>
      </c>
      <c r="BQ10" s="75"/>
      <c r="BR10" s="75"/>
      <c r="BS10" s="204"/>
      <c r="BT10" s="88"/>
      <c r="BU10" s="329"/>
      <c r="BV10" s="28"/>
      <c r="BW10" s="226">
        <f t="shared" si="6"/>
        <v>0</v>
      </c>
      <c r="BY10" s="72">
        <v>45843</v>
      </c>
      <c r="BZ10" s="77">
        <v>977.68</v>
      </c>
      <c r="CA10" s="78">
        <v>505</v>
      </c>
      <c r="CB10" s="75"/>
      <c r="CC10" s="74"/>
      <c r="CD10" s="204"/>
      <c r="CE10" s="88"/>
      <c r="CF10" s="329">
        <v>73.750830000000178</v>
      </c>
      <c r="CG10" s="335"/>
      <c r="CH10" s="226">
        <f t="shared" si="7"/>
        <v>73.750830000000178</v>
      </c>
      <c r="CJ10" s="72">
        <v>45843</v>
      </c>
      <c r="CK10" s="73">
        <v>2236.5</v>
      </c>
      <c r="CL10" s="73">
        <v>537.87</v>
      </c>
      <c r="CM10" s="75"/>
      <c r="CN10" s="74">
        <v>0</v>
      </c>
      <c r="CO10" s="204"/>
      <c r="CP10" s="88">
        <v>460.66412999999972</v>
      </c>
      <c r="CQ10" s="329"/>
      <c r="CR10" s="28"/>
      <c r="CS10" s="226">
        <f t="shared" si="8"/>
        <v>460.66412999999972</v>
      </c>
      <c r="CU10" s="72">
        <v>45843</v>
      </c>
      <c r="CV10" s="73">
        <v>3801.42</v>
      </c>
      <c r="CW10" s="80">
        <v>439.73</v>
      </c>
      <c r="CX10" s="75"/>
      <c r="CY10" s="74">
        <v>71.41</v>
      </c>
      <c r="CZ10" s="204"/>
      <c r="DA10" s="88">
        <v>329.93999999999943</v>
      </c>
      <c r="DB10" s="28"/>
      <c r="DC10" s="28"/>
      <c r="DD10" s="226">
        <f t="shared" si="9"/>
        <v>401.34999999999945</v>
      </c>
      <c r="DG10" s="72">
        <v>45843</v>
      </c>
      <c r="DH10" s="73">
        <v>1750.74</v>
      </c>
      <c r="DI10" s="80">
        <v>379.73</v>
      </c>
      <c r="DJ10" s="80"/>
      <c r="DK10" s="74">
        <v>4</v>
      </c>
      <c r="DL10" s="204"/>
      <c r="DM10" s="88">
        <v>12.915605000000028</v>
      </c>
      <c r="DN10" s="328">
        <v>14.049922999999978</v>
      </c>
      <c r="DO10" s="28"/>
      <c r="DP10" s="226">
        <f t="shared" si="10"/>
        <v>30.965528000000006</v>
      </c>
      <c r="DR10" s="72">
        <v>45843</v>
      </c>
      <c r="DS10" s="73">
        <v>1990.47</v>
      </c>
      <c r="DT10" s="80">
        <v>1676.17</v>
      </c>
      <c r="DU10" s="80"/>
      <c r="DV10" s="74">
        <v>26.1</v>
      </c>
      <c r="DW10" s="204"/>
      <c r="DX10" s="215"/>
      <c r="DY10" s="328"/>
      <c r="DZ10" s="28"/>
      <c r="EA10" s="226">
        <f t="shared" si="11"/>
        <v>26.1</v>
      </c>
      <c r="EC10" s="72">
        <v>45843</v>
      </c>
      <c r="ED10" s="73">
        <v>1014.77</v>
      </c>
      <c r="EE10" s="80">
        <v>692.6</v>
      </c>
      <c r="EF10" s="80"/>
      <c r="EG10" s="239">
        <v>0</v>
      </c>
      <c r="EH10" s="204"/>
      <c r="EI10" s="88">
        <v>567.16407000000004</v>
      </c>
      <c r="EJ10" s="328"/>
      <c r="EK10" s="335">
        <v>18.853117499999996</v>
      </c>
      <c r="EL10" s="226">
        <f t="shared" si="12"/>
        <v>586.01718750000009</v>
      </c>
      <c r="EN10" s="72">
        <v>45843</v>
      </c>
      <c r="EO10" s="73">
        <v>2829.79</v>
      </c>
      <c r="EP10" s="81">
        <v>352.12</v>
      </c>
      <c r="EQ10" s="80"/>
      <c r="ER10" s="74">
        <v>0</v>
      </c>
      <c r="ES10" s="204"/>
      <c r="ET10" s="88"/>
      <c r="EU10" s="328"/>
      <c r="EV10" s="28"/>
      <c r="EW10" s="226">
        <f t="shared" si="13"/>
        <v>0</v>
      </c>
      <c r="EY10" s="72">
        <v>45843</v>
      </c>
      <c r="EZ10" s="73">
        <v>713.81</v>
      </c>
      <c r="FA10" s="73">
        <v>302.10000000000002</v>
      </c>
      <c r="FB10" s="75"/>
      <c r="FC10" s="74"/>
      <c r="FD10" s="204"/>
      <c r="FE10" s="215"/>
      <c r="FF10" s="28"/>
      <c r="FG10" s="28"/>
      <c r="FH10" s="226">
        <f t="shared" si="14"/>
        <v>0</v>
      </c>
    </row>
    <row r="11" spans="2:164" x14ac:dyDescent="0.25">
      <c r="B11" s="72">
        <v>45844</v>
      </c>
      <c r="C11" s="73">
        <v>6180.4</v>
      </c>
      <c r="D11" s="75"/>
      <c r="E11" s="75"/>
      <c r="F11" s="75">
        <v>0</v>
      </c>
      <c r="G11" s="204"/>
      <c r="H11" s="88"/>
      <c r="I11" s="328"/>
      <c r="J11" s="28"/>
      <c r="K11" s="226">
        <f t="shared" si="0"/>
        <v>0</v>
      </c>
      <c r="M11" s="72">
        <v>45844</v>
      </c>
      <c r="N11" s="73">
        <v>3372.09</v>
      </c>
      <c r="O11" s="75"/>
      <c r="P11" s="74">
        <v>27.04</v>
      </c>
      <c r="Q11" s="204"/>
      <c r="R11" s="215"/>
      <c r="S11" s="28"/>
      <c r="T11" s="28"/>
      <c r="U11" s="226">
        <f t="shared" si="1"/>
        <v>27.04</v>
      </c>
      <c r="W11" s="72">
        <v>45844</v>
      </c>
      <c r="X11" s="73">
        <v>1180.58</v>
      </c>
      <c r="Y11" s="73">
        <v>102.04</v>
      </c>
      <c r="Z11" s="75"/>
      <c r="AA11" s="73">
        <v>0</v>
      </c>
      <c r="AB11" s="204"/>
      <c r="AC11" s="88"/>
      <c r="AD11" s="329"/>
      <c r="AE11" s="28"/>
      <c r="AF11" s="226">
        <f t="shared" si="15"/>
        <v>0</v>
      </c>
      <c r="AI11" s="72">
        <v>45844</v>
      </c>
      <c r="AJ11" s="73">
        <v>1804.17</v>
      </c>
      <c r="AK11" s="75"/>
      <c r="AL11" s="74"/>
      <c r="AM11" s="204"/>
      <c r="AN11" s="215"/>
      <c r="AO11" s="28"/>
      <c r="AP11" s="28"/>
      <c r="AQ11" s="226">
        <f t="shared" si="16"/>
        <v>0</v>
      </c>
      <c r="AS11" s="72">
        <v>45844</v>
      </c>
      <c r="AT11" s="73">
        <v>3201.89</v>
      </c>
      <c r="AU11" s="75"/>
      <c r="AV11" s="76"/>
      <c r="AW11" s="204"/>
      <c r="AX11" s="215"/>
      <c r="AY11" s="28"/>
      <c r="AZ11" s="28"/>
      <c r="BA11" s="226">
        <f t="shared" si="17"/>
        <v>0</v>
      </c>
      <c r="BC11" s="72">
        <v>45844</v>
      </c>
      <c r="BD11" s="73">
        <v>2413.3000000000002</v>
      </c>
      <c r="BE11" s="75"/>
      <c r="BF11" s="76">
        <v>0</v>
      </c>
      <c r="BG11" s="204"/>
      <c r="BH11" s="88"/>
      <c r="BI11" s="28"/>
      <c r="BJ11" s="28"/>
      <c r="BK11" s="226">
        <f t="shared" si="18"/>
        <v>0</v>
      </c>
      <c r="BM11" s="72">
        <v>45844</v>
      </c>
      <c r="BN11" s="73">
        <v>11087.22</v>
      </c>
      <c r="BO11" s="73">
        <v>0</v>
      </c>
      <c r="BP11" s="73">
        <v>4328.7</v>
      </c>
      <c r="BQ11" s="75"/>
      <c r="BR11" s="75"/>
      <c r="BS11" s="204"/>
      <c r="BT11" s="88">
        <v>80.012790276393858</v>
      </c>
      <c r="BU11" s="329"/>
      <c r="BV11" s="28"/>
      <c r="BW11" s="226">
        <f t="shared" si="6"/>
        <v>80.012790276393858</v>
      </c>
      <c r="BY11" s="72">
        <v>45844</v>
      </c>
      <c r="BZ11" s="77">
        <v>1190.3800000000001</v>
      </c>
      <c r="CA11" s="78">
        <v>514.76</v>
      </c>
      <c r="CB11" s="75"/>
      <c r="CC11" s="74"/>
      <c r="CD11" s="204"/>
      <c r="CE11" s="88"/>
      <c r="CF11" s="329"/>
      <c r="CG11" s="335"/>
      <c r="CH11" s="226">
        <f t="shared" si="7"/>
        <v>0</v>
      </c>
      <c r="CJ11" s="72">
        <v>45844</v>
      </c>
      <c r="CK11" s="73">
        <v>2529.56</v>
      </c>
      <c r="CL11" s="73">
        <v>629.03</v>
      </c>
      <c r="CM11" s="75"/>
      <c r="CN11" s="74">
        <v>16.77</v>
      </c>
      <c r="CO11" s="204"/>
      <c r="CP11" s="88"/>
      <c r="CQ11" s="329">
        <v>27.134919999999994</v>
      </c>
      <c r="CR11" s="28"/>
      <c r="CS11" s="226">
        <f t="shared" si="8"/>
        <v>43.90491999999999</v>
      </c>
      <c r="CU11" s="72">
        <v>45844</v>
      </c>
      <c r="CV11" s="73">
        <v>3417.25</v>
      </c>
      <c r="CW11" s="80">
        <v>767.91</v>
      </c>
      <c r="CX11" s="75"/>
      <c r="CY11" s="74">
        <v>184.04</v>
      </c>
      <c r="CZ11" s="204"/>
      <c r="DA11" s="88"/>
      <c r="DB11" s="28"/>
      <c r="DC11" s="28"/>
      <c r="DD11" s="226">
        <f t="shared" si="9"/>
        <v>184.04</v>
      </c>
      <c r="DG11" s="72">
        <v>45844</v>
      </c>
      <c r="DH11" s="73">
        <v>1077.83</v>
      </c>
      <c r="DI11" s="81">
        <v>405.52</v>
      </c>
      <c r="DJ11" s="80"/>
      <c r="DK11" s="74">
        <v>4</v>
      </c>
      <c r="DL11" s="204"/>
      <c r="DM11" s="88">
        <v>0.47280000000000655</v>
      </c>
      <c r="DN11" s="328"/>
      <c r="DO11" s="28"/>
      <c r="DP11" s="226">
        <f t="shared" si="10"/>
        <v>4.4728000000000065</v>
      </c>
      <c r="DR11" s="72">
        <v>45844</v>
      </c>
      <c r="DS11" s="73">
        <v>1494.08</v>
      </c>
      <c r="DT11" s="81">
        <v>1124.04</v>
      </c>
      <c r="DU11" s="80"/>
      <c r="DV11" s="74">
        <v>10.199999999999999</v>
      </c>
      <c r="DW11" s="204"/>
      <c r="DX11" s="215"/>
      <c r="DY11" s="328"/>
      <c r="DZ11" s="28"/>
      <c r="EA11" s="226">
        <f t="shared" si="11"/>
        <v>10.199999999999999</v>
      </c>
      <c r="EC11" s="72">
        <v>45844</v>
      </c>
      <c r="ED11" s="73">
        <v>666.58</v>
      </c>
      <c r="EE11" s="80">
        <v>507.7</v>
      </c>
      <c r="EF11" s="80"/>
      <c r="EG11" s="239">
        <v>0</v>
      </c>
      <c r="EH11" s="204"/>
      <c r="EI11" s="88">
        <v>77.287089999999978</v>
      </c>
      <c r="EJ11" s="328"/>
      <c r="EK11" s="335"/>
      <c r="EL11" s="226">
        <f t="shared" si="12"/>
        <v>77.287089999999978</v>
      </c>
      <c r="EN11" s="72">
        <v>45844</v>
      </c>
      <c r="EO11" s="73">
        <v>2628.3</v>
      </c>
      <c r="EP11" s="81">
        <v>399.49</v>
      </c>
      <c r="EQ11" s="80"/>
      <c r="ER11" s="74">
        <v>0</v>
      </c>
      <c r="ES11" s="204"/>
      <c r="ET11" s="88">
        <v>18.886650000000031</v>
      </c>
      <c r="EU11" s="328">
        <v>14.255000000000024</v>
      </c>
      <c r="EV11" s="28"/>
      <c r="EW11" s="226">
        <f t="shared" si="13"/>
        <v>33.141650000000055</v>
      </c>
      <c r="EY11" s="72">
        <v>45844</v>
      </c>
      <c r="EZ11" s="73">
        <v>493.98</v>
      </c>
      <c r="FA11" s="73">
        <v>161.19999999999999</v>
      </c>
      <c r="FB11" s="75"/>
      <c r="FC11" s="74"/>
      <c r="FD11" s="204"/>
      <c r="FE11" s="215"/>
      <c r="FF11" s="28"/>
      <c r="FG11" s="28"/>
      <c r="FH11" s="226">
        <f t="shared" si="14"/>
        <v>0</v>
      </c>
    </row>
    <row r="12" spans="2:164" x14ac:dyDescent="0.25">
      <c r="B12" s="72">
        <v>45845</v>
      </c>
      <c r="C12" s="73">
        <v>10160.67</v>
      </c>
      <c r="D12" s="75"/>
      <c r="E12" s="75"/>
      <c r="F12" s="75">
        <v>0</v>
      </c>
      <c r="G12" s="204"/>
      <c r="H12" s="88"/>
      <c r="I12" s="328"/>
      <c r="J12" s="28"/>
      <c r="K12" s="226">
        <f t="shared" si="0"/>
        <v>0</v>
      </c>
      <c r="M12" s="72">
        <v>45845</v>
      </c>
      <c r="N12" s="73">
        <v>2874.15</v>
      </c>
      <c r="O12" s="75"/>
      <c r="P12" s="74">
        <v>18.77</v>
      </c>
      <c r="Q12" s="204"/>
      <c r="R12" s="215"/>
      <c r="S12" s="28"/>
      <c r="T12" s="28"/>
      <c r="U12" s="226">
        <f t="shared" si="1"/>
        <v>18.77</v>
      </c>
      <c r="W12" s="72">
        <v>45845</v>
      </c>
      <c r="X12" s="73">
        <v>1426.22</v>
      </c>
      <c r="Y12" s="73">
        <v>205.35</v>
      </c>
      <c r="Z12" s="75"/>
      <c r="AA12" s="73">
        <v>0</v>
      </c>
      <c r="AB12" s="204"/>
      <c r="AC12" s="88">
        <v>30.385759999999991</v>
      </c>
      <c r="AD12" s="329"/>
      <c r="AE12" s="28"/>
      <c r="AF12" s="226">
        <f t="shared" si="15"/>
        <v>30.385759999999991</v>
      </c>
      <c r="AI12" s="72">
        <v>45845</v>
      </c>
      <c r="AJ12" s="73">
        <v>1291.8699999999999</v>
      </c>
      <c r="AK12" s="75"/>
      <c r="AL12" s="74"/>
      <c r="AM12" s="204"/>
      <c r="AN12" s="215"/>
      <c r="AO12" s="28"/>
      <c r="AP12" s="28"/>
      <c r="AQ12" s="226">
        <f t="shared" si="16"/>
        <v>0</v>
      </c>
      <c r="AS12" s="72">
        <v>45845</v>
      </c>
      <c r="AT12" s="73">
        <v>3823.59</v>
      </c>
      <c r="AU12" s="75"/>
      <c r="AV12" s="76"/>
      <c r="AW12" s="204"/>
      <c r="AX12" s="215"/>
      <c r="AY12" s="28"/>
      <c r="AZ12" s="28"/>
      <c r="BA12" s="226">
        <f t="shared" si="17"/>
        <v>0</v>
      </c>
      <c r="BC12" s="72">
        <v>45845</v>
      </c>
      <c r="BD12" s="73">
        <v>4276.29</v>
      </c>
      <c r="BE12" s="75"/>
      <c r="BF12" s="76">
        <v>16.010000000000002</v>
      </c>
      <c r="BG12" s="204"/>
      <c r="BH12" s="88"/>
      <c r="BI12" s="28"/>
      <c r="BJ12" s="28"/>
      <c r="BK12" s="226">
        <f t="shared" si="18"/>
        <v>16.010000000000002</v>
      </c>
      <c r="BM12" s="72">
        <v>45845</v>
      </c>
      <c r="BN12" s="73">
        <v>14361.73</v>
      </c>
      <c r="BO12" s="73">
        <v>1782.53</v>
      </c>
      <c r="BP12" s="73">
        <v>7141.59</v>
      </c>
      <c r="BQ12" s="75"/>
      <c r="BR12" s="75"/>
      <c r="BS12" s="204"/>
      <c r="BT12" s="88">
        <v>198.65611662163104</v>
      </c>
      <c r="BU12" s="329">
        <v>771.99114999999983</v>
      </c>
      <c r="BV12" s="28"/>
      <c r="BW12" s="226">
        <f t="shared" si="6"/>
        <v>970.64726662163093</v>
      </c>
      <c r="BY12" s="72">
        <v>45845</v>
      </c>
      <c r="BZ12" s="77">
        <v>1886.54</v>
      </c>
      <c r="CA12" s="78">
        <v>424.58</v>
      </c>
      <c r="CB12" s="75"/>
      <c r="CC12" s="74"/>
      <c r="CD12" s="204"/>
      <c r="CE12" s="88"/>
      <c r="CF12" s="329">
        <v>114.18389000000013</v>
      </c>
      <c r="CG12" s="335"/>
      <c r="CH12" s="226">
        <f t="shared" si="7"/>
        <v>114.18389000000013</v>
      </c>
      <c r="CJ12" s="72">
        <v>45845</v>
      </c>
      <c r="CK12" s="73">
        <v>4339.18</v>
      </c>
      <c r="CL12" s="73">
        <v>631.72</v>
      </c>
      <c r="CM12" s="75"/>
      <c r="CN12" s="74">
        <v>0</v>
      </c>
      <c r="CO12" s="204"/>
      <c r="CP12" s="88">
        <v>106.30889999999994</v>
      </c>
      <c r="CQ12" s="329">
        <v>18.703170000000028</v>
      </c>
      <c r="CR12" s="28"/>
      <c r="CS12" s="226">
        <f t="shared" si="8"/>
        <v>125.01206999999997</v>
      </c>
      <c r="CU12" s="72">
        <v>45845</v>
      </c>
      <c r="CV12" s="73">
        <v>4722.53</v>
      </c>
      <c r="CW12" s="80">
        <v>709.66</v>
      </c>
      <c r="CX12" s="75"/>
      <c r="CY12" s="74">
        <v>205.93</v>
      </c>
      <c r="CZ12" s="204"/>
      <c r="DA12" s="88"/>
      <c r="DB12" s="28"/>
      <c r="DC12" s="28"/>
      <c r="DD12" s="226">
        <f t="shared" si="9"/>
        <v>205.93</v>
      </c>
      <c r="DG12" s="72">
        <v>45845</v>
      </c>
      <c r="DH12" s="73">
        <v>2117.44</v>
      </c>
      <c r="DI12" s="80">
        <v>436.66</v>
      </c>
      <c r="DJ12" s="80"/>
      <c r="DK12" s="74">
        <v>12.4</v>
      </c>
      <c r="DL12" s="204"/>
      <c r="DM12" s="88">
        <v>4.9439759999999993</v>
      </c>
      <c r="DN12" s="328"/>
      <c r="DO12" s="28"/>
      <c r="DP12" s="226">
        <f t="shared" si="10"/>
        <v>17.343975999999998</v>
      </c>
      <c r="DR12" s="72">
        <v>45845</v>
      </c>
      <c r="DS12" s="73">
        <v>1346.6</v>
      </c>
      <c r="DT12" s="80">
        <v>1457.67</v>
      </c>
      <c r="DU12" s="80"/>
      <c r="DV12" s="74">
        <v>63.57</v>
      </c>
      <c r="DW12" s="204"/>
      <c r="DX12" s="215"/>
      <c r="DY12" s="328">
        <v>26.524219999999985</v>
      </c>
      <c r="DZ12" s="28"/>
      <c r="EA12" s="226">
        <f t="shared" si="11"/>
        <v>90.094219999999979</v>
      </c>
      <c r="EC12" s="72">
        <v>45845</v>
      </c>
      <c r="ED12" s="73">
        <v>1192.56</v>
      </c>
      <c r="EE12" s="80">
        <v>656.55</v>
      </c>
      <c r="EF12" s="80"/>
      <c r="EG12" s="239">
        <v>0</v>
      </c>
      <c r="EH12" s="204"/>
      <c r="EI12" s="88">
        <v>681.15658999999971</v>
      </c>
      <c r="EJ12" s="328"/>
      <c r="EK12" s="335"/>
      <c r="EL12" s="226">
        <f t="shared" si="12"/>
        <v>681.15658999999971</v>
      </c>
      <c r="EN12" s="72">
        <v>45845</v>
      </c>
      <c r="EO12" s="73">
        <v>2612.06</v>
      </c>
      <c r="EP12" s="81">
        <v>308.58999999999997</v>
      </c>
      <c r="EQ12" s="80"/>
      <c r="ER12" s="74">
        <v>212.8</v>
      </c>
      <c r="ES12" s="204"/>
      <c r="ET12" s="88">
        <v>76.464180000000056</v>
      </c>
      <c r="EU12" s="328">
        <v>260.3900000000001</v>
      </c>
      <c r="EV12" s="28"/>
      <c r="EW12" s="226">
        <f t="shared" si="13"/>
        <v>549.65418000000022</v>
      </c>
      <c r="EY12" s="72">
        <v>45845</v>
      </c>
      <c r="EZ12" s="73">
        <v>643.86</v>
      </c>
      <c r="FA12" s="73">
        <v>264</v>
      </c>
      <c r="FB12" s="75"/>
      <c r="FC12" s="74"/>
      <c r="FD12" s="204"/>
      <c r="FE12" s="215"/>
      <c r="FF12" s="28"/>
      <c r="FG12" s="28"/>
      <c r="FH12" s="226">
        <f t="shared" si="14"/>
        <v>0</v>
      </c>
    </row>
    <row r="13" spans="2:164" x14ac:dyDescent="0.25">
      <c r="B13" s="72">
        <v>45846</v>
      </c>
      <c r="C13" s="73">
        <v>9064.6299999999992</v>
      </c>
      <c r="D13" s="75"/>
      <c r="E13" s="75"/>
      <c r="F13" s="75">
        <v>0</v>
      </c>
      <c r="G13" s="204"/>
      <c r="H13" s="88"/>
      <c r="I13" s="328"/>
      <c r="J13" s="28"/>
      <c r="K13" s="226">
        <f t="shared" si="0"/>
        <v>0</v>
      </c>
      <c r="M13" s="72">
        <v>45846</v>
      </c>
      <c r="N13" s="73">
        <v>3206.37</v>
      </c>
      <c r="O13" s="75"/>
      <c r="P13" s="74">
        <v>44.19</v>
      </c>
      <c r="Q13" s="204"/>
      <c r="R13" s="215"/>
      <c r="S13" s="28"/>
      <c r="T13" s="28"/>
      <c r="U13" s="226">
        <f t="shared" si="1"/>
        <v>44.19</v>
      </c>
      <c r="W13" s="72">
        <v>45846</v>
      </c>
      <c r="X13" s="73">
        <v>1867.01</v>
      </c>
      <c r="Y13" s="73">
        <v>140</v>
      </c>
      <c r="Z13" s="75"/>
      <c r="AA13" s="73">
        <v>0</v>
      </c>
      <c r="AB13" s="204"/>
      <c r="AC13" s="88"/>
      <c r="AD13" s="329"/>
      <c r="AE13" s="28"/>
      <c r="AF13" s="226">
        <f t="shared" si="15"/>
        <v>0</v>
      </c>
      <c r="AI13" s="72">
        <v>45846</v>
      </c>
      <c r="AJ13" s="73">
        <v>1307.78</v>
      </c>
      <c r="AK13" s="75"/>
      <c r="AL13" s="74"/>
      <c r="AM13" s="204"/>
      <c r="AN13" s="215"/>
      <c r="AO13" s="28"/>
      <c r="AP13" s="28"/>
      <c r="AQ13" s="226">
        <f t="shared" si="16"/>
        <v>0</v>
      </c>
      <c r="AS13" s="72">
        <v>45846</v>
      </c>
      <c r="AT13" s="73">
        <v>3692.33</v>
      </c>
      <c r="AU13" s="75"/>
      <c r="AV13" s="76"/>
      <c r="AW13" s="204"/>
      <c r="AX13" s="215"/>
      <c r="AY13" s="28"/>
      <c r="AZ13" s="28"/>
      <c r="BA13" s="226">
        <f t="shared" si="17"/>
        <v>0</v>
      </c>
      <c r="BC13" s="72">
        <v>45846</v>
      </c>
      <c r="BD13" s="73">
        <v>3146.3</v>
      </c>
      <c r="BE13" s="75"/>
      <c r="BF13" s="76">
        <v>8.5</v>
      </c>
      <c r="BG13" s="204"/>
      <c r="BH13" s="88"/>
      <c r="BI13" s="28"/>
      <c r="BJ13" s="28"/>
      <c r="BK13" s="226">
        <f t="shared" si="18"/>
        <v>8.5</v>
      </c>
      <c r="BM13" s="72">
        <v>45846</v>
      </c>
      <c r="BN13" s="73">
        <v>14125.24</v>
      </c>
      <c r="BO13" s="73">
        <v>2877.76</v>
      </c>
      <c r="BP13" s="73">
        <v>6140.02</v>
      </c>
      <c r="BQ13" s="75"/>
      <c r="BR13" s="75"/>
      <c r="BS13" s="204"/>
      <c r="BT13" s="88">
        <v>82.037800192424243</v>
      </c>
      <c r="BU13" s="329"/>
      <c r="BV13" s="28"/>
      <c r="BW13" s="226">
        <f t="shared" si="6"/>
        <v>82.037800192424243</v>
      </c>
      <c r="BY13" s="72">
        <v>45846</v>
      </c>
      <c r="BZ13" s="77">
        <v>1890.86</v>
      </c>
      <c r="CA13" s="78">
        <v>433.06</v>
      </c>
      <c r="CB13" s="75"/>
      <c r="CC13" s="74"/>
      <c r="CD13" s="204"/>
      <c r="CE13" s="88"/>
      <c r="CF13" s="329">
        <v>20.318619999999996</v>
      </c>
      <c r="CG13" s="335"/>
      <c r="CH13" s="226">
        <f t="shared" si="7"/>
        <v>20.318619999999996</v>
      </c>
      <c r="CJ13" s="72">
        <v>45846</v>
      </c>
      <c r="CK13" s="73">
        <v>2497.87</v>
      </c>
      <c r="CL13" s="73">
        <v>516.41999999999996</v>
      </c>
      <c r="CM13" s="75"/>
      <c r="CN13" s="74">
        <v>12.68</v>
      </c>
      <c r="CO13" s="204"/>
      <c r="CP13" s="88">
        <v>263.72405999999989</v>
      </c>
      <c r="CQ13" s="329">
        <v>9.8734100000000069</v>
      </c>
      <c r="CR13" s="28"/>
      <c r="CS13" s="226">
        <f t="shared" si="8"/>
        <v>286.27746999999988</v>
      </c>
      <c r="CU13" s="72">
        <v>45846</v>
      </c>
      <c r="CV13" s="73">
        <v>5348.08</v>
      </c>
      <c r="CW13" s="80">
        <v>571.79999999999995</v>
      </c>
      <c r="CX13" s="75"/>
      <c r="CY13" s="74">
        <v>53.86</v>
      </c>
      <c r="CZ13" s="204"/>
      <c r="DA13" s="88"/>
      <c r="DB13" s="28"/>
      <c r="DC13" s="28"/>
      <c r="DD13" s="226">
        <f t="shared" si="9"/>
        <v>53.86</v>
      </c>
      <c r="DG13" s="72">
        <v>45846</v>
      </c>
      <c r="DH13" s="73">
        <v>972.61</v>
      </c>
      <c r="DI13" s="80">
        <v>389.67</v>
      </c>
      <c r="DJ13" s="80"/>
      <c r="DK13" s="74">
        <v>7.49</v>
      </c>
      <c r="DL13" s="204"/>
      <c r="DM13" s="88">
        <v>1.3641509999999357</v>
      </c>
      <c r="DN13" s="328"/>
      <c r="DO13" s="28"/>
      <c r="DP13" s="226">
        <f t="shared" si="10"/>
        <v>8.8541509999999359</v>
      </c>
      <c r="DR13" s="72">
        <v>45846</v>
      </c>
      <c r="DS13" s="73">
        <v>1776.56</v>
      </c>
      <c r="DT13" s="80">
        <v>1466.69</v>
      </c>
      <c r="DU13" s="80"/>
      <c r="DV13" s="74">
        <v>19.239999999999998</v>
      </c>
      <c r="DW13" s="204"/>
      <c r="DX13" s="215"/>
      <c r="DY13" s="328"/>
      <c r="DZ13" s="28"/>
      <c r="EA13" s="226">
        <f t="shared" si="11"/>
        <v>19.239999999999998</v>
      </c>
      <c r="EC13" s="72">
        <v>45846</v>
      </c>
      <c r="ED13" s="73">
        <v>1108.24</v>
      </c>
      <c r="EE13" s="80">
        <v>295.42</v>
      </c>
      <c r="EF13" s="80"/>
      <c r="EG13" s="239">
        <v>0</v>
      </c>
      <c r="EH13" s="204"/>
      <c r="EI13" s="88">
        <v>1119.4666699999998</v>
      </c>
      <c r="EJ13" s="328"/>
      <c r="EK13" s="335"/>
      <c r="EL13" s="226">
        <f t="shared" si="12"/>
        <v>1119.4666699999998</v>
      </c>
      <c r="EN13" s="72">
        <v>45846</v>
      </c>
      <c r="EO13" s="73">
        <v>4741.28</v>
      </c>
      <c r="EP13" s="81">
        <v>303.64</v>
      </c>
      <c r="EQ13" s="80"/>
      <c r="ER13" s="74">
        <v>245.79</v>
      </c>
      <c r="ES13" s="204"/>
      <c r="ET13" s="88"/>
      <c r="EU13" s="328">
        <v>211.94500000000016</v>
      </c>
      <c r="EV13" s="28"/>
      <c r="EW13" s="226">
        <f t="shared" si="13"/>
        <v>457.73500000000013</v>
      </c>
      <c r="EY13" s="72">
        <v>45846</v>
      </c>
      <c r="EZ13" s="73">
        <v>999.95</v>
      </c>
      <c r="FA13" s="73">
        <v>122</v>
      </c>
      <c r="FB13" s="75"/>
      <c r="FC13" s="74"/>
      <c r="FD13" s="204"/>
      <c r="FE13" s="215"/>
      <c r="FF13" s="28"/>
      <c r="FG13" s="28"/>
      <c r="FH13" s="226">
        <f t="shared" si="14"/>
        <v>0</v>
      </c>
    </row>
    <row r="14" spans="2:164" x14ac:dyDescent="0.25">
      <c r="B14" s="72">
        <v>45847</v>
      </c>
      <c r="C14" s="73">
        <v>10899.88</v>
      </c>
      <c r="D14" s="75"/>
      <c r="E14" s="75"/>
      <c r="F14" s="75">
        <v>82.76</v>
      </c>
      <c r="G14" s="204"/>
      <c r="H14" s="88"/>
      <c r="I14" s="328">
        <v>4.2012199999999922</v>
      </c>
      <c r="J14" s="28"/>
      <c r="K14" s="226">
        <f t="shared" si="0"/>
        <v>86.961219999999997</v>
      </c>
      <c r="M14" s="72">
        <v>45847</v>
      </c>
      <c r="N14" s="74">
        <v>2922.51</v>
      </c>
      <c r="O14" s="75"/>
      <c r="P14" s="74">
        <v>5.66</v>
      </c>
      <c r="Q14" s="204"/>
      <c r="R14" s="215"/>
      <c r="S14" s="28"/>
      <c r="T14" s="28"/>
      <c r="U14" s="226">
        <f t="shared" si="1"/>
        <v>5.66</v>
      </c>
      <c r="W14" s="72">
        <v>45847</v>
      </c>
      <c r="X14" s="73">
        <v>2411.0300000000002</v>
      </c>
      <c r="Y14" s="73">
        <v>145</v>
      </c>
      <c r="Z14" s="75"/>
      <c r="AA14" s="73">
        <v>0</v>
      </c>
      <c r="AB14" s="204"/>
      <c r="AC14" s="88">
        <v>4.1446400000000025</v>
      </c>
      <c r="AD14" s="329"/>
      <c r="AE14" s="28"/>
      <c r="AF14" s="226">
        <f t="shared" si="15"/>
        <v>4.1446400000000025</v>
      </c>
      <c r="AI14" s="72">
        <v>45847</v>
      </c>
      <c r="AJ14" s="73">
        <v>1150.49</v>
      </c>
      <c r="AK14" s="75"/>
      <c r="AL14" s="74"/>
      <c r="AM14" s="204"/>
      <c r="AN14" s="215"/>
      <c r="AO14" s="28"/>
      <c r="AP14" s="28"/>
      <c r="AQ14" s="226">
        <f t="shared" si="16"/>
        <v>0</v>
      </c>
      <c r="AS14" s="72">
        <v>45847</v>
      </c>
      <c r="AT14" s="73">
        <v>6045.73</v>
      </c>
      <c r="AU14" s="75"/>
      <c r="AV14" s="76"/>
      <c r="AW14" s="204"/>
      <c r="AX14" s="215"/>
      <c r="AY14" s="28"/>
      <c r="AZ14" s="28"/>
      <c r="BA14" s="226">
        <f t="shared" si="17"/>
        <v>0</v>
      </c>
      <c r="BC14" s="72">
        <v>45847</v>
      </c>
      <c r="BD14" s="73">
        <v>4572.29</v>
      </c>
      <c r="BE14" s="75"/>
      <c r="BF14" s="76">
        <v>11.34</v>
      </c>
      <c r="BG14" s="204"/>
      <c r="BH14" s="88"/>
      <c r="BI14" s="28"/>
      <c r="BJ14" s="28"/>
      <c r="BK14" s="226">
        <f t="shared" si="18"/>
        <v>11.34</v>
      </c>
      <c r="BM14" s="72">
        <v>45847</v>
      </c>
      <c r="BN14" s="73">
        <v>13569.96</v>
      </c>
      <c r="BO14" s="73">
        <v>3591.77</v>
      </c>
      <c r="BP14" s="73">
        <v>8128.16</v>
      </c>
      <c r="BQ14" s="75"/>
      <c r="BR14" s="75"/>
      <c r="BS14" s="204"/>
      <c r="BT14" s="88">
        <v>93.127402816901409</v>
      </c>
      <c r="BU14" s="329"/>
      <c r="BV14" s="28"/>
      <c r="BW14" s="226">
        <f t="shared" si="6"/>
        <v>93.127402816901409</v>
      </c>
      <c r="BY14" s="72">
        <v>45847</v>
      </c>
      <c r="BZ14" s="77">
        <v>1773.68</v>
      </c>
      <c r="CA14" s="78">
        <v>686.07</v>
      </c>
      <c r="CB14" s="75"/>
      <c r="CC14" s="74"/>
      <c r="CD14" s="204"/>
      <c r="CE14" s="88"/>
      <c r="CF14" s="329"/>
      <c r="CG14" s="335"/>
      <c r="CH14" s="226">
        <f t="shared" si="7"/>
        <v>0</v>
      </c>
      <c r="CJ14" s="72">
        <v>45847</v>
      </c>
      <c r="CK14" s="73">
        <v>4649.59</v>
      </c>
      <c r="CL14" s="73">
        <v>491.09</v>
      </c>
      <c r="CM14" s="75"/>
      <c r="CN14" s="74">
        <v>26.04</v>
      </c>
      <c r="CO14" s="204"/>
      <c r="CP14" s="88">
        <v>103.01605999999997</v>
      </c>
      <c r="CQ14" s="329">
        <v>12.511189999999999</v>
      </c>
      <c r="CR14" s="28"/>
      <c r="CS14" s="226">
        <f t="shared" si="8"/>
        <v>141.56724999999997</v>
      </c>
      <c r="CU14" s="72">
        <v>45847</v>
      </c>
      <c r="CV14" s="73">
        <v>6411.86</v>
      </c>
      <c r="CW14" s="80">
        <v>1125.74</v>
      </c>
      <c r="CX14" s="75"/>
      <c r="CY14" s="76">
        <v>83.1</v>
      </c>
      <c r="CZ14" s="204"/>
      <c r="DA14" s="88"/>
      <c r="DB14" s="28"/>
      <c r="DC14" s="28"/>
      <c r="DD14" s="226">
        <f t="shared" si="9"/>
        <v>83.1</v>
      </c>
      <c r="DG14" s="72">
        <v>45847</v>
      </c>
      <c r="DH14" s="73">
        <v>2250.7600000000002</v>
      </c>
      <c r="DI14" s="80">
        <v>344.91</v>
      </c>
      <c r="DJ14" s="80"/>
      <c r="DK14" s="74">
        <v>4</v>
      </c>
      <c r="DL14" s="204"/>
      <c r="DM14" s="88"/>
      <c r="DN14" s="328"/>
      <c r="DO14" s="28"/>
      <c r="DP14" s="226">
        <f t="shared" si="10"/>
        <v>4</v>
      </c>
      <c r="DR14" s="72">
        <v>45847</v>
      </c>
      <c r="DS14" s="73">
        <v>1563.6</v>
      </c>
      <c r="DT14" s="80">
        <v>1616.46</v>
      </c>
      <c r="DU14" s="80"/>
      <c r="DV14" s="74">
        <v>13.56</v>
      </c>
      <c r="DW14" s="204"/>
      <c r="DX14" s="215"/>
      <c r="DY14" s="328"/>
      <c r="DZ14" s="28"/>
      <c r="EA14" s="226">
        <f t="shared" si="11"/>
        <v>13.56</v>
      </c>
      <c r="EC14" s="72">
        <v>45847</v>
      </c>
      <c r="ED14" s="73">
        <v>1023.58</v>
      </c>
      <c r="EE14" s="80">
        <v>746.88</v>
      </c>
      <c r="EF14" s="80"/>
      <c r="EG14" s="239">
        <v>0</v>
      </c>
      <c r="EH14" s="204"/>
      <c r="EI14" s="88">
        <v>606.31551000000013</v>
      </c>
      <c r="EJ14" s="328"/>
      <c r="EK14" s="335"/>
      <c r="EL14" s="226">
        <f t="shared" si="12"/>
        <v>606.31551000000013</v>
      </c>
      <c r="EN14" s="72">
        <v>45847</v>
      </c>
      <c r="EO14" s="73">
        <v>4758.26</v>
      </c>
      <c r="EP14" s="81">
        <v>1073.17</v>
      </c>
      <c r="EQ14" s="80"/>
      <c r="ER14" s="74">
        <v>127.9</v>
      </c>
      <c r="ES14" s="204"/>
      <c r="ET14" s="88">
        <v>15.156180000000006</v>
      </c>
      <c r="EU14" s="328"/>
      <c r="EV14" s="28"/>
      <c r="EW14" s="226">
        <f t="shared" si="13"/>
        <v>143.05618000000001</v>
      </c>
      <c r="EY14" s="72">
        <v>45847</v>
      </c>
      <c r="EZ14" s="73">
        <v>720.21</v>
      </c>
      <c r="FA14" s="73">
        <v>140</v>
      </c>
      <c r="FB14" s="75"/>
      <c r="FC14" s="74"/>
      <c r="FD14" s="204"/>
      <c r="FE14" s="215"/>
      <c r="FF14" s="28"/>
      <c r="FG14" s="28"/>
      <c r="FH14" s="226">
        <f t="shared" si="14"/>
        <v>0</v>
      </c>
    </row>
    <row r="15" spans="2:164" x14ac:dyDescent="0.25">
      <c r="B15" s="72">
        <v>45848</v>
      </c>
      <c r="C15" s="73">
        <v>8757.51</v>
      </c>
      <c r="D15" s="75"/>
      <c r="E15" s="75"/>
      <c r="F15" s="75">
        <v>35.4</v>
      </c>
      <c r="G15" s="204"/>
      <c r="H15" s="88"/>
      <c r="I15" s="28"/>
      <c r="J15" s="28"/>
      <c r="K15" s="226">
        <f t="shared" si="0"/>
        <v>35.4</v>
      </c>
      <c r="M15" s="72">
        <v>45848</v>
      </c>
      <c r="N15" s="73">
        <v>3263.57</v>
      </c>
      <c r="O15" s="75"/>
      <c r="P15" s="74">
        <v>39.15</v>
      </c>
      <c r="Q15" s="204"/>
      <c r="R15" s="215"/>
      <c r="S15" s="28"/>
      <c r="T15" s="28"/>
      <c r="U15" s="226">
        <f t="shared" si="1"/>
        <v>39.15</v>
      </c>
      <c r="W15" s="72">
        <v>45848</v>
      </c>
      <c r="X15" s="73">
        <v>1941.29</v>
      </c>
      <c r="Y15" s="73">
        <v>50</v>
      </c>
      <c r="Z15" s="75"/>
      <c r="AA15" s="73">
        <v>0</v>
      </c>
      <c r="AB15" s="204"/>
      <c r="AC15" s="88">
        <v>17.543100000000003</v>
      </c>
      <c r="AD15" s="329"/>
      <c r="AE15" s="28"/>
      <c r="AF15" s="226">
        <f t="shared" si="15"/>
        <v>17.543100000000003</v>
      </c>
      <c r="AI15" s="72">
        <v>45848</v>
      </c>
      <c r="AJ15" s="73">
        <v>1932.29</v>
      </c>
      <c r="AK15" s="75"/>
      <c r="AL15" s="74"/>
      <c r="AM15" s="204"/>
      <c r="AN15" s="215"/>
      <c r="AO15" s="28"/>
      <c r="AP15" s="28"/>
      <c r="AQ15" s="226">
        <f t="shared" si="16"/>
        <v>0</v>
      </c>
      <c r="AS15" s="72">
        <v>45848</v>
      </c>
      <c r="AT15" s="73">
        <v>4994.07</v>
      </c>
      <c r="AU15" s="75"/>
      <c r="AV15" s="76"/>
      <c r="AW15" s="204"/>
      <c r="AX15" s="215"/>
      <c r="AY15" s="28"/>
      <c r="AZ15" s="28"/>
      <c r="BA15" s="226">
        <f t="shared" si="17"/>
        <v>0</v>
      </c>
      <c r="BC15" s="72">
        <v>45848</v>
      </c>
      <c r="BD15" s="73">
        <v>5157.22</v>
      </c>
      <c r="BE15" s="75"/>
      <c r="BF15" s="76">
        <v>18.690000000000001</v>
      </c>
      <c r="BG15" s="204"/>
      <c r="BH15" s="88"/>
      <c r="BI15" s="28"/>
      <c r="BJ15" s="28"/>
      <c r="BK15" s="226">
        <f t="shared" si="18"/>
        <v>18.690000000000001</v>
      </c>
      <c r="BM15" s="72">
        <v>45848</v>
      </c>
      <c r="BN15" s="73">
        <v>14955.64</v>
      </c>
      <c r="BO15" s="73">
        <v>3119.6</v>
      </c>
      <c r="BP15" s="73">
        <v>8208.2199999999993</v>
      </c>
      <c r="BQ15" s="75"/>
      <c r="BR15" s="75"/>
      <c r="BS15" s="204"/>
      <c r="BT15" s="88">
        <v>63.436861673045399</v>
      </c>
      <c r="BU15" s="329"/>
      <c r="BV15" s="28"/>
      <c r="BW15" s="226">
        <f t="shared" si="6"/>
        <v>63.436861673045399</v>
      </c>
      <c r="BY15" s="72">
        <v>45848</v>
      </c>
      <c r="BZ15" s="77">
        <v>1917.99</v>
      </c>
      <c r="CA15" s="78">
        <v>451.28</v>
      </c>
      <c r="CB15" s="75"/>
      <c r="CC15" s="74"/>
      <c r="CD15" s="204"/>
      <c r="CE15" s="88">
        <v>115.49999999999989</v>
      </c>
      <c r="CF15" s="329">
        <v>18.621979999999979</v>
      </c>
      <c r="CG15" s="335"/>
      <c r="CH15" s="226">
        <f t="shared" si="7"/>
        <v>134.12197999999987</v>
      </c>
      <c r="CJ15" s="72">
        <v>45848</v>
      </c>
      <c r="CK15" s="73">
        <v>3613.19</v>
      </c>
      <c r="CL15" s="73">
        <v>288.60000000000002</v>
      </c>
      <c r="CM15" s="75"/>
      <c r="CN15" s="74">
        <v>10.82</v>
      </c>
      <c r="CO15" s="204"/>
      <c r="CP15" s="88">
        <v>223.04554999999985</v>
      </c>
      <c r="CQ15" s="329">
        <v>26.558260000000047</v>
      </c>
      <c r="CR15" s="28"/>
      <c r="CS15" s="226">
        <f t="shared" si="8"/>
        <v>260.42380999999989</v>
      </c>
      <c r="CU15" s="72">
        <v>45848</v>
      </c>
      <c r="CV15" s="73">
        <v>7818.78</v>
      </c>
      <c r="CW15" s="80">
        <v>575.01</v>
      </c>
      <c r="CX15" s="75"/>
      <c r="CY15" s="76">
        <v>146.94999999999999</v>
      </c>
      <c r="CZ15" s="204"/>
      <c r="DA15" s="88">
        <v>1476.9600000000014</v>
      </c>
      <c r="DB15" s="28"/>
      <c r="DC15" s="28"/>
      <c r="DD15" s="226">
        <f t="shared" si="9"/>
        <v>1623.9100000000014</v>
      </c>
      <c r="DG15" s="72">
        <v>45848</v>
      </c>
      <c r="DH15" s="73">
        <v>1805.22</v>
      </c>
      <c r="DI15" s="80">
        <v>318.61</v>
      </c>
      <c r="DJ15" s="80"/>
      <c r="DK15" s="74">
        <v>0</v>
      </c>
      <c r="DL15" s="204"/>
      <c r="DM15" s="88">
        <v>-2.085187000000019</v>
      </c>
      <c r="DN15" s="328"/>
      <c r="DO15" s="28"/>
      <c r="DP15" s="226">
        <f t="shared" si="10"/>
        <v>-2.085187000000019</v>
      </c>
      <c r="DR15" s="72">
        <v>45848</v>
      </c>
      <c r="DS15" s="73">
        <v>744.73</v>
      </c>
      <c r="DT15" s="80">
        <v>1441.4</v>
      </c>
      <c r="DU15" s="80"/>
      <c r="DV15" s="74">
        <v>22.41</v>
      </c>
      <c r="DW15" s="204"/>
      <c r="DX15" s="215"/>
      <c r="DY15" s="328"/>
      <c r="DZ15" s="28"/>
      <c r="EA15" s="226">
        <f t="shared" si="11"/>
        <v>22.41</v>
      </c>
      <c r="EC15" s="72">
        <v>45848</v>
      </c>
      <c r="ED15" s="73">
        <v>1015.76</v>
      </c>
      <c r="EE15" s="80">
        <v>667.47</v>
      </c>
      <c r="EF15" s="80"/>
      <c r="EG15" s="239">
        <v>0</v>
      </c>
      <c r="EH15" s="204"/>
      <c r="EI15" s="88">
        <v>903.88688000000002</v>
      </c>
      <c r="EJ15" s="328"/>
      <c r="EK15" s="335"/>
      <c r="EL15" s="226">
        <f t="shared" si="12"/>
        <v>903.88688000000002</v>
      </c>
      <c r="EN15" s="72">
        <v>45848</v>
      </c>
      <c r="EO15" s="73">
        <v>6181.06</v>
      </c>
      <c r="EP15" s="81">
        <v>1646.24</v>
      </c>
      <c r="EQ15" s="80"/>
      <c r="ER15" s="74">
        <v>0</v>
      </c>
      <c r="ES15" s="204"/>
      <c r="ET15" s="88"/>
      <c r="EU15" s="328">
        <v>16.745000000000005</v>
      </c>
      <c r="EV15" s="28"/>
      <c r="EW15" s="226">
        <f t="shared" si="13"/>
        <v>16.745000000000005</v>
      </c>
      <c r="EY15" s="72">
        <v>45848</v>
      </c>
      <c r="EZ15" s="73">
        <v>717.02</v>
      </c>
      <c r="FA15" s="73">
        <v>70</v>
      </c>
      <c r="FB15" s="75"/>
      <c r="FC15" s="74"/>
      <c r="FD15" s="204"/>
      <c r="FE15" s="215"/>
      <c r="FF15" s="28"/>
      <c r="FG15" s="28"/>
      <c r="FH15" s="226">
        <f t="shared" si="14"/>
        <v>0</v>
      </c>
    </row>
    <row r="16" spans="2:164" x14ac:dyDescent="0.25">
      <c r="B16" s="72">
        <v>45849</v>
      </c>
      <c r="C16" s="73">
        <v>11773.48</v>
      </c>
      <c r="D16" s="74"/>
      <c r="E16" s="75"/>
      <c r="F16" s="74">
        <v>136.4</v>
      </c>
      <c r="G16" s="204"/>
      <c r="H16" s="88"/>
      <c r="I16" s="28"/>
      <c r="J16" s="28"/>
      <c r="K16" s="226">
        <f t="shared" si="0"/>
        <v>136.4</v>
      </c>
      <c r="M16" s="72">
        <v>45849</v>
      </c>
      <c r="N16" s="73">
        <v>3519</v>
      </c>
      <c r="O16" s="75"/>
      <c r="P16" s="74">
        <v>79.400000000000006</v>
      </c>
      <c r="Q16" s="204"/>
      <c r="R16" s="215"/>
      <c r="S16" s="28"/>
      <c r="T16" s="28"/>
      <c r="U16" s="226">
        <f t="shared" si="1"/>
        <v>79.400000000000006</v>
      </c>
      <c r="W16" s="72">
        <v>45849</v>
      </c>
      <c r="X16" s="73">
        <v>3598.29</v>
      </c>
      <c r="Y16" s="73">
        <v>190</v>
      </c>
      <c r="Z16" s="75"/>
      <c r="AA16" s="73">
        <v>0</v>
      </c>
      <c r="AB16" s="204"/>
      <c r="AC16" s="88"/>
      <c r="AD16" s="329"/>
      <c r="AE16" s="28"/>
      <c r="AF16" s="226">
        <f t="shared" si="15"/>
        <v>0</v>
      </c>
      <c r="AI16" s="72">
        <v>45849</v>
      </c>
      <c r="AJ16" s="73">
        <v>1283.4100000000001</v>
      </c>
      <c r="AK16" s="75"/>
      <c r="AL16" s="74"/>
      <c r="AM16" s="204"/>
      <c r="AN16" s="215"/>
      <c r="AO16" s="28"/>
      <c r="AP16" s="28"/>
      <c r="AQ16" s="226">
        <f t="shared" si="16"/>
        <v>0</v>
      </c>
      <c r="AS16" s="72">
        <v>45849</v>
      </c>
      <c r="AT16" s="73">
        <v>5163.07</v>
      </c>
      <c r="AU16" s="75"/>
      <c r="AV16" s="76"/>
      <c r="AW16" s="204"/>
      <c r="AX16" s="215"/>
      <c r="AY16" s="28"/>
      <c r="AZ16" s="28"/>
      <c r="BA16" s="226">
        <f t="shared" si="17"/>
        <v>0</v>
      </c>
      <c r="BC16" s="72">
        <v>45849</v>
      </c>
      <c r="BD16" s="73">
        <v>3652.09</v>
      </c>
      <c r="BE16" s="75"/>
      <c r="BF16" s="76">
        <v>21.81</v>
      </c>
      <c r="BG16" s="204"/>
      <c r="BH16" s="88"/>
      <c r="BI16" s="28"/>
      <c r="BJ16" s="28"/>
      <c r="BK16" s="226">
        <f t="shared" si="18"/>
        <v>21.81</v>
      </c>
      <c r="BM16" s="72">
        <v>45849</v>
      </c>
      <c r="BN16" s="73">
        <v>14760.41</v>
      </c>
      <c r="BO16" s="73">
        <v>3914.4</v>
      </c>
      <c r="BP16" s="73">
        <v>8731.2900000000009</v>
      </c>
      <c r="BQ16" s="75"/>
      <c r="BR16" s="75"/>
      <c r="BS16" s="204"/>
      <c r="BT16" s="88">
        <v>75.10120563380282</v>
      </c>
      <c r="BU16" s="329">
        <v>492.41999999999996</v>
      </c>
      <c r="BV16" s="28"/>
      <c r="BW16" s="226">
        <f t="shared" si="6"/>
        <v>567.52120563380277</v>
      </c>
      <c r="BY16" s="72">
        <v>45849</v>
      </c>
      <c r="BZ16" s="77">
        <v>678.86</v>
      </c>
      <c r="CA16" s="78">
        <v>424.98</v>
      </c>
      <c r="CB16" s="75"/>
      <c r="CC16" s="74"/>
      <c r="CD16" s="204"/>
      <c r="CE16" s="88"/>
      <c r="CF16" s="329"/>
      <c r="CG16" s="335"/>
      <c r="CH16" s="226">
        <f t="shared" si="7"/>
        <v>0</v>
      </c>
      <c r="CJ16" s="72">
        <v>45849</v>
      </c>
      <c r="CK16" s="73">
        <v>2028.94</v>
      </c>
      <c r="CL16" s="73">
        <v>519.17999999999995</v>
      </c>
      <c r="CM16" s="75"/>
      <c r="CN16" s="74">
        <v>2.93</v>
      </c>
      <c r="CO16" s="204"/>
      <c r="CP16" s="88">
        <v>127.14134999999992</v>
      </c>
      <c r="CQ16" s="329"/>
      <c r="CR16" s="28"/>
      <c r="CS16" s="226">
        <f t="shared" si="8"/>
        <v>130.07134999999991</v>
      </c>
      <c r="CU16" s="72">
        <v>45849</v>
      </c>
      <c r="CV16" s="73">
        <v>4350.75</v>
      </c>
      <c r="CW16" s="80">
        <v>643.32000000000005</v>
      </c>
      <c r="CX16" s="75"/>
      <c r="CY16" s="76">
        <v>113.75</v>
      </c>
      <c r="CZ16" s="204"/>
      <c r="DA16" s="88">
        <v>1884.9600000000055</v>
      </c>
      <c r="DB16" s="28"/>
      <c r="DC16" s="28"/>
      <c r="DD16" s="226">
        <f t="shared" si="9"/>
        <v>1998.7100000000055</v>
      </c>
      <c r="DG16" s="72">
        <v>45849</v>
      </c>
      <c r="DH16" s="73">
        <v>1742.08</v>
      </c>
      <c r="DI16" s="80">
        <v>675.63</v>
      </c>
      <c r="DJ16" s="80"/>
      <c r="DK16" s="74">
        <v>4</v>
      </c>
      <c r="DL16" s="204"/>
      <c r="DM16" s="88">
        <v>6.4621839999999935</v>
      </c>
      <c r="DN16" s="328"/>
      <c r="DO16" s="28"/>
      <c r="DP16" s="226">
        <f t="shared" si="10"/>
        <v>10.462183999999993</v>
      </c>
      <c r="DR16" s="72">
        <v>45849</v>
      </c>
      <c r="DS16" s="73">
        <v>1871.76</v>
      </c>
      <c r="DT16" s="80">
        <v>1723.44</v>
      </c>
      <c r="DU16" s="80"/>
      <c r="DV16" s="74">
        <v>15.87</v>
      </c>
      <c r="DW16" s="204"/>
      <c r="DX16" s="215"/>
      <c r="DY16" s="328"/>
      <c r="DZ16" s="28"/>
      <c r="EA16" s="226">
        <f t="shared" si="11"/>
        <v>15.87</v>
      </c>
      <c r="EC16" s="72">
        <v>45849</v>
      </c>
      <c r="ED16" s="73">
        <v>822.58</v>
      </c>
      <c r="EE16" s="80">
        <v>614.94000000000005</v>
      </c>
      <c r="EF16" s="80"/>
      <c r="EG16" s="239">
        <v>3.9</v>
      </c>
      <c r="EH16" s="204"/>
      <c r="EI16" s="88">
        <v>848.18386999999984</v>
      </c>
      <c r="EJ16" s="328"/>
      <c r="EK16" s="335"/>
      <c r="EL16" s="226">
        <f t="shared" si="12"/>
        <v>852.08386999999982</v>
      </c>
      <c r="EN16" s="72">
        <v>45849</v>
      </c>
      <c r="EO16" s="73">
        <v>4065.72</v>
      </c>
      <c r="EP16" s="81">
        <v>0</v>
      </c>
      <c r="EQ16" s="80"/>
      <c r="ER16" s="74">
        <v>0</v>
      </c>
      <c r="ES16" s="204"/>
      <c r="ET16" s="88">
        <v>67.785940000000039</v>
      </c>
      <c r="EU16" s="328">
        <v>12.184999999999974</v>
      </c>
      <c r="EV16" s="28"/>
      <c r="EW16" s="226">
        <f t="shared" si="13"/>
        <v>79.970940000000013</v>
      </c>
      <c r="EY16" s="72">
        <v>45849</v>
      </c>
      <c r="EZ16" s="73">
        <v>731.08</v>
      </c>
      <c r="FA16" s="73">
        <v>243.5</v>
      </c>
      <c r="FB16" s="75"/>
      <c r="FC16" s="74"/>
      <c r="FD16" s="204"/>
      <c r="FE16" s="215"/>
      <c r="FF16" s="28"/>
      <c r="FG16" s="28"/>
      <c r="FH16" s="226">
        <f t="shared" si="14"/>
        <v>0</v>
      </c>
    </row>
    <row r="17" spans="2:164" x14ac:dyDescent="0.25">
      <c r="B17" s="72">
        <v>45850</v>
      </c>
      <c r="C17" s="73">
        <v>13608.31</v>
      </c>
      <c r="D17" s="75"/>
      <c r="E17" s="75"/>
      <c r="F17" s="75">
        <v>0</v>
      </c>
      <c r="G17" s="204"/>
      <c r="H17" s="88"/>
      <c r="I17" s="28"/>
      <c r="J17" s="28"/>
      <c r="K17" s="226">
        <f t="shared" si="0"/>
        <v>0</v>
      </c>
      <c r="M17" s="72">
        <v>45850</v>
      </c>
      <c r="N17" s="73">
        <v>3036.09</v>
      </c>
      <c r="O17" s="75"/>
      <c r="P17" s="74">
        <v>3.16</v>
      </c>
      <c r="Q17" s="204"/>
      <c r="R17" s="215"/>
      <c r="S17" s="28"/>
      <c r="T17" s="28"/>
      <c r="U17" s="226">
        <f t="shared" si="1"/>
        <v>3.16</v>
      </c>
      <c r="W17" s="72">
        <v>45850</v>
      </c>
      <c r="X17" s="73">
        <v>1391.61</v>
      </c>
      <c r="Y17" s="73">
        <v>184.83</v>
      </c>
      <c r="Z17" s="75"/>
      <c r="AA17" s="73">
        <v>0</v>
      </c>
      <c r="AB17" s="204"/>
      <c r="AC17" s="88">
        <v>6.208000000000002</v>
      </c>
      <c r="AD17" s="329"/>
      <c r="AE17" s="28"/>
      <c r="AF17" s="226">
        <f t="shared" si="15"/>
        <v>6.208000000000002</v>
      </c>
      <c r="AI17" s="72">
        <v>45850</v>
      </c>
      <c r="AJ17" s="73">
        <v>2072.11</v>
      </c>
      <c r="AK17" s="75"/>
      <c r="AL17" s="74"/>
      <c r="AM17" s="204"/>
      <c r="AN17" s="215"/>
      <c r="AO17" s="28"/>
      <c r="AP17" s="28"/>
      <c r="AQ17" s="226">
        <f t="shared" si="16"/>
        <v>0</v>
      </c>
      <c r="AS17" s="72">
        <v>45850</v>
      </c>
      <c r="AT17" s="73">
        <v>4059.69</v>
      </c>
      <c r="AU17" s="75"/>
      <c r="AV17" s="76"/>
      <c r="AW17" s="204"/>
      <c r="AX17" s="215"/>
      <c r="AY17" s="28"/>
      <c r="AZ17" s="28"/>
      <c r="BA17" s="226">
        <f t="shared" si="17"/>
        <v>0</v>
      </c>
      <c r="BC17" s="72">
        <v>45850</v>
      </c>
      <c r="BD17" s="73">
        <v>5063.0600000000004</v>
      </c>
      <c r="BE17" s="75"/>
      <c r="BF17" s="76">
        <v>0</v>
      </c>
      <c r="BG17" s="204"/>
      <c r="BH17" s="88"/>
      <c r="BI17" s="28"/>
      <c r="BJ17" s="28"/>
      <c r="BK17" s="226">
        <f t="shared" si="18"/>
        <v>0</v>
      </c>
      <c r="BM17" s="72">
        <v>45850</v>
      </c>
      <c r="BN17" s="73">
        <v>15747.68</v>
      </c>
      <c r="BO17" s="73">
        <v>3096.54</v>
      </c>
      <c r="BP17" s="73">
        <v>8277.5400000000009</v>
      </c>
      <c r="BQ17" s="75"/>
      <c r="BR17" s="75"/>
      <c r="BS17" s="204"/>
      <c r="BT17" s="88">
        <v>74.994591549295791</v>
      </c>
      <c r="BU17" s="329"/>
      <c r="BV17" s="28"/>
      <c r="BW17" s="226">
        <f t="shared" si="6"/>
        <v>74.994591549295791</v>
      </c>
      <c r="BY17" s="72">
        <v>45850</v>
      </c>
      <c r="BZ17" s="77">
        <v>510.63</v>
      </c>
      <c r="CA17" s="78">
        <v>719.17</v>
      </c>
      <c r="CB17" s="75"/>
      <c r="CC17" s="74"/>
      <c r="CD17" s="204"/>
      <c r="CE17" s="215"/>
      <c r="CF17" s="329"/>
      <c r="CG17" s="335"/>
      <c r="CH17" s="226">
        <f t="shared" si="7"/>
        <v>0</v>
      </c>
      <c r="CJ17" s="72">
        <v>45850</v>
      </c>
      <c r="CK17" s="73">
        <v>3805.93</v>
      </c>
      <c r="CL17" s="73">
        <v>356.59</v>
      </c>
      <c r="CM17" s="75"/>
      <c r="CN17" s="74">
        <v>0</v>
      </c>
      <c r="CO17" s="204"/>
      <c r="CP17" s="88"/>
      <c r="CQ17" s="329"/>
      <c r="CR17" s="28"/>
      <c r="CS17" s="226">
        <f t="shared" si="8"/>
        <v>0</v>
      </c>
      <c r="CU17" s="72">
        <v>45850</v>
      </c>
      <c r="CV17" s="73">
        <v>3202.22</v>
      </c>
      <c r="CW17" s="80">
        <v>683.1</v>
      </c>
      <c r="CX17" s="75"/>
      <c r="CY17" s="76">
        <v>3.08</v>
      </c>
      <c r="CZ17" s="204"/>
      <c r="DA17" s="88"/>
      <c r="DB17" s="28"/>
      <c r="DC17" s="28"/>
      <c r="DD17" s="226">
        <f t="shared" si="9"/>
        <v>3.08</v>
      </c>
      <c r="DG17" s="72">
        <v>45850</v>
      </c>
      <c r="DH17" s="73">
        <v>3458.4</v>
      </c>
      <c r="DI17" s="80">
        <v>435.05</v>
      </c>
      <c r="DJ17" s="80"/>
      <c r="DK17" s="74">
        <v>8</v>
      </c>
      <c r="DL17" s="204"/>
      <c r="DM17" s="88">
        <v>14.686543999999998</v>
      </c>
      <c r="DN17" s="328"/>
      <c r="DO17" s="28"/>
      <c r="DP17" s="226">
        <f t="shared" si="10"/>
        <v>22.686543999999998</v>
      </c>
      <c r="DR17" s="72">
        <v>45850</v>
      </c>
      <c r="DS17" s="73">
        <v>1431.32</v>
      </c>
      <c r="DT17" s="80">
        <v>1844.37</v>
      </c>
      <c r="DU17" s="80"/>
      <c r="DV17" s="74">
        <v>6.45</v>
      </c>
      <c r="DW17" s="204"/>
      <c r="DX17" s="215"/>
      <c r="DY17" s="328"/>
      <c r="DZ17" s="28"/>
      <c r="EA17" s="226">
        <f t="shared" si="11"/>
        <v>6.45</v>
      </c>
      <c r="EC17" s="72">
        <v>45850</v>
      </c>
      <c r="ED17" s="73">
        <v>762.63</v>
      </c>
      <c r="EE17" s="80">
        <v>562.45000000000005</v>
      </c>
      <c r="EF17" s="80"/>
      <c r="EG17" s="239">
        <v>0</v>
      </c>
      <c r="EH17" s="204"/>
      <c r="EI17" s="88">
        <v>639.74620999999991</v>
      </c>
      <c r="EJ17" s="328">
        <v>84.836709999999982</v>
      </c>
      <c r="EK17" s="335"/>
      <c r="EL17" s="226">
        <f t="shared" si="12"/>
        <v>724.58291999999983</v>
      </c>
      <c r="EN17" s="72">
        <v>45850</v>
      </c>
      <c r="EO17" s="73">
        <v>6480.77</v>
      </c>
      <c r="EP17" s="81">
        <v>89.32</v>
      </c>
      <c r="EQ17" s="80"/>
      <c r="ER17" s="74">
        <v>0</v>
      </c>
      <c r="ES17" s="204"/>
      <c r="ET17" s="88"/>
      <c r="EU17" s="328">
        <v>71.854999999999947</v>
      </c>
      <c r="EV17" s="28"/>
      <c r="EW17" s="226">
        <f t="shared" si="13"/>
        <v>71.854999999999947</v>
      </c>
      <c r="EY17" s="72">
        <v>45850</v>
      </c>
      <c r="EZ17" s="73">
        <v>700.65</v>
      </c>
      <c r="FA17" s="73">
        <v>93.7</v>
      </c>
      <c r="FB17" s="75"/>
      <c r="FC17" s="74"/>
      <c r="FD17" s="204"/>
      <c r="FE17" s="215"/>
      <c r="FF17" s="28"/>
      <c r="FG17" s="28"/>
      <c r="FH17" s="226">
        <f t="shared" si="14"/>
        <v>0</v>
      </c>
    </row>
    <row r="18" spans="2:164" x14ac:dyDescent="0.25">
      <c r="B18" s="72">
        <v>45851</v>
      </c>
      <c r="C18" s="73">
        <v>11572.48</v>
      </c>
      <c r="D18" s="75"/>
      <c r="E18" s="75"/>
      <c r="F18" s="75">
        <v>177.39</v>
      </c>
      <c r="G18" s="204"/>
      <c r="H18" s="88"/>
      <c r="I18" s="28"/>
      <c r="J18" s="28"/>
      <c r="K18" s="226">
        <f t="shared" si="0"/>
        <v>177.39</v>
      </c>
      <c r="M18" s="72">
        <v>45851</v>
      </c>
      <c r="N18" s="73">
        <v>2337.4699999999998</v>
      </c>
      <c r="O18" s="75"/>
      <c r="P18" s="74">
        <v>0</v>
      </c>
      <c r="Q18" s="204"/>
      <c r="R18" s="215"/>
      <c r="S18" s="28"/>
      <c r="T18" s="28"/>
      <c r="U18" s="226">
        <f t="shared" si="1"/>
        <v>0</v>
      </c>
      <c r="W18" s="72">
        <v>45851</v>
      </c>
      <c r="X18" s="73">
        <v>602.77</v>
      </c>
      <c r="Y18" s="73">
        <v>150.04</v>
      </c>
      <c r="Z18" s="75"/>
      <c r="AA18" s="73">
        <v>0</v>
      </c>
      <c r="AB18" s="204"/>
      <c r="AC18" s="88"/>
      <c r="AD18" s="329"/>
      <c r="AE18" s="28"/>
      <c r="AF18" s="226">
        <f t="shared" si="15"/>
        <v>0</v>
      </c>
      <c r="AI18" s="72">
        <v>45851</v>
      </c>
      <c r="AJ18" s="73">
        <v>1383.04</v>
      </c>
      <c r="AK18" s="75"/>
      <c r="AL18" s="74"/>
      <c r="AM18" s="204"/>
      <c r="AN18" s="215"/>
      <c r="AO18" s="28"/>
      <c r="AP18" s="28"/>
      <c r="AQ18" s="226">
        <f t="shared" si="16"/>
        <v>0</v>
      </c>
      <c r="AS18" s="72">
        <v>45851</v>
      </c>
      <c r="AT18" s="73">
        <v>2629.77</v>
      </c>
      <c r="AU18" s="75"/>
      <c r="AV18" s="76"/>
      <c r="AW18" s="204"/>
      <c r="AX18" s="215"/>
      <c r="AY18" s="28"/>
      <c r="AZ18" s="28"/>
      <c r="BA18" s="226">
        <f t="shared" si="17"/>
        <v>0</v>
      </c>
      <c r="BC18" s="72">
        <v>45851</v>
      </c>
      <c r="BD18" s="73">
        <v>2334.84</v>
      </c>
      <c r="BE18" s="75"/>
      <c r="BF18" s="76">
        <v>0</v>
      </c>
      <c r="BG18" s="204"/>
      <c r="BH18" s="88"/>
      <c r="BI18" s="28"/>
      <c r="BJ18" s="28"/>
      <c r="BK18" s="226">
        <f t="shared" si="18"/>
        <v>0</v>
      </c>
      <c r="BM18" s="72">
        <v>45851</v>
      </c>
      <c r="BN18" s="73">
        <v>10963.9</v>
      </c>
      <c r="BO18" s="73">
        <v>3422.33</v>
      </c>
      <c r="BP18" s="73">
        <v>4224.51</v>
      </c>
      <c r="BQ18" s="75"/>
      <c r="BR18" s="75"/>
      <c r="BS18" s="204"/>
      <c r="BT18" s="88">
        <v>141.62573821144468</v>
      </c>
      <c r="BU18" s="329"/>
      <c r="BV18" s="28"/>
      <c r="BW18" s="226">
        <f t="shared" si="6"/>
        <v>141.62573821144468</v>
      </c>
      <c r="BY18" s="72">
        <v>45851</v>
      </c>
      <c r="BZ18" s="77">
        <v>1051.79</v>
      </c>
      <c r="CA18" s="78">
        <v>759.64</v>
      </c>
      <c r="CB18" s="75"/>
      <c r="CC18" s="74"/>
      <c r="CD18" s="204"/>
      <c r="CE18" s="215"/>
      <c r="CF18" s="329">
        <v>96.455859999999802</v>
      </c>
      <c r="CG18" s="335"/>
      <c r="CH18" s="226">
        <f t="shared" si="7"/>
        <v>96.455859999999802</v>
      </c>
      <c r="CJ18" s="72">
        <v>45851</v>
      </c>
      <c r="CK18" s="73">
        <v>3664.2</v>
      </c>
      <c r="CL18" s="73">
        <v>325.60000000000002</v>
      </c>
      <c r="CM18" s="75"/>
      <c r="CN18" s="74">
        <v>8.19</v>
      </c>
      <c r="CO18" s="204"/>
      <c r="CP18" s="88"/>
      <c r="CQ18" s="329"/>
      <c r="CR18" s="28"/>
      <c r="CS18" s="226">
        <f t="shared" si="8"/>
        <v>8.19</v>
      </c>
      <c r="CU18" s="72">
        <v>45851</v>
      </c>
      <c r="CV18" s="73">
        <v>1397.87</v>
      </c>
      <c r="CW18" s="80">
        <v>536.33000000000004</v>
      </c>
      <c r="CX18" s="75"/>
      <c r="CY18" s="76">
        <v>10.72</v>
      </c>
      <c r="CZ18" s="204"/>
      <c r="DA18" s="88"/>
      <c r="DB18" s="28"/>
      <c r="DC18" s="28"/>
      <c r="DD18" s="226">
        <f t="shared" si="9"/>
        <v>10.72</v>
      </c>
      <c r="DG18" s="72">
        <v>45851</v>
      </c>
      <c r="DH18" s="73">
        <v>1677.54</v>
      </c>
      <c r="DI18" s="80">
        <v>186.5</v>
      </c>
      <c r="DJ18" s="80"/>
      <c r="DK18" s="74">
        <v>8.4</v>
      </c>
      <c r="DL18" s="204"/>
      <c r="DM18" s="88"/>
      <c r="DN18" s="328"/>
      <c r="DO18" s="28"/>
      <c r="DP18" s="226">
        <f t="shared" si="10"/>
        <v>8.4</v>
      </c>
      <c r="DR18" s="72">
        <v>45851</v>
      </c>
      <c r="DS18" s="73">
        <v>1034.71</v>
      </c>
      <c r="DT18" s="80">
        <v>1671.65</v>
      </c>
      <c r="DU18" s="80"/>
      <c r="DV18" s="74">
        <v>7.5</v>
      </c>
      <c r="DW18" s="204"/>
      <c r="DX18" s="215"/>
      <c r="DY18" s="328"/>
      <c r="DZ18" s="28"/>
      <c r="EA18" s="226">
        <f t="shared" si="11"/>
        <v>7.5</v>
      </c>
      <c r="EC18" s="72">
        <v>45851</v>
      </c>
      <c r="ED18" s="73">
        <v>641.22</v>
      </c>
      <c r="EE18" s="80">
        <v>451.48</v>
      </c>
      <c r="EF18" s="80"/>
      <c r="EG18" s="239">
        <v>0</v>
      </c>
      <c r="EH18" s="204"/>
      <c r="EI18" s="88">
        <v>141.31885999999997</v>
      </c>
      <c r="EJ18" s="328"/>
      <c r="EK18" s="335"/>
      <c r="EL18" s="226">
        <f t="shared" si="12"/>
        <v>141.31885999999997</v>
      </c>
      <c r="EN18" s="72">
        <v>45851</v>
      </c>
      <c r="EO18" s="73">
        <v>2661.95</v>
      </c>
      <c r="EP18" s="81">
        <v>350.3</v>
      </c>
      <c r="EQ18" s="80"/>
      <c r="ER18" s="74">
        <v>0</v>
      </c>
      <c r="ES18" s="204"/>
      <c r="ET18" s="88"/>
      <c r="EU18" s="328"/>
      <c r="EV18" s="28"/>
      <c r="EW18" s="226">
        <f t="shared" si="13"/>
        <v>0</v>
      </c>
      <c r="EY18" s="72">
        <v>45851</v>
      </c>
      <c r="EZ18" s="73">
        <v>716.05</v>
      </c>
      <c r="FA18" s="73">
        <v>213.3</v>
      </c>
      <c r="FB18" s="75"/>
      <c r="FC18" s="74"/>
      <c r="FD18" s="204"/>
      <c r="FE18" s="215"/>
      <c r="FF18" s="28"/>
      <c r="FG18" s="28"/>
      <c r="FH18" s="226">
        <f t="shared" si="14"/>
        <v>0</v>
      </c>
    </row>
    <row r="19" spans="2:164" x14ac:dyDescent="0.25">
      <c r="B19" s="72">
        <v>45852</v>
      </c>
      <c r="C19" s="73">
        <v>8542.7900000000009</v>
      </c>
      <c r="D19" s="75"/>
      <c r="E19" s="75"/>
      <c r="F19" s="75">
        <v>0</v>
      </c>
      <c r="G19" s="204"/>
      <c r="H19" s="88"/>
      <c r="I19" s="28"/>
      <c r="J19" s="28"/>
      <c r="K19" s="226">
        <f t="shared" si="0"/>
        <v>0</v>
      </c>
      <c r="M19" s="72">
        <v>45852</v>
      </c>
      <c r="N19" s="73">
        <v>3403.5</v>
      </c>
      <c r="O19" s="75"/>
      <c r="P19" s="74">
        <v>41.03</v>
      </c>
      <c r="Q19" s="204"/>
      <c r="R19" s="215"/>
      <c r="S19" s="28"/>
      <c r="T19" s="28"/>
      <c r="U19" s="226">
        <f t="shared" si="1"/>
        <v>41.03</v>
      </c>
      <c r="W19" s="72">
        <v>45852</v>
      </c>
      <c r="X19" s="73">
        <v>3152.34</v>
      </c>
      <c r="Y19" s="73">
        <v>441.77</v>
      </c>
      <c r="Z19" s="75"/>
      <c r="AA19" s="73">
        <v>0</v>
      </c>
      <c r="AB19" s="204"/>
      <c r="AC19" s="88">
        <v>55.386769999999991</v>
      </c>
      <c r="AD19" s="329">
        <v>27.725179999999995</v>
      </c>
      <c r="AE19" s="28"/>
      <c r="AF19" s="226">
        <f t="shared" si="15"/>
        <v>83.111949999999979</v>
      </c>
      <c r="AI19" s="72">
        <v>45852</v>
      </c>
      <c r="AJ19" s="73">
        <v>962.94</v>
      </c>
      <c r="AK19" s="75"/>
      <c r="AL19" s="74"/>
      <c r="AM19" s="204"/>
      <c r="AN19" s="215"/>
      <c r="AO19" s="28"/>
      <c r="AP19" s="28"/>
      <c r="AQ19" s="226">
        <f t="shared" si="16"/>
        <v>0</v>
      </c>
      <c r="AS19" s="72">
        <v>45852</v>
      </c>
      <c r="AT19" s="73">
        <v>4356.6899999999996</v>
      </c>
      <c r="AU19" s="75"/>
      <c r="AV19" s="76"/>
      <c r="AW19" s="204"/>
      <c r="AX19" s="215"/>
      <c r="AY19" s="28"/>
      <c r="AZ19" s="28"/>
      <c r="BA19" s="226">
        <f t="shared" si="17"/>
        <v>0</v>
      </c>
      <c r="BC19" s="72">
        <v>45852</v>
      </c>
      <c r="BD19" s="73">
        <v>3076.32</v>
      </c>
      <c r="BE19" s="75"/>
      <c r="BF19" s="76">
        <v>16</v>
      </c>
      <c r="BG19" s="204"/>
      <c r="BH19" s="88"/>
      <c r="BI19" s="28"/>
      <c r="BJ19" s="28"/>
      <c r="BK19" s="226">
        <f t="shared" si="18"/>
        <v>16</v>
      </c>
      <c r="BM19" s="72">
        <v>45852</v>
      </c>
      <c r="BN19" s="73">
        <v>13673.76</v>
      </c>
      <c r="BO19" s="73">
        <v>3275.31</v>
      </c>
      <c r="BP19" s="73">
        <v>7059.94</v>
      </c>
      <c r="BQ19" s="75"/>
      <c r="BR19" s="75"/>
      <c r="BS19" s="204"/>
      <c r="BT19" s="88">
        <v>66.527188732394364</v>
      </c>
      <c r="BU19" s="329"/>
      <c r="BV19" s="28"/>
      <c r="BW19" s="226">
        <f t="shared" si="6"/>
        <v>66.527188732394364</v>
      </c>
      <c r="BY19" s="72">
        <v>45852</v>
      </c>
      <c r="BZ19" s="77">
        <v>1258.79</v>
      </c>
      <c r="CA19" s="78">
        <v>549.19000000000005</v>
      </c>
      <c r="CB19" s="75"/>
      <c r="CC19" s="74"/>
      <c r="CD19" s="204"/>
      <c r="CE19" s="215"/>
      <c r="CF19" s="329">
        <v>22.781380000000013</v>
      </c>
      <c r="CG19" s="335"/>
      <c r="CH19" s="226">
        <f t="shared" si="7"/>
        <v>22.781380000000013</v>
      </c>
      <c r="CJ19" s="72">
        <v>45852</v>
      </c>
      <c r="CK19" s="73">
        <v>4821.59</v>
      </c>
      <c r="CL19" s="73">
        <v>607.54999999999995</v>
      </c>
      <c r="CM19" s="75"/>
      <c r="CN19" s="74">
        <v>0</v>
      </c>
      <c r="CO19" s="204"/>
      <c r="CP19" s="88">
        <v>75.445859999999982</v>
      </c>
      <c r="CQ19" s="329">
        <v>6.5207599999999957</v>
      </c>
      <c r="CR19" s="28"/>
      <c r="CS19" s="226">
        <f t="shared" si="8"/>
        <v>81.966619999999978</v>
      </c>
      <c r="CU19" s="72">
        <v>45852</v>
      </c>
      <c r="CV19" s="73">
        <v>8605.85</v>
      </c>
      <c r="CW19" s="80">
        <v>748.19</v>
      </c>
      <c r="CX19" s="75"/>
      <c r="CY19" s="76">
        <v>254.94</v>
      </c>
      <c r="CZ19" s="204"/>
      <c r="DA19" s="88"/>
      <c r="DB19" s="28"/>
      <c r="DC19" s="28"/>
      <c r="DD19" s="226">
        <f t="shared" si="9"/>
        <v>254.94</v>
      </c>
      <c r="DG19" s="72">
        <v>45852</v>
      </c>
      <c r="DH19" s="73">
        <v>1764.55</v>
      </c>
      <c r="DI19" s="80">
        <v>332.65</v>
      </c>
      <c r="DJ19" s="80"/>
      <c r="DK19" s="74">
        <v>61.68</v>
      </c>
      <c r="DL19" s="204"/>
      <c r="DM19" s="88"/>
      <c r="DN19" s="328">
        <v>6.0498069999999871</v>
      </c>
      <c r="DO19" s="28"/>
      <c r="DP19" s="226">
        <f t="shared" si="10"/>
        <v>67.729806999999994</v>
      </c>
      <c r="DR19" s="72">
        <v>45852</v>
      </c>
      <c r="DS19" s="73">
        <v>1469.25</v>
      </c>
      <c r="DT19" s="80">
        <v>1335.07</v>
      </c>
      <c r="DU19" s="80"/>
      <c r="DV19" s="74">
        <v>45.01</v>
      </c>
      <c r="DW19" s="204"/>
      <c r="DX19" s="215"/>
      <c r="DY19" s="328">
        <v>22.035999999999973</v>
      </c>
      <c r="DZ19" s="28"/>
      <c r="EA19" s="226">
        <f t="shared" si="11"/>
        <v>67.045999999999964</v>
      </c>
      <c r="EC19" s="72">
        <v>45852</v>
      </c>
      <c r="ED19" s="73">
        <v>993.87</v>
      </c>
      <c r="EE19" s="80">
        <v>975.04</v>
      </c>
      <c r="EF19" s="80"/>
      <c r="EG19" s="239">
        <v>31.09</v>
      </c>
      <c r="EH19" s="204"/>
      <c r="EI19" s="88">
        <v>1365.16057</v>
      </c>
      <c r="EJ19" s="328">
        <v>110.23368000000005</v>
      </c>
      <c r="EK19" s="335"/>
      <c r="EL19" s="226">
        <f t="shared" si="12"/>
        <v>1506.48425</v>
      </c>
      <c r="EN19" s="72">
        <v>45852</v>
      </c>
      <c r="EO19" s="73">
        <v>2973.48</v>
      </c>
      <c r="EP19" s="81">
        <v>292.57</v>
      </c>
      <c r="EQ19" s="80"/>
      <c r="ER19" s="74">
        <v>184.21</v>
      </c>
      <c r="ES19" s="204"/>
      <c r="ET19" s="88">
        <v>34.422320000000028</v>
      </c>
      <c r="EU19" s="328">
        <v>498.56500000000028</v>
      </c>
      <c r="EV19" s="28"/>
      <c r="EW19" s="226">
        <f t="shared" si="13"/>
        <v>717.19732000000033</v>
      </c>
      <c r="EY19" s="72">
        <v>45852</v>
      </c>
      <c r="EZ19" s="73">
        <v>490.1</v>
      </c>
      <c r="FA19" s="73">
        <v>259.97000000000003</v>
      </c>
      <c r="FB19" s="75"/>
      <c r="FC19" s="74"/>
      <c r="FD19" s="204"/>
      <c r="FE19" s="215"/>
      <c r="FF19" s="28"/>
      <c r="FG19" s="28"/>
      <c r="FH19" s="226">
        <f t="shared" si="14"/>
        <v>0</v>
      </c>
    </row>
    <row r="20" spans="2:164" x14ac:dyDescent="0.25">
      <c r="B20" s="72">
        <v>45853</v>
      </c>
      <c r="C20" s="73">
        <v>8984</v>
      </c>
      <c r="D20" s="74"/>
      <c r="E20" s="75"/>
      <c r="F20" s="74">
        <v>35.4</v>
      </c>
      <c r="G20" s="204"/>
      <c r="H20" s="88"/>
      <c r="I20" s="28"/>
      <c r="J20" s="28"/>
      <c r="K20" s="226">
        <f t="shared" si="0"/>
        <v>35.4</v>
      </c>
      <c r="M20" s="72">
        <v>45853</v>
      </c>
      <c r="N20" s="73">
        <v>3344.06</v>
      </c>
      <c r="O20" s="75"/>
      <c r="P20" s="74">
        <v>8.35</v>
      </c>
      <c r="Q20" s="204"/>
      <c r="R20" s="215"/>
      <c r="S20" s="28"/>
      <c r="T20" s="28"/>
      <c r="U20" s="226">
        <f t="shared" si="1"/>
        <v>8.35</v>
      </c>
      <c r="W20" s="72">
        <v>45853</v>
      </c>
      <c r="X20" s="73">
        <v>2231.27</v>
      </c>
      <c r="Y20" s="73">
        <v>158</v>
      </c>
      <c r="Z20" s="75"/>
      <c r="AA20" s="73">
        <v>0</v>
      </c>
      <c r="AB20" s="204"/>
      <c r="AC20" s="88">
        <v>6.4921600000000019</v>
      </c>
      <c r="AD20" s="329"/>
      <c r="AE20" s="28"/>
      <c r="AF20" s="226">
        <f t="shared" si="15"/>
        <v>6.4921600000000019</v>
      </c>
      <c r="AI20" s="72">
        <v>45853</v>
      </c>
      <c r="AJ20" s="73">
        <v>932.79</v>
      </c>
      <c r="AK20" s="75"/>
      <c r="AL20" s="74"/>
      <c r="AM20" s="204"/>
      <c r="AN20" s="215"/>
      <c r="AO20" s="28"/>
      <c r="AP20" s="28"/>
      <c r="AQ20" s="226">
        <f t="shared" si="16"/>
        <v>0</v>
      </c>
      <c r="AS20" s="72">
        <v>45853</v>
      </c>
      <c r="AT20" s="73">
        <v>3720.54</v>
      </c>
      <c r="AU20" s="75"/>
      <c r="AV20" s="76"/>
      <c r="AW20" s="204"/>
      <c r="AX20" s="215"/>
      <c r="AY20" s="28"/>
      <c r="AZ20" s="28"/>
      <c r="BA20" s="226">
        <f t="shared" si="17"/>
        <v>0</v>
      </c>
      <c r="BC20" s="72">
        <v>45853</v>
      </c>
      <c r="BD20" s="73">
        <v>4288.59</v>
      </c>
      <c r="BE20" s="75"/>
      <c r="BF20" s="76">
        <v>2.82</v>
      </c>
      <c r="BG20" s="204"/>
      <c r="BH20" s="88"/>
      <c r="BI20" s="28"/>
      <c r="BJ20" s="28"/>
      <c r="BK20" s="226">
        <f t="shared" si="18"/>
        <v>2.82</v>
      </c>
      <c r="BM20" s="72">
        <v>45853</v>
      </c>
      <c r="BN20" s="73">
        <v>13047.4</v>
      </c>
      <c r="BO20" s="73">
        <v>2524.5</v>
      </c>
      <c r="BP20" s="73">
        <v>3919.86</v>
      </c>
      <c r="BQ20" s="75"/>
      <c r="BR20" s="75"/>
      <c r="BS20" s="204"/>
      <c r="BT20" s="88">
        <v>164.22601990466583</v>
      </c>
      <c r="BU20" s="329">
        <v>668.28000000000009</v>
      </c>
      <c r="BV20" s="28"/>
      <c r="BW20" s="226">
        <f t="shared" si="6"/>
        <v>832.50601990466589</v>
      </c>
      <c r="BY20" s="72">
        <v>45853</v>
      </c>
      <c r="BZ20" s="77">
        <v>1816.55</v>
      </c>
      <c r="CA20" s="78">
        <v>416.36</v>
      </c>
      <c r="CB20" s="75"/>
      <c r="CC20" s="74"/>
      <c r="CD20" s="204"/>
      <c r="CE20" s="215"/>
      <c r="CF20" s="329"/>
      <c r="CG20" s="335"/>
      <c r="CH20" s="226">
        <f t="shared" si="7"/>
        <v>0</v>
      </c>
      <c r="CJ20" s="72">
        <v>45853</v>
      </c>
      <c r="CK20" s="73">
        <v>3011.35</v>
      </c>
      <c r="CL20" s="73">
        <v>484.49</v>
      </c>
      <c r="CM20" s="75"/>
      <c r="CN20" s="74">
        <v>14.6</v>
      </c>
      <c r="CO20" s="204"/>
      <c r="CP20" s="88">
        <v>941.3553799999994</v>
      </c>
      <c r="CQ20" s="329">
        <v>13.764350000000036</v>
      </c>
      <c r="CR20" s="28"/>
      <c r="CS20" s="226">
        <f t="shared" si="8"/>
        <v>969.71972999999946</v>
      </c>
      <c r="CU20" s="72">
        <v>45853</v>
      </c>
      <c r="CV20" s="73">
        <v>8642.5400000000009</v>
      </c>
      <c r="CW20" s="80">
        <v>736.33</v>
      </c>
      <c r="CX20" s="75"/>
      <c r="CY20" s="76">
        <v>175.69</v>
      </c>
      <c r="CZ20" s="204"/>
      <c r="DA20" s="88"/>
      <c r="DB20" s="28"/>
      <c r="DC20" s="28"/>
      <c r="DD20" s="226">
        <f t="shared" si="9"/>
        <v>175.69</v>
      </c>
      <c r="DG20" s="72">
        <v>45853</v>
      </c>
      <c r="DH20" s="73">
        <v>1878.09</v>
      </c>
      <c r="DI20" s="80">
        <v>378.52</v>
      </c>
      <c r="DJ20" s="80"/>
      <c r="DK20" s="74">
        <v>4</v>
      </c>
      <c r="DL20" s="204"/>
      <c r="DM20" s="88">
        <v>14.081279999999992</v>
      </c>
      <c r="DN20" s="328"/>
      <c r="DO20" s="28"/>
      <c r="DP20" s="226">
        <f t="shared" si="10"/>
        <v>18.081279999999992</v>
      </c>
      <c r="DR20" s="72">
        <v>45853</v>
      </c>
      <c r="DS20" s="73">
        <v>1057.94</v>
      </c>
      <c r="DT20" s="80">
        <v>1264.31</v>
      </c>
      <c r="DU20" s="80"/>
      <c r="DV20" s="74">
        <v>38.74</v>
      </c>
      <c r="DW20" s="204"/>
      <c r="DX20" s="215"/>
      <c r="DY20" s="328"/>
      <c r="DZ20" s="28"/>
      <c r="EA20" s="226">
        <f t="shared" si="11"/>
        <v>38.74</v>
      </c>
      <c r="EC20" s="72">
        <v>45853</v>
      </c>
      <c r="ED20" s="73">
        <v>957.91</v>
      </c>
      <c r="EE20" s="80">
        <v>661.32</v>
      </c>
      <c r="EF20" s="80"/>
      <c r="EG20" s="239">
        <v>0</v>
      </c>
      <c r="EH20" s="204"/>
      <c r="EI20" s="88">
        <v>1006.8640099999999</v>
      </c>
      <c r="EJ20" s="328"/>
      <c r="EK20" s="335"/>
      <c r="EL20" s="226">
        <f t="shared" si="12"/>
        <v>1006.8640099999999</v>
      </c>
      <c r="EN20" s="72">
        <v>45853</v>
      </c>
      <c r="EO20" s="73">
        <v>2982.71</v>
      </c>
      <c r="EP20" s="81">
        <v>185.33</v>
      </c>
      <c r="EQ20" s="80"/>
      <c r="ER20" s="74">
        <v>82.25</v>
      </c>
      <c r="ES20" s="204"/>
      <c r="ET20" s="88"/>
      <c r="EU20" s="328">
        <v>22.529999999999973</v>
      </c>
      <c r="EV20" s="28"/>
      <c r="EW20" s="226">
        <f t="shared" si="13"/>
        <v>104.77999999999997</v>
      </c>
      <c r="EY20" s="72">
        <v>45853</v>
      </c>
      <c r="EZ20" s="73">
        <v>525.74</v>
      </c>
      <c r="FA20" s="73">
        <v>403.9</v>
      </c>
      <c r="FB20" s="75"/>
      <c r="FC20" s="74"/>
      <c r="FD20" s="204"/>
      <c r="FE20" s="215"/>
      <c r="FF20" s="28"/>
      <c r="FG20" s="28"/>
      <c r="FH20" s="226">
        <f t="shared" si="14"/>
        <v>0</v>
      </c>
    </row>
    <row r="21" spans="2:164" x14ac:dyDescent="0.25">
      <c r="B21" s="72">
        <v>45854</v>
      </c>
      <c r="C21" s="73">
        <v>9448.11</v>
      </c>
      <c r="D21" s="75"/>
      <c r="E21" s="75"/>
      <c r="F21" s="75">
        <v>35.4</v>
      </c>
      <c r="G21" s="204"/>
      <c r="H21" s="88"/>
      <c r="I21" s="28"/>
      <c r="J21" s="28"/>
      <c r="K21" s="226">
        <f t="shared" si="0"/>
        <v>35.4</v>
      </c>
      <c r="M21" s="72">
        <v>45854</v>
      </c>
      <c r="N21" s="73">
        <v>3089.55</v>
      </c>
      <c r="O21" s="75"/>
      <c r="P21" s="74">
        <v>59.94</v>
      </c>
      <c r="Q21" s="204"/>
      <c r="R21" s="215"/>
      <c r="S21" s="28"/>
      <c r="T21" s="28"/>
      <c r="U21" s="226">
        <f t="shared" si="1"/>
        <v>59.94</v>
      </c>
      <c r="W21" s="72">
        <v>45854</v>
      </c>
      <c r="X21" s="73">
        <v>2249.98</v>
      </c>
      <c r="Y21" s="73">
        <v>227.62</v>
      </c>
      <c r="Z21" s="75"/>
      <c r="AA21" s="73">
        <v>0</v>
      </c>
      <c r="AB21" s="204"/>
      <c r="AC21" s="88">
        <v>11.73509999999996</v>
      </c>
      <c r="AD21" s="329"/>
      <c r="AE21" s="28"/>
      <c r="AF21" s="226">
        <f t="shared" si="15"/>
        <v>11.73509999999996</v>
      </c>
      <c r="AI21" s="72">
        <v>45854</v>
      </c>
      <c r="AJ21" s="73">
        <v>90</v>
      </c>
      <c r="AK21" s="75"/>
      <c r="AL21" s="74"/>
      <c r="AM21" s="204"/>
      <c r="AN21" s="215"/>
      <c r="AO21" s="28"/>
      <c r="AP21" s="28"/>
      <c r="AQ21" s="226">
        <f t="shared" si="16"/>
        <v>0</v>
      </c>
      <c r="AS21" s="72">
        <v>45854</v>
      </c>
      <c r="AT21" s="73">
        <v>2288.0700000000002</v>
      </c>
      <c r="AU21" s="75"/>
      <c r="AV21" s="76"/>
      <c r="AW21" s="204"/>
      <c r="AX21" s="215"/>
      <c r="AY21" s="28"/>
      <c r="AZ21" s="28"/>
      <c r="BA21" s="226">
        <f t="shared" si="17"/>
        <v>0</v>
      </c>
      <c r="BC21" s="72">
        <v>45854</v>
      </c>
      <c r="BD21" s="73">
        <v>3618.3</v>
      </c>
      <c r="BE21" s="75"/>
      <c r="BF21" s="76">
        <v>16.96</v>
      </c>
      <c r="BG21" s="204"/>
      <c r="BH21" s="88"/>
      <c r="BI21" s="28"/>
      <c r="BJ21" s="28"/>
      <c r="BK21" s="226">
        <f t="shared" si="18"/>
        <v>16.96</v>
      </c>
      <c r="BM21" s="72">
        <v>45854</v>
      </c>
      <c r="BN21" s="73">
        <v>14227.68</v>
      </c>
      <c r="BO21" s="73">
        <v>2340.5100000000002</v>
      </c>
      <c r="BP21" s="73">
        <v>1866.04</v>
      </c>
      <c r="BQ21" s="75"/>
      <c r="BR21" s="75"/>
      <c r="BS21" s="204"/>
      <c r="BT21" s="88">
        <v>24.900000000000006</v>
      </c>
      <c r="BU21" s="329">
        <v>370.11988999999994</v>
      </c>
      <c r="BV21" s="28"/>
      <c r="BW21" s="226">
        <f t="shared" si="6"/>
        <v>395.01988999999992</v>
      </c>
      <c r="BY21" s="72">
        <v>45854</v>
      </c>
      <c r="BZ21" s="77">
        <v>1383.15</v>
      </c>
      <c r="CA21" s="78">
        <v>310.05</v>
      </c>
      <c r="CB21" s="75"/>
      <c r="CC21" s="74"/>
      <c r="CD21" s="204"/>
      <c r="CE21" s="215"/>
      <c r="CF21" s="329"/>
      <c r="CG21" s="335">
        <v>12.364517599999999</v>
      </c>
      <c r="CH21" s="226">
        <f t="shared" si="7"/>
        <v>12.364517599999999</v>
      </c>
      <c r="CJ21" s="72">
        <v>45854</v>
      </c>
      <c r="CK21" s="73">
        <v>5406.27</v>
      </c>
      <c r="CL21" s="73">
        <v>633.95000000000005</v>
      </c>
      <c r="CM21" s="75"/>
      <c r="CN21" s="74">
        <v>0</v>
      </c>
      <c r="CO21" s="204"/>
      <c r="CP21" s="88">
        <v>57.711499999999972</v>
      </c>
      <c r="CQ21" s="329">
        <v>13.027640000000034</v>
      </c>
      <c r="CR21" s="28"/>
      <c r="CS21" s="226">
        <f t="shared" si="8"/>
        <v>70.739140000000006</v>
      </c>
      <c r="CU21" s="72">
        <v>45854</v>
      </c>
      <c r="CV21" s="73">
        <v>6537.43</v>
      </c>
      <c r="CW21" s="80">
        <v>976.97</v>
      </c>
      <c r="CX21" s="75"/>
      <c r="CY21" s="76">
        <v>69.010000000000005</v>
      </c>
      <c r="CZ21" s="204"/>
      <c r="DA21" s="88"/>
      <c r="DB21" s="28"/>
      <c r="DC21" s="28"/>
      <c r="DD21" s="226">
        <f t="shared" si="9"/>
        <v>69.010000000000005</v>
      </c>
      <c r="DG21" s="72">
        <v>45854</v>
      </c>
      <c r="DH21" s="73">
        <v>2297.1799999999998</v>
      </c>
      <c r="DI21" s="81">
        <v>570.32000000000005</v>
      </c>
      <c r="DJ21" s="80"/>
      <c r="DK21" s="74">
        <v>4</v>
      </c>
      <c r="DL21" s="204"/>
      <c r="DM21" s="88"/>
      <c r="DN21" s="28"/>
      <c r="DO21" s="28"/>
      <c r="DP21" s="226">
        <f t="shared" si="10"/>
        <v>4</v>
      </c>
      <c r="DR21" s="72">
        <v>45854</v>
      </c>
      <c r="DS21" s="73">
        <v>1278.8499999999999</v>
      </c>
      <c r="DT21" s="81">
        <v>1113.49</v>
      </c>
      <c r="DU21" s="80"/>
      <c r="DV21" s="74">
        <v>13.2</v>
      </c>
      <c r="DW21" s="204"/>
      <c r="DX21" s="215"/>
      <c r="DY21" s="328"/>
      <c r="DZ21" s="28"/>
      <c r="EA21" s="226">
        <f t="shared" si="11"/>
        <v>13.2</v>
      </c>
      <c r="EC21" s="72">
        <v>45854</v>
      </c>
      <c r="ED21" s="73">
        <v>694.27</v>
      </c>
      <c r="EE21" s="80">
        <v>993.89</v>
      </c>
      <c r="EF21" s="80"/>
      <c r="EG21" s="239">
        <v>0</v>
      </c>
      <c r="EH21" s="204"/>
      <c r="EI21" s="88">
        <v>377.76213999999999</v>
      </c>
      <c r="EJ21" s="328"/>
      <c r="EK21" s="335"/>
      <c r="EL21" s="226">
        <f t="shared" si="12"/>
        <v>377.76213999999999</v>
      </c>
      <c r="EN21" s="72">
        <v>45854</v>
      </c>
      <c r="EO21" s="73">
        <v>6235.66</v>
      </c>
      <c r="EP21" s="81">
        <v>423.82</v>
      </c>
      <c r="EQ21" s="80"/>
      <c r="ER21" s="74">
        <v>94.75</v>
      </c>
      <c r="ES21" s="204"/>
      <c r="ET21" s="88"/>
      <c r="EU21" s="328"/>
      <c r="EV21" s="28"/>
      <c r="EW21" s="226">
        <f t="shared" si="13"/>
        <v>94.75</v>
      </c>
      <c r="EY21" s="72">
        <v>45854</v>
      </c>
      <c r="EZ21" s="73">
        <v>592.79</v>
      </c>
      <c r="FA21" s="73">
        <v>151.33000000000001</v>
      </c>
      <c r="FB21" s="75"/>
      <c r="FC21" s="74"/>
      <c r="FD21" s="204"/>
      <c r="FE21" s="215"/>
      <c r="FF21" s="28"/>
      <c r="FG21" s="28"/>
      <c r="FH21" s="226">
        <f t="shared" si="14"/>
        <v>0</v>
      </c>
    </row>
    <row r="22" spans="2:164" x14ac:dyDescent="0.25">
      <c r="B22" s="72">
        <v>45855</v>
      </c>
      <c r="C22" s="73">
        <v>9057.35</v>
      </c>
      <c r="D22" s="75"/>
      <c r="E22" s="75"/>
      <c r="F22" s="75">
        <v>35.4</v>
      </c>
      <c r="G22" s="204"/>
      <c r="H22" s="88">
        <v>176.5</v>
      </c>
      <c r="I22" s="28"/>
      <c r="J22" s="28"/>
      <c r="K22" s="226">
        <f t="shared" si="0"/>
        <v>211.9</v>
      </c>
      <c r="M22" s="72">
        <v>45855</v>
      </c>
      <c r="N22" s="73">
        <v>4264.74</v>
      </c>
      <c r="O22" s="75"/>
      <c r="P22" s="74">
        <v>6.62</v>
      </c>
      <c r="Q22" s="204"/>
      <c r="R22" s="215"/>
      <c r="S22" s="28"/>
      <c r="T22" s="28"/>
      <c r="U22" s="226">
        <f t="shared" si="1"/>
        <v>6.62</v>
      </c>
      <c r="W22" s="72">
        <v>45855</v>
      </c>
      <c r="X22" s="73">
        <v>4314.32</v>
      </c>
      <c r="Y22" s="73">
        <v>216.45</v>
      </c>
      <c r="Z22" s="75"/>
      <c r="AA22" s="73">
        <v>0</v>
      </c>
      <c r="AB22" s="204"/>
      <c r="AC22" s="88">
        <v>39.467520000000007</v>
      </c>
      <c r="AD22" s="329"/>
      <c r="AE22" s="28"/>
      <c r="AF22" s="226">
        <f t="shared" si="15"/>
        <v>39.467520000000007</v>
      </c>
      <c r="AI22" s="72">
        <v>45855</v>
      </c>
      <c r="AJ22" s="73">
        <v>851.38</v>
      </c>
      <c r="AK22" s="75"/>
      <c r="AL22" s="74"/>
      <c r="AM22" s="204"/>
      <c r="AN22" s="215"/>
      <c r="AO22" s="28"/>
      <c r="AP22" s="28"/>
      <c r="AQ22" s="226">
        <f t="shared" si="16"/>
        <v>0</v>
      </c>
      <c r="AS22" s="72">
        <v>45855</v>
      </c>
      <c r="AT22" s="73">
        <v>2956.88</v>
      </c>
      <c r="AU22" s="75"/>
      <c r="AV22" s="76"/>
      <c r="AW22" s="204"/>
      <c r="AX22" s="215"/>
      <c r="AY22" s="28"/>
      <c r="AZ22" s="28"/>
      <c r="BA22" s="226">
        <f t="shared" si="17"/>
        <v>0</v>
      </c>
      <c r="BC22" s="72">
        <v>45855</v>
      </c>
      <c r="BD22" s="73">
        <v>2645.66</v>
      </c>
      <c r="BE22" s="75"/>
      <c r="BF22" s="76">
        <v>7.74</v>
      </c>
      <c r="BG22" s="204"/>
      <c r="BH22" s="88"/>
      <c r="BI22" s="28"/>
      <c r="BJ22" s="28"/>
      <c r="BK22" s="226">
        <f t="shared" si="18"/>
        <v>7.74</v>
      </c>
      <c r="BM22" s="72">
        <v>45855</v>
      </c>
      <c r="BN22" s="73">
        <v>15105.62</v>
      </c>
      <c r="BO22" s="73">
        <v>3310.6</v>
      </c>
      <c r="BP22" s="73">
        <v>7426.28</v>
      </c>
      <c r="BQ22" s="75"/>
      <c r="BR22" s="75"/>
      <c r="BS22" s="204"/>
      <c r="BT22" s="88">
        <v>31.149019718309859</v>
      </c>
      <c r="BU22" s="329">
        <v>160.40575000000001</v>
      </c>
      <c r="BV22" s="28"/>
      <c r="BW22" s="226">
        <f t="shared" si="6"/>
        <v>191.55476971830987</v>
      </c>
      <c r="BY22" s="72">
        <v>45855</v>
      </c>
      <c r="BZ22" s="77">
        <v>1016.92</v>
      </c>
      <c r="CA22" s="78">
        <v>555.15</v>
      </c>
      <c r="CB22" s="75"/>
      <c r="CC22" s="74"/>
      <c r="CD22" s="204"/>
      <c r="CE22" s="215"/>
      <c r="CF22" s="329"/>
      <c r="CG22" s="335"/>
      <c r="CH22" s="226">
        <f t="shared" si="7"/>
        <v>0</v>
      </c>
      <c r="CJ22" s="72">
        <v>45855</v>
      </c>
      <c r="CK22" s="73">
        <v>4336.3999999999996</v>
      </c>
      <c r="CL22" s="73">
        <v>518.52</v>
      </c>
      <c r="CM22" s="75"/>
      <c r="CN22" s="74">
        <v>3.98</v>
      </c>
      <c r="CO22" s="204"/>
      <c r="CP22" s="88">
        <v>179.48636999999988</v>
      </c>
      <c r="CQ22" s="329">
        <v>14.843889999999988</v>
      </c>
      <c r="CR22" s="28"/>
      <c r="CS22" s="226">
        <f t="shared" si="8"/>
        <v>198.31025999999986</v>
      </c>
      <c r="CU22" s="72">
        <v>45855</v>
      </c>
      <c r="CV22" s="73">
        <v>7373.55</v>
      </c>
      <c r="CW22" s="80">
        <v>757.02</v>
      </c>
      <c r="CX22" s="75"/>
      <c r="CY22" s="76">
        <v>296.10000000000002</v>
      </c>
      <c r="CZ22" s="204"/>
      <c r="DA22" s="88"/>
      <c r="DB22" s="28"/>
      <c r="DC22" s="28"/>
      <c r="DD22" s="226">
        <f t="shared" si="9"/>
        <v>296.10000000000002</v>
      </c>
      <c r="DG22" s="72">
        <v>45855</v>
      </c>
      <c r="DH22" s="73">
        <v>1737.24</v>
      </c>
      <c r="DI22" s="80">
        <v>113.71</v>
      </c>
      <c r="DJ22" s="80"/>
      <c r="DK22" s="74">
        <v>4</v>
      </c>
      <c r="DL22" s="204"/>
      <c r="DM22" s="88">
        <v>-1.0799099999999981</v>
      </c>
      <c r="DN22" s="28"/>
      <c r="DO22" s="28"/>
      <c r="DP22" s="226">
        <f t="shared" si="10"/>
        <v>2.9200900000000019</v>
      </c>
      <c r="DR22" s="72">
        <v>45855</v>
      </c>
      <c r="DS22" s="73">
        <v>1008.76</v>
      </c>
      <c r="DT22" s="80">
        <v>1677.43</v>
      </c>
      <c r="DU22" s="80"/>
      <c r="DV22" s="74">
        <v>25.11</v>
      </c>
      <c r="DW22" s="204"/>
      <c r="DX22" s="215"/>
      <c r="DY22" s="328"/>
      <c r="DZ22" s="28"/>
      <c r="EA22" s="226">
        <f t="shared" si="11"/>
        <v>25.11</v>
      </c>
      <c r="EC22" s="72">
        <v>45855</v>
      </c>
      <c r="ED22" s="73">
        <v>1108.69</v>
      </c>
      <c r="EE22" s="80">
        <v>597.59</v>
      </c>
      <c r="EF22" s="80"/>
      <c r="EG22" s="239">
        <v>0</v>
      </c>
      <c r="EH22" s="204"/>
      <c r="EI22" s="88">
        <v>861.95279000000005</v>
      </c>
      <c r="EJ22" s="328"/>
      <c r="EK22" s="335"/>
      <c r="EL22" s="226">
        <f t="shared" si="12"/>
        <v>861.95279000000005</v>
      </c>
      <c r="EN22" s="72">
        <v>45855</v>
      </c>
      <c r="EO22" s="73">
        <v>3107.54</v>
      </c>
      <c r="EP22" s="81">
        <v>447.59</v>
      </c>
      <c r="EQ22" s="80"/>
      <c r="ER22" s="74">
        <v>109.2</v>
      </c>
      <c r="ES22" s="204"/>
      <c r="ET22" s="88">
        <v>33.094799999999992</v>
      </c>
      <c r="EU22" s="328">
        <v>469.24999999999989</v>
      </c>
      <c r="EV22" s="28"/>
      <c r="EW22" s="226">
        <f t="shared" si="13"/>
        <v>611.5447999999999</v>
      </c>
      <c r="EY22" s="72">
        <v>45855</v>
      </c>
      <c r="EZ22" s="73">
        <v>714.76</v>
      </c>
      <c r="FA22" s="73">
        <v>100</v>
      </c>
      <c r="FB22" s="75"/>
      <c r="FC22" s="74"/>
      <c r="FD22" s="204"/>
      <c r="FE22" s="215"/>
      <c r="FF22" s="28"/>
      <c r="FG22" s="28"/>
      <c r="FH22" s="226">
        <f t="shared" si="14"/>
        <v>0</v>
      </c>
    </row>
    <row r="23" spans="2:164" x14ac:dyDescent="0.25">
      <c r="B23" s="72">
        <v>45856</v>
      </c>
      <c r="C23" s="73">
        <v>10043.36</v>
      </c>
      <c r="D23" s="75"/>
      <c r="E23" s="75"/>
      <c r="F23" s="75">
        <v>35.4</v>
      </c>
      <c r="G23" s="204"/>
      <c r="H23" s="88"/>
      <c r="I23" s="28"/>
      <c r="J23" s="28"/>
      <c r="K23" s="226">
        <f t="shared" si="0"/>
        <v>35.4</v>
      </c>
      <c r="M23" s="72">
        <v>45856</v>
      </c>
      <c r="N23" s="73">
        <v>5055.1400000000003</v>
      </c>
      <c r="O23" s="75"/>
      <c r="P23" s="74">
        <v>48.71</v>
      </c>
      <c r="Q23" s="204"/>
      <c r="R23" s="215"/>
      <c r="S23" s="28"/>
      <c r="T23" s="28"/>
      <c r="U23" s="226">
        <f t="shared" si="1"/>
        <v>48.71</v>
      </c>
      <c r="W23" s="72">
        <v>45856</v>
      </c>
      <c r="X23" s="73">
        <v>3242.4</v>
      </c>
      <c r="Y23" s="73">
        <v>85.02</v>
      </c>
      <c r="Z23" s="75"/>
      <c r="AA23" s="73">
        <v>5.13</v>
      </c>
      <c r="AB23" s="204"/>
      <c r="AC23" s="88">
        <v>6.4972799999999964</v>
      </c>
      <c r="AD23" s="329"/>
      <c r="AE23" s="28"/>
      <c r="AF23" s="226">
        <f t="shared" si="15"/>
        <v>11.627279999999995</v>
      </c>
      <c r="AI23" s="72">
        <v>45856</v>
      </c>
      <c r="AJ23" s="73">
        <v>1283.77</v>
      </c>
      <c r="AK23" s="75"/>
      <c r="AL23" s="74"/>
      <c r="AM23" s="204"/>
      <c r="AN23" s="215"/>
      <c r="AO23" s="28"/>
      <c r="AP23" s="28"/>
      <c r="AQ23" s="226">
        <f t="shared" si="16"/>
        <v>0</v>
      </c>
      <c r="AS23" s="72">
        <v>45856</v>
      </c>
      <c r="AT23" s="73">
        <v>3698.2</v>
      </c>
      <c r="AU23" s="75"/>
      <c r="AV23" s="76"/>
      <c r="AW23" s="204"/>
      <c r="AX23" s="215"/>
      <c r="AY23" s="28"/>
      <c r="AZ23" s="28"/>
      <c r="BA23" s="226">
        <f t="shared" si="17"/>
        <v>0</v>
      </c>
      <c r="BC23" s="72">
        <v>45856</v>
      </c>
      <c r="BD23" s="73">
        <v>2868.2</v>
      </c>
      <c r="BE23" s="75"/>
      <c r="BF23" s="76">
        <v>23.29</v>
      </c>
      <c r="BG23" s="204"/>
      <c r="BH23" s="88"/>
      <c r="BI23" s="28"/>
      <c r="BJ23" s="28"/>
      <c r="BK23" s="226">
        <f t="shared" si="18"/>
        <v>23.29</v>
      </c>
      <c r="BM23" s="72">
        <v>45856</v>
      </c>
      <c r="BN23" s="73">
        <v>15278.32</v>
      </c>
      <c r="BO23" s="73">
        <v>2914.45</v>
      </c>
      <c r="BP23" s="73">
        <v>9276.7900000000009</v>
      </c>
      <c r="BQ23" s="75"/>
      <c r="BR23" s="75"/>
      <c r="BS23" s="204"/>
      <c r="BT23" s="88">
        <v>332.22335012898606</v>
      </c>
      <c r="BU23" s="329">
        <v>50.363500000000002</v>
      </c>
      <c r="BV23" s="28"/>
      <c r="BW23" s="226">
        <f t="shared" si="6"/>
        <v>382.58685012898604</v>
      </c>
      <c r="BY23" s="72">
        <v>45856</v>
      </c>
      <c r="BZ23" s="77">
        <v>896.42</v>
      </c>
      <c r="CA23" s="78">
        <v>428.79</v>
      </c>
      <c r="CB23" s="75"/>
      <c r="CC23" s="74"/>
      <c r="CD23" s="204"/>
      <c r="CE23" s="215"/>
      <c r="CF23" s="329"/>
      <c r="CG23" s="335"/>
      <c r="CH23" s="226">
        <f t="shared" si="7"/>
        <v>0</v>
      </c>
      <c r="CJ23" s="72">
        <v>45856</v>
      </c>
      <c r="CK23" s="73">
        <v>6721.68</v>
      </c>
      <c r="CL23" s="73">
        <v>395.48</v>
      </c>
      <c r="CM23" s="75"/>
      <c r="CN23" s="74">
        <v>30.93</v>
      </c>
      <c r="CO23" s="204"/>
      <c r="CP23" s="88"/>
      <c r="CQ23" s="329">
        <v>13.701039999999992</v>
      </c>
      <c r="CR23" s="28"/>
      <c r="CS23" s="226">
        <f t="shared" si="8"/>
        <v>44.631039999999992</v>
      </c>
      <c r="CU23" s="72">
        <v>45856</v>
      </c>
      <c r="CV23" s="73">
        <v>5926.12</v>
      </c>
      <c r="CW23" s="80">
        <v>1058.95</v>
      </c>
      <c r="CX23" s="75"/>
      <c r="CY23" s="76">
        <v>159.72</v>
      </c>
      <c r="CZ23" s="204"/>
      <c r="DA23" s="88">
        <v>208.1599999999998</v>
      </c>
      <c r="DB23" s="28"/>
      <c r="DC23" s="28"/>
      <c r="DD23" s="226">
        <f t="shared" si="9"/>
        <v>367.87999999999977</v>
      </c>
      <c r="DG23" s="72">
        <v>45856</v>
      </c>
      <c r="DH23" s="73">
        <v>1545.31</v>
      </c>
      <c r="DI23" s="80">
        <v>478.71</v>
      </c>
      <c r="DJ23" s="80"/>
      <c r="DK23" s="74">
        <v>36.4</v>
      </c>
      <c r="DL23" s="204"/>
      <c r="DM23" s="88">
        <v>13.723140000000001</v>
      </c>
      <c r="DN23" s="28"/>
      <c r="DO23" s="28"/>
      <c r="DP23" s="226">
        <f t="shared" si="10"/>
        <v>50.123139999999999</v>
      </c>
      <c r="DR23" s="72">
        <v>45856</v>
      </c>
      <c r="DS23" s="73">
        <v>1329.59</v>
      </c>
      <c r="DT23" s="80">
        <v>1789.47</v>
      </c>
      <c r="DU23" s="80"/>
      <c r="DV23" s="74">
        <v>26.51</v>
      </c>
      <c r="DW23" s="204"/>
      <c r="DX23" s="215"/>
      <c r="DY23" s="328"/>
      <c r="DZ23" s="28"/>
      <c r="EA23" s="226">
        <f t="shared" si="11"/>
        <v>26.51</v>
      </c>
      <c r="EC23" s="72">
        <v>45856</v>
      </c>
      <c r="ED23" s="73">
        <v>1533.73</v>
      </c>
      <c r="EE23" s="80">
        <v>819.83</v>
      </c>
      <c r="EF23" s="80"/>
      <c r="EG23" s="239">
        <v>0</v>
      </c>
      <c r="EH23" s="204"/>
      <c r="EI23" s="88">
        <v>627.98361</v>
      </c>
      <c r="EJ23" s="328">
        <v>70.45999999999998</v>
      </c>
      <c r="EK23" s="335"/>
      <c r="EL23" s="226">
        <f t="shared" si="12"/>
        <v>698.44361000000004</v>
      </c>
      <c r="EN23" s="72">
        <v>45856</v>
      </c>
      <c r="EO23" s="73">
        <v>2996.64</v>
      </c>
      <c r="EP23" s="81">
        <v>530.95000000000005</v>
      </c>
      <c r="EQ23" s="80"/>
      <c r="ER23" s="74">
        <v>21</v>
      </c>
      <c r="ES23" s="204"/>
      <c r="ET23" s="88">
        <v>21.027239999999992</v>
      </c>
      <c r="EU23" s="328"/>
      <c r="EV23" s="28"/>
      <c r="EW23" s="226">
        <f t="shared" si="13"/>
        <v>42.027239999999992</v>
      </c>
      <c r="EY23" s="72">
        <v>45856</v>
      </c>
      <c r="EZ23" s="73">
        <v>652.96</v>
      </c>
      <c r="FA23" s="73">
        <v>108</v>
      </c>
      <c r="FB23" s="75"/>
      <c r="FC23" s="74"/>
      <c r="FD23" s="204"/>
      <c r="FE23" s="215"/>
      <c r="FF23" s="28"/>
      <c r="FG23" s="28"/>
      <c r="FH23" s="226">
        <f t="shared" si="14"/>
        <v>0</v>
      </c>
    </row>
    <row r="24" spans="2:164" x14ac:dyDescent="0.25">
      <c r="B24" s="72">
        <v>45857</v>
      </c>
      <c r="C24" s="73">
        <v>11806.13</v>
      </c>
      <c r="D24" s="75"/>
      <c r="E24" s="75"/>
      <c r="F24" s="75">
        <v>40.549999999999997</v>
      </c>
      <c r="G24" s="204"/>
      <c r="H24" s="88"/>
      <c r="I24" s="28"/>
      <c r="J24" s="28"/>
      <c r="K24" s="226">
        <f t="shared" si="0"/>
        <v>40.549999999999997</v>
      </c>
      <c r="M24" s="72">
        <v>45857</v>
      </c>
      <c r="N24" s="73">
        <v>3362.6</v>
      </c>
      <c r="O24" s="75"/>
      <c r="P24" s="74">
        <v>18.190000000000001</v>
      </c>
      <c r="Q24" s="204"/>
      <c r="R24" s="215"/>
      <c r="S24" s="28"/>
      <c r="T24" s="28"/>
      <c r="U24" s="226">
        <f t="shared" si="1"/>
        <v>18.190000000000001</v>
      </c>
      <c r="W24" s="72">
        <v>45857</v>
      </c>
      <c r="X24" s="73">
        <v>1329.92</v>
      </c>
      <c r="Y24" s="73">
        <v>539.54999999999995</v>
      </c>
      <c r="Z24" s="75"/>
      <c r="AA24" s="73">
        <v>0</v>
      </c>
      <c r="AB24" s="204"/>
      <c r="AC24" s="88">
        <v>6.4563200000000052</v>
      </c>
      <c r="AD24" s="329">
        <v>58.680599999999998</v>
      </c>
      <c r="AE24" s="28"/>
      <c r="AF24" s="226">
        <f t="shared" si="15"/>
        <v>65.136920000000003</v>
      </c>
      <c r="AI24" s="72">
        <v>45857</v>
      </c>
      <c r="AJ24" s="73">
        <v>861.12</v>
      </c>
      <c r="AK24" s="75"/>
      <c r="AL24" s="74"/>
      <c r="AM24" s="204"/>
      <c r="AN24" s="215"/>
      <c r="AO24" s="28"/>
      <c r="AP24" s="28"/>
      <c r="AQ24" s="226">
        <f t="shared" si="16"/>
        <v>0</v>
      </c>
      <c r="AS24" s="72">
        <v>45857</v>
      </c>
      <c r="AT24" s="73">
        <v>5396.58</v>
      </c>
      <c r="AU24" s="75"/>
      <c r="AV24" s="76"/>
      <c r="AW24" s="204"/>
      <c r="AX24" s="215"/>
      <c r="AY24" s="28"/>
      <c r="AZ24" s="28"/>
      <c r="BA24" s="226">
        <f t="shared" si="17"/>
        <v>0</v>
      </c>
      <c r="BC24" s="72">
        <v>45857</v>
      </c>
      <c r="BD24" s="73">
        <v>3844.38</v>
      </c>
      <c r="BE24" s="75"/>
      <c r="BF24" s="76">
        <v>3.13</v>
      </c>
      <c r="BG24" s="204"/>
      <c r="BH24" s="88"/>
      <c r="BI24" s="28"/>
      <c r="BJ24" s="28"/>
      <c r="BK24" s="226">
        <f t="shared" si="18"/>
        <v>3.13</v>
      </c>
      <c r="BM24" s="72">
        <v>45857</v>
      </c>
      <c r="BN24" s="73">
        <v>13467.27</v>
      </c>
      <c r="BO24" s="73">
        <v>2720.88</v>
      </c>
      <c r="BP24" s="73">
        <v>7537.73</v>
      </c>
      <c r="BQ24" s="75"/>
      <c r="BR24" s="75"/>
      <c r="BS24" s="204"/>
      <c r="BT24" s="88">
        <v>68.895172225259699</v>
      </c>
      <c r="BU24" s="329"/>
      <c r="BV24" s="28"/>
      <c r="BW24" s="226">
        <f t="shared" si="6"/>
        <v>68.895172225259699</v>
      </c>
      <c r="BY24" s="72">
        <v>45857</v>
      </c>
      <c r="BZ24" s="77">
        <v>828.56</v>
      </c>
      <c r="CA24" s="82">
        <v>406.24</v>
      </c>
      <c r="CB24" s="75"/>
      <c r="CC24" s="74"/>
      <c r="CD24" s="204"/>
      <c r="CE24" s="215"/>
      <c r="CF24" s="329">
        <v>14.187450000000069</v>
      </c>
      <c r="CG24" s="335"/>
      <c r="CH24" s="226">
        <f t="shared" si="7"/>
        <v>14.187450000000069</v>
      </c>
      <c r="CJ24" s="72">
        <v>45857</v>
      </c>
      <c r="CK24" s="73">
        <v>4473.0200000000004</v>
      </c>
      <c r="CL24" s="73">
        <v>435</v>
      </c>
      <c r="CM24" s="75"/>
      <c r="CN24" s="74">
        <v>1.51</v>
      </c>
      <c r="CO24" s="204"/>
      <c r="CP24" s="88"/>
      <c r="CQ24" s="329"/>
      <c r="CR24" s="28"/>
      <c r="CS24" s="226">
        <f t="shared" si="8"/>
        <v>1.51</v>
      </c>
      <c r="CU24" s="72">
        <v>45857</v>
      </c>
      <c r="CV24" s="73">
        <v>8810.85</v>
      </c>
      <c r="CW24" s="80">
        <v>373.19</v>
      </c>
      <c r="CX24" s="75"/>
      <c r="CY24" s="76">
        <v>87.35</v>
      </c>
      <c r="CZ24" s="204"/>
      <c r="DA24" s="88">
        <v>109.04000000000035</v>
      </c>
      <c r="DB24" s="28"/>
      <c r="DC24" s="28"/>
      <c r="DD24" s="226">
        <f t="shared" si="9"/>
        <v>196.39000000000033</v>
      </c>
      <c r="DG24" s="72">
        <v>45857</v>
      </c>
      <c r="DH24" s="73">
        <v>1981.69</v>
      </c>
      <c r="DI24" s="80">
        <v>323.05</v>
      </c>
      <c r="DJ24" s="80"/>
      <c r="DK24" s="74">
        <v>4</v>
      </c>
      <c r="DL24" s="204"/>
      <c r="DM24" s="88">
        <v>12.322640000000007</v>
      </c>
      <c r="DN24" s="28"/>
      <c r="DO24" s="28"/>
      <c r="DP24" s="226">
        <f t="shared" si="10"/>
        <v>16.322640000000007</v>
      </c>
      <c r="DR24" s="72">
        <v>45857</v>
      </c>
      <c r="DS24" s="73">
        <v>1422.49</v>
      </c>
      <c r="DT24" s="80">
        <v>1618.87</v>
      </c>
      <c r="DU24" s="80"/>
      <c r="DV24" s="74">
        <v>0</v>
      </c>
      <c r="DW24" s="204"/>
      <c r="DX24" s="215"/>
      <c r="DY24" s="328">
        <v>17.710040000000021</v>
      </c>
      <c r="DZ24" s="28"/>
      <c r="EA24" s="226">
        <f t="shared" si="11"/>
        <v>17.710040000000021</v>
      </c>
      <c r="EC24" s="72">
        <v>45857</v>
      </c>
      <c r="ED24" s="73">
        <v>845.3</v>
      </c>
      <c r="EE24" s="80">
        <v>531.61</v>
      </c>
      <c r="EF24" s="80"/>
      <c r="EG24" s="239">
        <v>0</v>
      </c>
      <c r="EH24" s="204"/>
      <c r="EI24" s="88">
        <v>774.18693000000007</v>
      </c>
      <c r="EJ24" s="328">
        <v>145.32</v>
      </c>
      <c r="EK24" s="335"/>
      <c r="EL24" s="226">
        <f t="shared" si="12"/>
        <v>919.50693000000001</v>
      </c>
      <c r="EN24" s="72">
        <v>45857</v>
      </c>
      <c r="EO24" s="73">
        <v>6222.8</v>
      </c>
      <c r="EP24" s="81">
        <v>145.46</v>
      </c>
      <c r="EQ24" s="80"/>
      <c r="ER24" s="74">
        <v>25.7</v>
      </c>
      <c r="ES24" s="204"/>
      <c r="ET24" s="88"/>
      <c r="EU24" s="328">
        <v>229.35043999999994</v>
      </c>
      <c r="EV24" s="28"/>
      <c r="EW24" s="226">
        <f t="shared" si="13"/>
        <v>255.05043999999992</v>
      </c>
      <c r="EY24" s="72">
        <v>45857</v>
      </c>
      <c r="EZ24" s="73">
        <v>646</v>
      </c>
      <c r="FA24" s="73">
        <v>125</v>
      </c>
      <c r="FB24" s="75"/>
      <c r="FC24" s="74"/>
      <c r="FD24" s="204"/>
      <c r="FE24" s="215"/>
      <c r="FF24" s="28"/>
      <c r="FG24" s="28"/>
      <c r="FH24" s="226">
        <f t="shared" si="14"/>
        <v>0</v>
      </c>
    </row>
    <row r="25" spans="2:164" x14ac:dyDescent="0.25">
      <c r="B25" s="72">
        <v>45858</v>
      </c>
      <c r="C25" s="73">
        <v>10419.02</v>
      </c>
      <c r="D25" s="74"/>
      <c r="E25" s="75"/>
      <c r="F25" s="74">
        <v>84.89</v>
      </c>
      <c r="G25" s="204"/>
      <c r="H25" s="88"/>
      <c r="I25" s="28"/>
      <c r="J25" s="28"/>
      <c r="K25" s="226">
        <f t="shared" si="0"/>
        <v>84.89</v>
      </c>
      <c r="M25" s="72">
        <v>45858</v>
      </c>
      <c r="N25" s="73">
        <v>2357.66</v>
      </c>
      <c r="O25" s="75"/>
      <c r="P25" s="74">
        <v>22.61</v>
      </c>
      <c r="Q25" s="204"/>
      <c r="R25" s="215"/>
      <c r="S25" s="28"/>
      <c r="T25" s="28"/>
      <c r="U25" s="226">
        <f t="shared" si="1"/>
        <v>22.61</v>
      </c>
      <c r="W25" s="72">
        <v>45858</v>
      </c>
      <c r="X25" s="73">
        <v>1502.19</v>
      </c>
      <c r="Y25" s="73">
        <v>176.15</v>
      </c>
      <c r="Z25" s="75"/>
      <c r="AA25" s="73">
        <v>0</v>
      </c>
      <c r="AB25" s="204"/>
      <c r="AC25" s="88"/>
      <c r="AD25" s="329"/>
      <c r="AE25" s="28"/>
      <c r="AF25" s="226">
        <f t="shared" si="15"/>
        <v>0</v>
      </c>
      <c r="AI25" s="72">
        <v>45858</v>
      </c>
      <c r="AJ25" s="73">
        <v>1583.13</v>
      </c>
      <c r="AK25" s="75"/>
      <c r="AL25" s="74"/>
      <c r="AM25" s="204"/>
      <c r="AN25" s="215"/>
      <c r="AO25" s="28"/>
      <c r="AP25" s="28"/>
      <c r="AQ25" s="226">
        <f t="shared" si="16"/>
        <v>0</v>
      </c>
      <c r="AS25" s="72">
        <v>45858</v>
      </c>
      <c r="AT25" s="73">
        <v>2759.64</v>
      </c>
      <c r="AU25" s="75"/>
      <c r="AV25" s="76"/>
      <c r="AW25" s="204"/>
      <c r="AX25" s="215"/>
      <c r="AY25" s="28"/>
      <c r="AZ25" s="28"/>
      <c r="BA25" s="226">
        <f t="shared" si="17"/>
        <v>0</v>
      </c>
      <c r="BC25" s="72">
        <v>45858</v>
      </c>
      <c r="BD25" s="73">
        <v>1653.42</v>
      </c>
      <c r="BE25" s="75"/>
      <c r="BF25" s="76">
        <v>0</v>
      </c>
      <c r="BG25" s="204"/>
      <c r="BH25" s="88"/>
      <c r="BI25" s="28"/>
      <c r="BJ25" s="28"/>
      <c r="BK25" s="226">
        <f t="shared" si="18"/>
        <v>0</v>
      </c>
      <c r="BM25" s="72">
        <v>45858</v>
      </c>
      <c r="BN25" s="73">
        <v>11059.65</v>
      </c>
      <c r="BO25" s="73">
        <v>2334.61</v>
      </c>
      <c r="BP25" s="73">
        <v>4771.49</v>
      </c>
      <c r="BQ25" s="75"/>
      <c r="BR25" s="75"/>
      <c r="BS25" s="204"/>
      <c r="BT25" s="88">
        <v>176.33451256082225</v>
      </c>
      <c r="BU25" s="329"/>
      <c r="BV25" s="28"/>
      <c r="BW25" s="226">
        <f t="shared" si="6"/>
        <v>176.33451256082225</v>
      </c>
      <c r="BY25" s="72">
        <v>45858</v>
      </c>
      <c r="BZ25" s="77">
        <v>676.44</v>
      </c>
      <c r="CA25" s="82">
        <v>600.57000000000005</v>
      </c>
      <c r="CB25" s="75"/>
      <c r="CC25" s="74"/>
      <c r="CD25" s="204"/>
      <c r="CE25" s="215"/>
      <c r="CF25" s="329">
        <v>61.292810000000145</v>
      </c>
      <c r="CG25" s="335"/>
      <c r="CH25" s="226">
        <f t="shared" si="7"/>
        <v>61.292810000000145</v>
      </c>
      <c r="CJ25" s="72">
        <v>45858</v>
      </c>
      <c r="CK25" s="73">
        <v>3302.18</v>
      </c>
      <c r="CL25" s="73">
        <v>488.66</v>
      </c>
      <c r="CM25" s="75"/>
      <c r="CN25" s="74">
        <v>0</v>
      </c>
      <c r="CO25" s="204"/>
      <c r="CP25" s="88"/>
      <c r="CQ25" s="329"/>
      <c r="CR25" s="28"/>
      <c r="CS25" s="226">
        <f t="shared" si="8"/>
        <v>0</v>
      </c>
      <c r="CU25" s="72">
        <v>45858</v>
      </c>
      <c r="CV25" s="73">
        <v>11470.35</v>
      </c>
      <c r="CW25" s="80">
        <v>455.03</v>
      </c>
      <c r="CX25" s="75"/>
      <c r="CY25" s="76">
        <v>158.29</v>
      </c>
      <c r="CZ25" s="204"/>
      <c r="DA25" s="88">
        <v>136.88000000000039</v>
      </c>
      <c r="DB25" s="28"/>
      <c r="DC25" s="28"/>
      <c r="DD25" s="226">
        <f t="shared" si="9"/>
        <v>295.17000000000041</v>
      </c>
      <c r="DG25" s="72">
        <v>45858</v>
      </c>
      <c r="DH25" s="73">
        <v>1238.67</v>
      </c>
      <c r="DI25" s="80">
        <v>645.54</v>
      </c>
      <c r="DJ25" s="80"/>
      <c r="DK25" s="74">
        <v>0</v>
      </c>
      <c r="DL25" s="204"/>
      <c r="DM25" s="88">
        <v>-2.0445100000000309</v>
      </c>
      <c r="DN25" s="28"/>
      <c r="DO25" s="28"/>
      <c r="DP25" s="226">
        <f t="shared" si="10"/>
        <v>-2.0445100000000309</v>
      </c>
      <c r="DR25" s="72">
        <v>45858</v>
      </c>
      <c r="DS25" s="73">
        <v>1103</v>
      </c>
      <c r="DT25" s="80">
        <v>1456.89</v>
      </c>
      <c r="DU25" s="80"/>
      <c r="DV25" s="74">
        <v>13.28</v>
      </c>
      <c r="DW25" s="204"/>
      <c r="DX25" s="215"/>
      <c r="DY25" s="328"/>
      <c r="DZ25" s="28"/>
      <c r="EA25" s="226">
        <f t="shared" si="11"/>
        <v>13.28</v>
      </c>
      <c r="EC25" s="72">
        <v>45858</v>
      </c>
      <c r="ED25" s="73">
        <v>706.81</v>
      </c>
      <c r="EE25" s="80">
        <v>541.66999999999996</v>
      </c>
      <c r="EF25" s="80"/>
      <c r="EG25" s="239">
        <v>0</v>
      </c>
      <c r="EH25" s="204"/>
      <c r="EI25" s="88">
        <v>148.87520000000001</v>
      </c>
      <c r="EJ25" s="328"/>
      <c r="EK25" s="335"/>
      <c r="EL25" s="226">
        <f t="shared" si="12"/>
        <v>148.87520000000001</v>
      </c>
      <c r="EN25" s="72">
        <v>45858</v>
      </c>
      <c r="EO25" s="73">
        <v>2873.43</v>
      </c>
      <c r="EP25" s="81">
        <v>247.85</v>
      </c>
      <c r="EQ25" s="80"/>
      <c r="ER25" s="74">
        <v>0</v>
      </c>
      <c r="ES25" s="204"/>
      <c r="ET25" s="88"/>
      <c r="EU25" s="328">
        <v>14.259999999999998</v>
      </c>
      <c r="EV25" s="28"/>
      <c r="EW25" s="226">
        <f t="shared" si="13"/>
        <v>14.259999999999998</v>
      </c>
      <c r="EY25" s="72">
        <v>45858</v>
      </c>
      <c r="EZ25" s="73">
        <v>614.1</v>
      </c>
      <c r="FA25" s="73">
        <v>289</v>
      </c>
      <c r="FB25" s="75"/>
      <c r="FC25" s="74"/>
      <c r="FD25" s="204"/>
      <c r="FE25" s="215"/>
      <c r="FF25" s="28"/>
      <c r="FG25" s="28"/>
      <c r="FH25" s="226">
        <f t="shared" si="14"/>
        <v>0</v>
      </c>
    </row>
    <row r="26" spans="2:164" x14ac:dyDescent="0.25">
      <c r="B26" s="72">
        <v>45859</v>
      </c>
      <c r="C26" s="73">
        <v>7641.34</v>
      </c>
      <c r="D26" s="74"/>
      <c r="E26" s="75"/>
      <c r="F26" s="74">
        <v>0</v>
      </c>
      <c r="G26" s="204"/>
      <c r="H26" s="88"/>
      <c r="I26" s="28"/>
      <c r="J26" s="28"/>
      <c r="K26" s="226">
        <f t="shared" si="0"/>
        <v>0</v>
      </c>
      <c r="M26" s="72">
        <v>45859</v>
      </c>
      <c r="N26" s="73">
        <v>4140.8999999999996</v>
      </c>
      <c r="O26" s="75"/>
      <c r="P26" s="74">
        <v>31.42</v>
      </c>
      <c r="Q26" s="204"/>
      <c r="R26" s="215"/>
      <c r="S26" s="28"/>
      <c r="T26" s="28"/>
      <c r="U26" s="226">
        <f t="shared" si="1"/>
        <v>31.42</v>
      </c>
      <c r="W26" s="72">
        <v>45859</v>
      </c>
      <c r="X26" s="73">
        <v>2287</v>
      </c>
      <c r="Y26" s="73">
        <v>141</v>
      </c>
      <c r="Z26" s="75"/>
      <c r="AA26" s="73">
        <v>0</v>
      </c>
      <c r="AB26" s="204"/>
      <c r="AC26" s="88">
        <v>35.849099999999993</v>
      </c>
      <c r="AD26" s="329"/>
      <c r="AE26" s="28"/>
      <c r="AF26" s="226">
        <f t="shared" si="15"/>
        <v>35.849099999999993</v>
      </c>
      <c r="AI26" s="72">
        <v>45859</v>
      </c>
      <c r="AJ26" s="73">
        <v>1702.07</v>
      </c>
      <c r="AK26" s="75"/>
      <c r="AL26" s="74"/>
      <c r="AM26" s="204"/>
      <c r="AN26" s="215"/>
      <c r="AO26" s="28"/>
      <c r="AP26" s="28"/>
      <c r="AQ26" s="226">
        <f t="shared" si="16"/>
        <v>0</v>
      </c>
      <c r="AS26" s="72">
        <v>45859</v>
      </c>
      <c r="AT26" s="73">
        <v>2080.4899999999998</v>
      </c>
      <c r="AU26" s="75"/>
      <c r="AV26" s="76"/>
      <c r="AW26" s="204"/>
      <c r="AX26" s="215"/>
      <c r="AY26" s="28"/>
      <c r="AZ26" s="28"/>
      <c r="BA26" s="226">
        <f t="shared" si="17"/>
        <v>0</v>
      </c>
      <c r="BC26" s="72">
        <v>45859</v>
      </c>
      <c r="BD26" s="73">
        <v>2680</v>
      </c>
      <c r="BE26" s="75"/>
      <c r="BF26" s="76">
        <v>5.13</v>
      </c>
      <c r="BG26" s="204"/>
      <c r="BH26" s="88"/>
      <c r="BI26" s="28"/>
      <c r="BJ26" s="28"/>
      <c r="BK26" s="226">
        <f t="shared" si="18"/>
        <v>5.13</v>
      </c>
      <c r="BM26" s="72">
        <v>45859</v>
      </c>
      <c r="BN26" s="73">
        <v>11128.18</v>
      </c>
      <c r="BO26" s="73">
        <v>2796.28</v>
      </c>
      <c r="BP26" s="73">
        <v>7486.41</v>
      </c>
      <c r="BQ26" s="75"/>
      <c r="BR26" s="75"/>
      <c r="BS26" s="204"/>
      <c r="BT26" s="88">
        <v>159.17486671235724</v>
      </c>
      <c r="BU26" s="329">
        <v>528.57311000000004</v>
      </c>
      <c r="BV26" s="28"/>
      <c r="BW26" s="226">
        <f t="shared" si="6"/>
        <v>687.74797671235729</v>
      </c>
      <c r="BY26" s="72">
        <v>45859</v>
      </c>
      <c r="BZ26" s="77">
        <v>801.18</v>
      </c>
      <c r="CA26" s="78">
        <v>210.07</v>
      </c>
      <c r="CB26" s="75"/>
      <c r="CC26" s="74"/>
      <c r="CD26" s="204"/>
      <c r="CE26" s="215"/>
      <c r="CF26" s="329"/>
      <c r="CG26" s="335"/>
      <c r="CH26" s="226">
        <f t="shared" si="7"/>
        <v>0</v>
      </c>
      <c r="CJ26" s="72">
        <v>45859</v>
      </c>
      <c r="CK26" s="73">
        <v>4192.9799999999996</v>
      </c>
      <c r="CL26" s="73">
        <v>524.37</v>
      </c>
      <c r="CM26" s="75"/>
      <c r="CN26" s="74">
        <v>14.21</v>
      </c>
      <c r="CO26" s="204"/>
      <c r="CP26" s="88">
        <v>168.95486999999986</v>
      </c>
      <c r="CQ26" s="329">
        <v>9.8243200000000002</v>
      </c>
      <c r="CR26" s="28"/>
      <c r="CS26" s="226">
        <f t="shared" si="8"/>
        <v>192.98918999999987</v>
      </c>
      <c r="CU26" s="72">
        <v>45859</v>
      </c>
      <c r="CV26" s="73">
        <v>14389.43</v>
      </c>
      <c r="CW26" s="80">
        <v>570.33000000000004</v>
      </c>
      <c r="CX26" s="75"/>
      <c r="CY26" s="76">
        <v>158.03</v>
      </c>
      <c r="CZ26" s="204"/>
      <c r="DA26" s="88"/>
      <c r="DB26" s="28"/>
      <c r="DC26" s="28"/>
      <c r="DD26" s="226">
        <f t="shared" si="9"/>
        <v>158.03</v>
      </c>
      <c r="DG26" s="72">
        <v>45859</v>
      </c>
      <c r="DH26" s="73">
        <v>2029.13</v>
      </c>
      <c r="DI26" s="80">
        <v>953.41</v>
      </c>
      <c r="DJ26" s="80"/>
      <c r="DK26" s="74">
        <v>4</v>
      </c>
      <c r="DL26" s="204"/>
      <c r="DM26" s="88"/>
      <c r="DN26" s="28"/>
      <c r="DO26" s="28"/>
      <c r="DP26" s="226">
        <f t="shared" si="10"/>
        <v>4</v>
      </c>
      <c r="DR26" s="72">
        <v>45859</v>
      </c>
      <c r="DS26" s="73">
        <v>1251.0999999999999</v>
      </c>
      <c r="DT26" s="80">
        <v>1548.23</v>
      </c>
      <c r="DU26" s="80"/>
      <c r="DV26" s="74">
        <v>50.19</v>
      </c>
      <c r="DW26" s="204"/>
      <c r="DX26" s="215"/>
      <c r="DY26" s="28"/>
      <c r="DZ26" s="28"/>
      <c r="EA26" s="226">
        <f t="shared" si="11"/>
        <v>50.19</v>
      </c>
      <c r="EC26" s="72">
        <v>45859</v>
      </c>
      <c r="ED26" s="73">
        <v>1162.46</v>
      </c>
      <c r="EE26" s="80">
        <v>500.78</v>
      </c>
      <c r="EF26" s="80"/>
      <c r="EG26" s="239">
        <v>0</v>
      </c>
      <c r="EH26" s="204"/>
      <c r="EI26" s="88">
        <v>929.0463299999999</v>
      </c>
      <c r="EJ26" s="328"/>
      <c r="EK26" s="335"/>
      <c r="EL26" s="226">
        <f t="shared" si="12"/>
        <v>929.0463299999999</v>
      </c>
      <c r="EN26" s="72">
        <v>45859</v>
      </c>
      <c r="EO26" s="73">
        <v>5167.2</v>
      </c>
      <c r="EP26" s="81">
        <v>332.26</v>
      </c>
      <c r="EQ26" s="80"/>
      <c r="ER26" s="74">
        <v>100.18</v>
      </c>
      <c r="ES26" s="204"/>
      <c r="ET26" s="88">
        <v>145.52625</v>
      </c>
      <c r="EU26" s="328"/>
      <c r="EV26" s="28"/>
      <c r="EW26" s="226">
        <f t="shared" si="13"/>
        <v>245.70625000000001</v>
      </c>
      <c r="EY26" s="72">
        <v>45859</v>
      </c>
      <c r="EZ26" s="73">
        <v>1089.8499999999999</v>
      </c>
      <c r="FA26" s="74">
        <v>100.05</v>
      </c>
      <c r="FB26" s="75"/>
      <c r="FC26" s="74"/>
      <c r="FD26" s="204"/>
      <c r="FE26" s="215"/>
      <c r="FF26" s="28"/>
      <c r="FG26" s="28"/>
      <c r="FH26" s="226">
        <f t="shared" si="14"/>
        <v>0</v>
      </c>
    </row>
    <row r="27" spans="2:164" x14ac:dyDescent="0.25">
      <c r="B27" s="72">
        <v>45860</v>
      </c>
      <c r="C27" s="73">
        <v>11087.35</v>
      </c>
      <c r="D27" s="75"/>
      <c r="E27" s="75"/>
      <c r="F27" s="75">
        <v>119.25</v>
      </c>
      <c r="G27" s="204"/>
      <c r="H27" s="88"/>
      <c r="I27" s="28"/>
      <c r="J27" s="28"/>
      <c r="K27" s="226">
        <f t="shared" si="0"/>
        <v>119.25</v>
      </c>
      <c r="M27" s="72">
        <v>45860</v>
      </c>
      <c r="N27" s="73">
        <v>2597.7399999999998</v>
      </c>
      <c r="O27" s="75"/>
      <c r="P27" s="74">
        <v>10.39</v>
      </c>
      <c r="Q27" s="204"/>
      <c r="R27" s="215"/>
      <c r="S27" s="28"/>
      <c r="T27" s="28"/>
      <c r="U27" s="226">
        <f t="shared" si="1"/>
        <v>10.39</v>
      </c>
      <c r="W27" s="72">
        <v>45860</v>
      </c>
      <c r="X27" s="73">
        <v>2764.98</v>
      </c>
      <c r="Y27" s="73">
        <v>196.27</v>
      </c>
      <c r="Z27" s="75"/>
      <c r="AA27" s="73">
        <v>0</v>
      </c>
      <c r="AB27" s="204"/>
      <c r="AC27" s="88"/>
      <c r="AD27" s="329"/>
      <c r="AE27" s="28"/>
      <c r="AF27" s="226">
        <f t="shared" si="15"/>
        <v>0</v>
      </c>
      <c r="AI27" s="72">
        <v>45860</v>
      </c>
      <c r="AJ27" s="73">
        <v>1336.92</v>
      </c>
      <c r="AK27" s="75"/>
      <c r="AL27" s="74"/>
      <c r="AM27" s="204"/>
      <c r="AN27" s="215"/>
      <c r="AO27" s="28"/>
      <c r="AP27" s="28"/>
      <c r="AQ27" s="226">
        <f t="shared" si="16"/>
        <v>0</v>
      </c>
      <c r="AS27" s="72">
        <v>45860</v>
      </c>
      <c r="AT27" s="73">
        <v>3933.96</v>
      </c>
      <c r="AU27" s="75"/>
      <c r="AV27" s="76"/>
      <c r="AW27" s="204"/>
      <c r="AX27" s="215"/>
      <c r="AY27" s="28"/>
      <c r="AZ27" s="28"/>
      <c r="BA27" s="226">
        <f t="shared" si="17"/>
        <v>0</v>
      </c>
      <c r="BC27" s="72">
        <v>45860</v>
      </c>
      <c r="BD27" s="73">
        <v>2985.13</v>
      </c>
      <c r="BE27" s="75"/>
      <c r="BF27" s="76">
        <v>12.62</v>
      </c>
      <c r="BG27" s="204"/>
      <c r="BH27" s="88"/>
      <c r="BI27" s="28"/>
      <c r="BJ27" s="28"/>
      <c r="BK27" s="226">
        <f t="shared" si="18"/>
        <v>12.62</v>
      </c>
      <c r="BM27" s="72">
        <v>45860</v>
      </c>
      <c r="BN27" s="73">
        <v>12148.49</v>
      </c>
      <c r="BO27" s="73">
        <v>2007.36</v>
      </c>
      <c r="BP27" s="73">
        <v>7529.99</v>
      </c>
      <c r="BQ27" s="75"/>
      <c r="BR27" s="75"/>
      <c r="BS27" s="204"/>
      <c r="BT27" s="88">
        <v>249.19134448594247</v>
      </c>
      <c r="BU27" s="329"/>
      <c r="BV27" s="28"/>
      <c r="BW27" s="226">
        <f t="shared" si="6"/>
        <v>249.19134448594247</v>
      </c>
      <c r="BY27" s="72">
        <v>45860</v>
      </c>
      <c r="BZ27" s="77">
        <v>1338.58</v>
      </c>
      <c r="CA27" s="78">
        <v>446.49</v>
      </c>
      <c r="CB27" s="75"/>
      <c r="CC27" s="74"/>
      <c r="CD27" s="204"/>
      <c r="CE27" s="215"/>
      <c r="CF27" s="329">
        <v>5.760329999999982</v>
      </c>
      <c r="CG27" s="335"/>
      <c r="CH27" s="226">
        <f t="shared" si="7"/>
        <v>5.760329999999982</v>
      </c>
      <c r="CJ27" s="72">
        <v>45860</v>
      </c>
      <c r="CK27" s="73">
        <v>3289.14</v>
      </c>
      <c r="CL27" s="73">
        <v>356.22</v>
      </c>
      <c r="CM27" s="75"/>
      <c r="CN27" s="74">
        <v>0</v>
      </c>
      <c r="CO27" s="204"/>
      <c r="CP27" s="88">
        <v>66.58959999999999</v>
      </c>
      <c r="CQ27" s="329">
        <v>6.6683999999999912</v>
      </c>
      <c r="CR27" s="28"/>
      <c r="CS27" s="226">
        <f t="shared" si="8"/>
        <v>73.257999999999981</v>
      </c>
      <c r="CU27" s="72">
        <v>45860</v>
      </c>
      <c r="CV27" s="73">
        <v>6121.37</v>
      </c>
      <c r="CW27" s="80">
        <v>555.64</v>
      </c>
      <c r="CX27" s="75"/>
      <c r="CY27" s="74">
        <v>94.4</v>
      </c>
      <c r="CZ27" s="204"/>
      <c r="DA27" s="88"/>
      <c r="DB27" s="28"/>
      <c r="DC27" s="28"/>
      <c r="DD27" s="226">
        <f t="shared" si="9"/>
        <v>94.4</v>
      </c>
      <c r="DG27" s="72">
        <v>45860</v>
      </c>
      <c r="DH27" s="73">
        <v>2810.2</v>
      </c>
      <c r="DI27" s="80">
        <v>586.95000000000005</v>
      </c>
      <c r="DJ27" s="80"/>
      <c r="DK27" s="74">
        <v>4</v>
      </c>
      <c r="DL27" s="204"/>
      <c r="DM27" s="88">
        <v>2.945124000000007</v>
      </c>
      <c r="DN27" s="28"/>
      <c r="DO27" s="28"/>
      <c r="DP27" s="226">
        <f t="shared" si="10"/>
        <v>6.945124000000007</v>
      </c>
      <c r="DR27" s="72">
        <v>45860</v>
      </c>
      <c r="DS27" s="73">
        <v>1232.3399999999999</v>
      </c>
      <c r="DT27" s="80">
        <v>1410.93</v>
      </c>
      <c r="DU27" s="80"/>
      <c r="DV27" s="74">
        <v>34.590000000000003</v>
      </c>
      <c r="DW27" s="204"/>
      <c r="DX27" s="215"/>
      <c r="DY27" s="28"/>
      <c r="DZ27" s="28"/>
      <c r="EA27" s="226">
        <f t="shared" si="11"/>
        <v>34.590000000000003</v>
      </c>
      <c r="EC27" s="72">
        <v>45860</v>
      </c>
      <c r="ED27" s="73">
        <v>1042.8</v>
      </c>
      <c r="EE27" s="80">
        <v>695.59</v>
      </c>
      <c r="EF27" s="80"/>
      <c r="EG27" s="239">
        <v>0</v>
      </c>
      <c r="EH27" s="204"/>
      <c r="EI27" s="88">
        <v>1076.9214899999999</v>
      </c>
      <c r="EJ27" s="328">
        <v>26.72999999999999</v>
      </c>
      <c r="EK27" s="335">
        <v>98.758605200000005</v>
      </c>
      <c r="EL27" s="226">
        <f t="shared" si="12"/>
        <v>1202.4100951999999</v>
      </c>
      <c r="EN27" s="72">
        <v>45860</v>
      </c>
      <c r="EO27" s="73">
        <v>4022.52</v>
      </c>
      <c r="EP27" s="81">
        <v>259.54000000000002</v>
      </c>
      <c r="EQ27" s="80"/>
      <c r="ER27" s="74">
        <v>118.93</v>
      </c>
      <c r="ES27" s="204"/>
      <c r="ET27" s="88">
        <v>42.549999999999983</v>
      </c>
      <c r="EU27" s="328">
        <v>273.99695999999972</v>
      </c>
      <c r="EV27" s="28"/>
      <c r="EW27" s="226">
        <f t="shared" si="13"/>
        <v>435.47695999999974</v>
      </c>
      <c r="EY27" s="72">
        <v>45860</v>
      </c>
      <c r="EZ27" s="73">
        <v>732.31</v>
      </c>
      <c r="FA27" s="73">
        <v>48.7</v>
      </c>
      <c r="FB27" s="75"/>
      <c r="FC27" s="74"/>
      <c r="FD27" s="204"/>
      <c r="FE27" s="215"/>
      <c r="FF27" s="28"/>
      <c r="FG27" s="28"/>
      <c r="FH27" s="226">
        <f t="shared" si="14"/>
        <v>0</v>
      </c>
    </row>
    <row r="28" spans="2:164" x14ac:dyDescent="0.25">
      <c r="B28" s="72">
        <v>45861</v>
      </c>
      <c r="C28" s="73">
        <v>14376.85</v>
      </c>
      <c r="D28" s="75"/>
      <c r="E28" s="75"/>
      <c r="F28" s="75">
        <v>157.32</v>
      </c>
      <c r="G28" s="204"/>
      <c r="H28" s="88"/>
      <c r="I28" s="28"/>
      <c r="J28" s="28"/>
      <c r="K28" s="226">
        <f t="shared" si="0"/>
        <v>157.32</v>
      </c>
      <c r="M28" s="72">
        <v>45861</v>
      </c>
      <c r="N28" s="73">
        <v>3600.35</v>
      </c>
      <c r="O28" s="75"/>
      <c r="P28" s="74">
        <v>31.68</v>
      </c>
      <c r="Q28" s="204"/>
      <c r="R28" s="215"/>
      <c r="S28" s="28"/>
      <c r="T28" s="28"/>
      <c r="U28" s="226">
        <f t="shared" si="1"/>
        <v>31.68</v>
      </c>
      <c r="W28" s="72">
        <v>45861</v>
      </c>
      <c r="X28" s="73">
        <v>508.14</v>
      </c>
      <c r="Y28" s="73">
        <v>177.79</v>
      </c>
      <c r="Z28" s="75"/>
      <c r="AA28" s="73">
        <v>0</v>
      </c>
      <c r="AB28" s="204"/>
      <c r="AC28" s="88"/>
      <c r="AD28" s="329"/>
      <c r="AE28" s="28"/>
      <c r="AF28" s="226">
        <f t="shared" si="15"/>
        <v>0</v>
      </c>
      <c r="AI28" s="72">
        <v>45861</v>
      </c>
      <c r="AJ28" s="73">
        <v>1315.07</v>
      </c>
      <c r="AK28" s="75"/>
      <c r="AL28" s="74"/>
      <c r="AM28" s="204"/>
      <c r="AN28" s="215"/>
      <c r="AO28" s="28"/>
      <c r="AP28" s="28"/>
      <c r="AQ28" s="226">
        <f t="shared" si="16"/>
        <v>0</v>
      </c>
      <c r="AS28" s="72">
        <v>45861</v>
      </c>
      <c r="AT28" s="73">
        <v>3382.54</v>
      </c>
      <c r="AU28" s="75"/>
      <c r="AV28" s="76"/>
      <c r="AW28" s="204"/>
      <c r="AX28" s="215"/>
      <c r="AY28" s="28"/>
      <c r="AZ28" s="28"/>
      <c r="BA28" s="226">
        <f t="shared" si="17"/>
        <v>0</v>
      </c>
      <c r="BC28" s="72">
        <v>45861</v>
      </c>
      <c r="BD28" s="73">
        <v>3474.81</v>
      </c>
      <c r="BE28" s="75"/>
      <c r="BF28" s="76">
        <v>19.88</v>
      </c>
      <c r="BG28" s="204"/>
      <c r="BH28" s="88"/>
      <c r="BI28" s="28"/>
      <c r="BJ28" s="28"/>
      <c r="BK28" s="226">
        <f t="shared" si="18"/>
        <v>19.88</v>
      </c>
      <c r="BM28" s="72">
        <v>45861</v>
      </c>
      <c r="BN28" s="73">
        <v>9971.23</v>
      </c>
      <c r="BO28" s="73">
        <v>1921.64</v>
      </c>
      <c r="BP28" s="73">
        <v>5159.84</v>
      </c>
      <c r="BQ28" s="75"/>
      <c r="BR28" s="75"/>
      <c r="BS28" s="204"/>
      <c r="BT28" s="88">
        <v>84.550214651837095</v>
      </c>
      <c r="BU28" s="329"/>
      <c r="BV28" s="28"/>
      <c r="BW28" s="226">
        <f t="shared" si="6"/>
        <v>84.550214651837095</v>
      </c>
      <c r="BY28" s="72">
        <v>45861</v>
      </c>
      <c r="BZ28" s="77">
        <v>1085.98</v>
      </c>
      <c r="CA28" s="82">
        <v>1079.4000000000001</v>
      </c>
      <c r="CB28" s="75"/>
      <c r="CC28" s="74"/>
      <c r="CD28" s="204"/>
      <c r="CE28" s="215"/>
      <c r="CF28" s="329"/>
      <c r="CG28" s="335"/>
      <c r="CH28" s="226">
        <f t="shared" si="7"/>
        <v>0</v>
      </c>
      <c r="CJ28" s="72">
        <v>45861</v>
      </c>
      <c r="CK28" s="73">
        <v>4318.8599999999997</v>
      </c>
      <c r="CL28" s="73">
        <v>442.39</v>
      </c>
      <c r="CM28" s="75"/>
      <c r="CN28" s="74">
        <v>0</v>
      </c>
      <c r="CO28" s="204"/>
      <c r="CP28" s="88">
        <v>601.87021999999968</v>
      </c>
      <c r="CQ28" s="329">
        <v>7.9980800000000158</v>
      </c>
      <c r="CR28" s="28"/>
      <c r="CS28" s="226">
        <f t="shared" si="8"/>
        <v>609.86829999999964</v>
      </c>
      <c r="CU28" s="72">
        <v>45861</v>
      </c>
      <c r="CV28" s="73">
        <v>2041.17</v>
      </c>
      <c r="CW28" s="80">
        <v>403.89</v>
      </c>
      <c r="CX28" s="75"/>
      <c r="CY28" s="74">
        <v>157.41999999999999</v>
      </c>
      <c r="CZ28" s="204"/>
      <c r="DA28" s="88"/>
      <c r="DB28" s="28"/>
      <c r="DC28" s="28"/>
      <c r="DD28" s="226">
        <f t="shared" si="9"/>
        <v>157.41999999999999</v>
      </c>
      <c r="DG28" s="72">
        <v>45861</v>
      </c>
      <c r="DH28" s="73">
        <v>1978.04</v>
      </c>
      <c r="DI28" s="80">
        <v>635.24</v>
      </c>
      <c r="DJ28" s="80"/>
      <c r="DK28" s="74">
        <v>0</v>
      </c>
      <c r="DL28" s="204"/>
      <c r="DM28" s="88"/>
      <c r="DN28" s="28"/>
      <c r="DO28" s="28"/>
      <c r="DP28" s="226">
        <f t="shared" si="10"/>
        <v>0</v>
      </c>
      <c r="DR28" s="72">
        <v>45861</v>
      </c>
      <c r="DS28" s="73">
        <v>1199.82</v>
      </c>
      <c r="DT28" s="80">
        <v>953.19</v>
      </c>
      <c r="DU28" s="80"/>
      <c r="DV28" s="74">
        <v>12</v>
      </c>
      <c r="DW28" s="204"/>
      <c r="DX28" s="215"/>
      <c r="DY28" s="28"/>
      <c r="DZ28" s="28"/>
      <c r="EA28" s="226">
        <f t="shared" si="11"/>
        <v>12</v>
      </c>
      <c r="EC28" s="72">
        <v>45861</v>
      </c>
      <c r="ED28" s="73">
        <v>829.8</v>
      </c>
      <c r="EE28" s="80">
        <v>643.4</v>
      </c>
      <c r="EF28" s="80"/>
      <c r="EG28" s="239">
        <v>0</v>
      </c>
      <c r="EH28" s="204"/>
      <c r="EI28" s="88">
        <v>270.43913000000003</v>
      </c>
      <c r="EJ28" s="328"/>
      <c r="EK28" s="335"/>
      <c r="EL28" s="226">
        <f t="shared" si="12"/>
        <v>270.43913000000003</v>
      </c>
      <c r="EN28" s="72">
        <v>45861</v>
      </c>
      <c r="EO28" s="73">
        <v>2523.39</v>
      </c>
      <c r="EP28" s="81">
        <v>215.98</v>
      </c>
      <c r="EQ28" s="80"/>
      <c r="ER28" s="74">
        <v>0</v>
      </c>
      <c r="ES28" s="204"/>
      <c r="ET28" s="88">
        <v>45.188150000000007</v>
      </c>
      <c r="EU28" s="328"/>
      <c r="EV28" s="28"/>
      <c r="EW28" s="226">
        <f t="shared" si="13"/>
        <v>45.188150000000007</v>
      </c>
      <c r="EY28" s="72">
        <v>45861</v>
      </c>
      <c r="EZ28" s="73">
        <v>367.2</v>
      </c>
      <c r="FA28" s="73">
        <v>177.42</v>
      </c>
      <c r="FB28" s="75"/>
      <c r="FC28" s="74"/>
      <c r="FD28" s="204"/>
      <c r="FE28" s="215"/>
      <c r="FF28" s="28"/>
      <c r="FG28" s="28"/>
      <c r="FH28" s="226">
        <f t="shared" si="14"/>
        <v>0</v>
      </c>
    </row>
    <row r="29" spans="2:164" x14ac:dyDescent="0.25">
      <c r="B29" s="72">
        <v>45862</v>
      </c>
      <c r="C29" s="73">
        <v>11112.49</v>
      </c>
      <c r="D29" s="75"/>
      <c r="E29" s="75"/>
      <c r="F29" s="75">
        <v>0</v>
      </c>
      <c r="G29" s="204"/>
      <c r="H29" s="88"/>
      <c r="I29" s="28"/>
      <c r="J29" s="28"/>
      <c r="K29" s="226">
        <f t="shared" si="0"/>
        <v>0</v>
      </c>
      <c r="M29" s="72">
        <v>45862</v>
      </c>
      <c r="N29" s="73">
        <v>3187.85</v>
      </c>
      <c r="O29" s="75"/>
      <c r="P29" s="74">
        <v>22.13</v>
      </c>
      <c r="Q29" s="204"/>
      <c r="R29" s="215"/>
      <c r="S29" s="28"/>
      <c r="T29" s="28"/>
      <c r="U29" s="226">
        <f t="shared" si="1"/>
        <v>22.13</v>
      </c>
      <c r="W29" s="72">
        <v>45862</v>
      </c>
      <c r="X29" s="73">
        <v>845.64</v>
      </c>
      <c r="Y29" s="73">
        <v>335.86</v>
      </c>
      <c r="Z29" s="75"/>
      <c r="AA29" s="73">
        <v>0</v>
      </c>
      <c r="AB29" s="204"/>
      <c r="AC29" s="88"/>
      <c r="AD29" s="329">
        <v>33.778449999999992</v>
      </c>
      <c r="AE29" s="28"/>
      <c r="AF29" s="226">
        <f t="shared" si="15"/>
        <v>33.778449999999992</v>
      </c>
      <c r="AI29" s="72">
        <v>45862</v>
      </c>
      <c r="AJ29" s="73">
        <v>1368.41</v>
      </c>
      <c r="AK29" s="75"/>
      <c r="AL29" s="74"/>
      <c r="AM29" s="204"/>
      <c r="AN29" s="215"/>
      <c r="AO29" s="28"/>
      <c r="AP29" s="28"/>
      <c r="AQ29" s="226">
        <f t="shared" si="16"/>
        <v>0</v>
      </c>
      <c r="AS29" s="72">
        <v>45862</v>
      </c>
      <c r="AT29" s="73">
        <v>2848.11</v>
      </c>
      <c r="AU29" s="75"/>
      <c r="AV29" s="76"/>
      <c r="AW29" s="204"/>
      <c r="AX29" s="215"/>
      <c r="AY29" s="28"/>
      <c r="AZ29" s="28"/>
      <c r="BA29" s="226">
        <f t="shared" si="17"/>
        <v>0</v>
      </c>
      <c r="BC29" s="72">
        <v>45862</v>
      </c>
      <c r="BD29" s="73">
        <v>4257.84</v>
      </c>
      <c r="BE29" s="75"/>
      <c r="BF29" s="76">
        <v>13.24</v>
      </c>
      <c r="BG29" s="204"/>
      <c r="BH29" s="88"/>
      <c r="BI29" s="28"/>
      <c r="BJ29" s="28"/>
      <c r="BK29" s="226">
        <f t="shared" si="18"/>
        <v>13.24</v>
      </c>
      <c r="BM29" s="72">
        <v>45862</v>
      </c>
      <c r="BN29" s="73">
        <v>11914.4</v>
      </c>
      <c r="BO29" s="73">
        <v>3059.11</v>
      </c>
      <c r="BP29" s="73">
        <v>7311.97</v>
      </c>
      <c r="BQ29" s="75"/>
      <c r="BR29" s="75"/>
      <c r="BS29" s="204"/>
      <c r="BT29" s="88">
        <v>187.13849662564297</v>
      </c>
      <c r="BU29" s="329">
        <v>43.323250000000002</v>
      </c>
      <c r="BV29" s="28"/>
      <c r="BW29" s="226">
        <f t="shared" si="6"/>
        <v>230.46174662564297</v>
      </c>
      <c r="BY29" s="72">
        <v>45862</v>
      </c>
      <c r="BZ29" s="77">
        <v>983.6</v>
      </c>
      <c r="CA29" s="78">
        <v>477.38</v>
      </c>
      <c r="CB29" s="75"/>
      <c r="CC29" s="74"/>
      <c r="CD29" s="204"/>
      <c r="CE29" s="215"/>
      <c r="CF29" s="329">
        <v>24.11582999999996</v>
      </c>
      <c r="CG29" s="335"/>
      <c r="CH29" s="226">
        <f t="shared" si="7"/>
        <v>24.11582999999996</v>
      </c>
      <c r="CJ29" s="72">
        <v>45862</v>
      </c>
      <c r="CK29" s="73">
        <v>4960.25</v>
      </c>
      <c r="CL29" s="73">
        <v>611.73</v>
      </c>
      <c r="CM29" s="75"/>
      <c r="CN29" s="74">
        <v>11.76</v>
      </c>
      <c r="CO29" s="204"/>
      <c r="CP29" s="88">
        <v>165.22925999999993</v>
      </c>
      <c r="CQ29" s="329"/>
      <c r="CR29" s="28"/>
      <c r="CS29" s="226">
        <f t="shared" si="8"/>
        <v>176.98925999999992</v>
      </c>
      <c r="CU29" s="72">
        <v>45862</v>
      </c>
      <c r="CV29" s="73">
        <v>7781.06</v>
      </c>
      <c r="CW29" s="80">
        <v>778.58</v>
      </c>
      <c r="CX29" s="75"/>
      <c r="CY29" s="74">
        <v>185.3</v>
      </c>
      <c r="CZ29" s="204"/>
      <c r="DA29" s="88"/>
      <c r="DB29" s="28"/>
      <c r="DC29" s="28"/>
      <c r="DD29" s="226">
        <f t="shared" si="9"/>
        <v>185.3</v>
      </c>
      <c r="DG29" s="72">
        <v>45862</v>
      </c>
      <c r="DH29" s="73">
        <v>1392.64</v>
      </c>
      <c r="DI29" s="80">
        <v>421.03</v>
      </c>
      <c r="DJ29" s="80"/>
      <c r="DK29" s="74">
        <v>4</v>
      </c>
      <c r="DL29" s="204"/>
      <c r="DM29" s="88"/>
      <c r="DN29" s="28"/>
      <c r="DO29" s="28"/>
      <c r="DP29" s="226">
        <f t="shared" si="10"/>
        <v>4</v>
      </c>
      <c r="DR29" s="72">
        <v>45862</v>
      </c>
      <c r="DS29" s="73">
        <v>1208.31</v>
      </c>
      <c r="DT29" s="80">
        <v>1306.48</v>
      </c>
      <c r="DU29" s="80"/>
      <c r="DV29" s="74">
        <v>29.98</v>
      </c>
      <c r="DW29" s="204"/>
      <c r="DX29" s="215"/>
      <c r="DY29" s="28"/>
      <c r="DZ29" s="28"/>
      <c r="EA29" s="226">
        <f t="shared" si="11"/>
        <v>29.98</v>
      </c>
      <c r="EC29" s="72">
        <v>45862</v>
      </c>
      <c r="ED29" s="73">
        <v>1187.96</v>
      </c>
      <c r="EE29" s="80">
        <v>620.99</v>
      </c>
      <c r="EF29" s="80"/>
      <c r="EG29" s="239">
        <v>0</v>
      </c>
      <c r="EH29" s="204"/>
      <c r="EI29" s="88">
        <v>1040.5375099999999</v>
      </c>
      <c r="EJ29" s="328">
        <v>56.294189999999986</v>
      </c>
      <c r="EK29" s="335"/>
      <c r="EL29" s="226">
        <f t="shared" si="12"/>
        <v>1096.8317</v>
      </c>
      <c r="EN29" s="72">
        <v>45862</v>
      </c>
      <c r="EO29" s="73">
        <v>3828.59</v>
      </c>
      <c r="EP29" s="81">
        <v>374.52</v>
      </c>
      <c r="EQ29" s="80"/>
      <c r="ER29" s="74">
        <v>0</v>
      </c>
      <c r="ES29" s="204"/>
      <c r="ET29" s="88"/>
      <c r="EU29" s="328">
        <v>222.86033999999972</v>
      </c>
      <c r="EV29" s="28"/>
      <c r="EW29" s="226">
        <f t="shared" si="13"/>
        <v>222.86033999999972</v>
      </c>
      <c r="EY29" s="72">
        <v>45862</v>
      </c>
      <c r="EZ29" s="73">
        <v>799.7</v>
      </c>
      <c r="FA29" s="73">
        <v>291</v>
      </c>
      <c r="FB29" s="75"/>
      <c r="FC29" s="74"/>
      <c r="FD29" s="204"/>
      <c r="FE29" s="215"/>
      <c r="FF29" s="28"/>
      <c r="FG29" s="28"/>
      <c r="FH29" s="226">
        <f t="shared" si="14"/>
        <v>0</v>
      </c>
    </row>
    <row r="30" spans="2:164" x14ac:dyDescent="0.25">
      <c r="B30" s="72">
        <v>45863</v>
      </c>
      <c r="C30" s="73">
        <v>8403.07</v>
      </c>
      <c r="D30" s="75"/>
      <c r="E30" s="75"/>
      <c r="F30" s="75">
        <v>0</v>
      </c>
      <c r="G30" s="204"/>
      <c r="H30" s="88"/>
      <c r="I30" s="28"/>
      <c r="J30" s="28"/>
      <c r="K30" s="226">
        <f t="shared" si="0"/>
        <v>0</v>
      </c>
      <c r="M30" s="72">
        <v>45863</v>
      </c>
      <c r="N30" s="73">
        <v>2855.27</v>
      </c>
      <c r="O30" s="75"/>
      <c r="P30" s="74">
        <v>8.8000000000000007</v>
      </c>
      <c r="Q30" s="204"/>
      <c r="R30" s="215"/>
      <c r="S30" s="28"/>
      <c r="T30" s="28"/>
      <c r="U30" s="226">
        <f t="shared" si="1"/>
        <v>8.8000000000000007</v>
      </c>
      <c r="W30" s="72">
        <v>45863</v>
      </c>
      <c r="X30" s="73">
        <v>2216.7399999999998</v>
      </c>
      <c r="Y30" s="73">
        <v>146.74</v>
      </c>
      <c r="Z30" s="75"/>
      <c r="AA30" s="73">
        <v>0</v>
      </c>
      <c r="AB30" s="204"/>
      <c r="AC30" s="88"/>
      <c r="AD30" s="329"/>
      <c r="AE30" s="28"/>
      <c r="AF30" s="226">
        <f t="shared" si="15"/>
        <v>0</v>
      </c>
      <c r="AI30" s="72">
        <v>45863</v>
      </c>
      <c r="AJ30" s="73">
        <v>1096.47</v>
      </c>
      <c r="AK30" s="75"/>
      <c r="AL30" s="74"/>
      <c r="AM30" s="204"/>
      <c r="AN30" s="215"/>
      <c r="AO30" s="28"/>
      <c r="AP30" s="28"/>
      <c r="AQ30" s="226">
        <f t="shared" si="16"/>
        <v>0</v>
      </c>
      <c r="AS30" s="72">
        <v>45863</v>
      </c>
      <c r="AT30" s="73">
        <v>3155.83</v>
      </c>
      <c r="AU30" s="75"/>
      <c r="AV30" s="76"/>
      <c r="AW30" s="204"/>
      <c r="AX30" s="215"/>
      <c r="AY30" s="28"/>
      <c r="AZ30" s="28"/>
      <c r="BA30" s="226">
        <f t="shared" si="17"/>
        <v>0</v>
      </c>
      <c r="BC30" s="72">
        <v>45863</v>
      </c>
      <c r="BD30" s="73">
        <v>3878.48</v>
      </c>
      <c r="BE30" s="75"/>
      <c r="BF30" s="76">
        <v>16.23</v>
      </c>
      <c r="BG30" s="204"/>
      <c r="BH30" s="88"/>
      <c r="BI30" s="28"/>
      <c r="BJ30" s="28"/>
      <c r="BK30" s="226">
        <f t="shared" si="18"/>
        <v>16.23</v>
      </c>
      <c r="BM30" s="72">
        <v>45863</v>
      </c>
      <c r="BN30" s="73">
        <v>17132.41</v>
      </c>
      <c r="BO30" s="73">
        <v>2920.81</v>
      </c>
      <c r="BP30" s="73">
        <v>8409.7800000000007</v>
      </c>
      <c r="BQ30" s="75"/>
      <c r="BR30" s="75"/>
      <c r="BS30" s="204"/>
      <c r="BT30" s="88">
        <v>109.55647888556049</v>
      </c>
      <c r="BU30" s="329">
        <v>63.431399999999996</v>
      </c>
      <c r="BV30" s="28"/>
      <c r="BW30" s="226">
        <f t="shared" si="6"/>
        <v>172.98787888556049</v>
      </c>
      <c r="BY30" s="72">
        <v>45863</v>
      </c>
      <c r="BZ30" s="77">
        <v>803.01</v>
      </c>
      <c r="CA30" s="78">
        <v>608.13</v>
      </c>
      <c r="CB30" s="75"/>
      <c r="CC30" s="74"/>
      <c r="CD30" s="204"/>
      <c r="CE30" s="215"/>
      <c r="CF30" s="329">
        <v>21.97359999999999</v>
      </c>
      <c r="CG30" s="335"/>
      <c r="CH30" s="226">
        <f t="shared" si="7"/>
        <v>21.97359999999999</v>
      </c>
      <c r="CJ30" s="72">
        <v>45863</v>
      </c>
      <c r="CK30" s="73">
        <v>4203.3999999999996</v>
      </c>
      <c r="CL30" s="73">
        <v>501.4</v>
      </c>
      <c r="CM30" s="75"/>
      <c r="CN30" s="74">
        <v>15.62</v>
      </c>
      <c r="CO30" s="204"/>
      <c r="CP30" s="88"/>
      <c r="CQ30" s="329">
        <v>5.6508799999999724</v>
      </c>
      <c r="CR30" s="28"/>
      <c r="CS30" s="226">
        <f t="shared" si="8"/>
        <v>21.27087999999997</v>
      </c>
      <c r="CU30" s="72">
        <v>45863</v>
      </c>
      <c r="CV30" s="73">
        <v>11216.37</v>
      </c>
      <c r="CW30" s="80">
        <v>1059.53</v>
      </c>
      <c r="CX30" s="75"/>
      <c r="CY30" s="74">
        <v>230.35</v>
      </c>
      <c r="CZ30" s="204"/>
      <c r="DA30" s="88">
        <v>91.111710000000016</v>
      </c>
      <c r="DB30" s="28"/>
      <c r="DC30" s="28"/>
      <c r="DD30" s="226">
        <f t="shared" si="9"/>
        <v>321.46171000000004</v>
      </c>
      <c r="DG30" s="72">
        <v>45863</v>
      </c>
      <c r="DH30" s="73">
        <v>1700.35</v>
      </c>
      <c r="DI30" s="80">
        <v>601.76</v>
      </c>
      <c r="DJ30" s="80"/>
      <c r="DK30" s="74">
        <v>12.4</v>
      </c>
      <c r="DL30" s="204"/>
      <c r="DM30" s="88">
        <v>8.7874639999999573</v>
      </c>
      <c r="DN30" s="28"/>
      <c r="DO30" s="28"/>
      <c r="DP30" s="226">
        <f t="shared" si="10"/>
        <v>21.187463999999956</v>
      </c>
      <c r="DR30" s="72">
        <v>45863</v>
      </c>
      <c r="DS30" s="73">
        <v>83.974999999999994</v>
      </c>
      <c r="DT30" s="80">
        <v>1432.6</v>
      </c>
      <c r="DU30" s="80"/>
      <c r="DV30" s="74">
        <v>11.7</v>
      </c>
      <c r="DW30" s="204"/>
      <c r="DX30" s="215"/>
      <c r="DY30" s="28"/>
      <c r="DZ30" s="28"/>
      <c r="EA30" s="226">
        <f t="shared" si="11"/>
        <v>11.7</v>
      </c>
      <c r="EC30" s="72">
        <v>45863</v>
      </c>
      <c r="ED30" s="73">
        <v>1607.66</v>
      </c>
      <c r="EE30" s="80">
        <v>1007.6</v>
      </c>
      <c r="EF30" s="80"/>
      <c r="EG30" s="239">
        <v>0</v>
      </c>
      <c r="EH30" s="204"/>
      <c r="EI30" s="88">
        <v>995.17696999999998</v>
      </c>
      <c r="EJ30" s="328">
        <v>73.35075999999998</v>
      </c>
      <c r="EK30" s="335"/>
      <c r="EL30" s="226">
        <f t="shared" si="12"/>
        <v>1068.52773</v>
      </c>
      <c r="EN30" s="72">
        <v>45863</v>
      </c>
      <c r="EO30" s="73">
        <v>6374.01</v>
      </c>
      <c r="EP30" s="81">
        <v>206.59</v>
      </c>
      <c r="EQ30" s="80"/>
      <c r="ER30" s="74">
        <v>112.77</v>
      </c>
      <c r="ES30" s="204"/>
      <c r="ET30" s="88">
        <v>18.104579999999999</v>
      </c>
      <c r="EU30" s="328"/>
      <c r="EV30" s="28"/>
      <c r="EW30" s="226">
        <f t="shared" si="13"/>
        <v>130.87457999999998</v>
      </c>
      <c r="EY30" s="72">
        <v>45863</v>
      </c>
      <c r="EZ30" s="73">
        <v>598.66999999999996</v>
      </c>
      <c r="FA30" s="73">
        <v>122</v>
      </c>
      <c r="FB30" s="75"/>
      <c r="FC30" s="74"/>
      <c r="FD30" s="204"/>
      <c r="FE30" s="215"/>
      <c r="FF30" s="28"/>
      <c r="FG30" s="28"/>
      <c r="FH30" s="226">
        <f t="shared" si="14"/>
        <v>0</v>
      </c>
    </row>
    <row r="31" spans="2:164" x14ac:dyDescent="0.25">
      <c r="B31" s="72">
        <v>45864</v>
      </c>
      <c r="C31" s="73">
        <v>16483.86</v>
      </c>
      <c r="D31" s="74"/>
      <c r="E31" s="75"/>
      <c r="F31" s="74">
        <v>102.72</v>
      </c>
      <c r="G31" s="204"/>
      <c r="H31" s="88"/>
      <c r="I31" s="28"/>
      <c r="J31" s="28"/>
      <c r="K31" s="226">
        <f t="shared" si="0"/>
        <v>102.72</v>
      </c>
      <c r="M31" s="72">
        <v>45864</v>
      </c>
      <c r="N31" s="73">
        <v>3412.24</v>
      </c>
      <c r="O31" s="75"/>
      <c r="P31" s="74">
        <v>13.06</v>
      </c>
      <c r="Q31" s="204"/>
      <c r="R31" s="215"/>
      <c r="S31" s="28"/>
      <c r="T31" s="28"/>
      <c r="U31" s="226">
        <f t="shared" si="1"/>
        <v>13.06</v>
      </c>
      <c r="W31" s="72">
        <v>45864</v>
      </c>
      <c r="X31" s="73">
        <v>1467.65</v>
      </c>
      <c r="Y31" s="73">
        <v>239.43</v>
      </c>
      <c r="Z31" s="75"/>
      <c r="AA31" s="73">
        <v>0</v>
      </c>
      <c r="AB31" s="204"/>
      <c r="AC31" s="88">
        <v>7.315800000000003</v>
      </c>
      <c r="AD31" s="329"/>
      <c r="AE31" s="28"/>
      <c r="AF31" s="226">
        <f t="shared" si="15"/>
        <v>7.315800000000003</v>
      </c>
      <c r="AI31" s="72">
        <v>45864</v>
      </c>
      <c r="AJ31" s="73">
        <v>1435.15</v>
      </c>
      <c r="AK31" s="75"/>
      <c r="AL31" s="74"/>
      <c r="AM31" s="204"/>
      <c r="AN31" s="215"/>
      <c r="AO31" s="28"/>
      <c r="AP31" s="28"/>
      <c r="AQ31" s="226">
        <f t="shared" si="16"/>
        <v>0</v>
      </c>
      <c r="AS31" s="72">
        <v>45864</v>
      </c>
      <c r="AT31" s="73">
        <v>4366.79</v>
      </c>
      <c r="AU31" s="75"/>
      <c r="AV31" s="76"/>
      <c r="AW31" s="204"/>
      <c r="AX31" s="215"/>
      <c r="AY31" s="28"/>
      <c r="AZ31" s="28"/>
      <c r="BA31" s="226">
        <f t="shared" si="17"/>
        <v>0</v>
      </c>
      <c r="BC31" s="72">
        <v>45864</v>
      </c>
      <c r="BD31" s="73">
        <v>4063.95</v>
      </c>
      <c r="BE31" s="75"/>
      <c r="BF31" s="76">
        <v>3.43</v>
      </c>
      <c r="BG31" s="204"/>
      <c r="BH31" s="88"/>
      <c r="BI31" s="28"/>
      <c r="BJ31" s="28"/>
      <c r="BK31" s="226">
        <f t="shared" si="18"/>
        <v>3.43</v>
      </c>
      <c r="BM31" s="72">
        <v>45864</v>
      </c>
      <c r="BN31" s="73">
        <v>15066.69</v>
      </c>
      <c r="BO31" s="73">
        <v>2335.89</v>
      </c>
      <c r="BP31" s="73">
        <v>7603.1</v>
      </c>
      <c r="BQ31" s="75"/>
      <c r="BR31" s="75"/>
      <c r="BS31" s="204"/>
      <c r="BT31" s="88">
        <v>254.54142475245061</v>
      </c>
      <c r="BU31" s="329">
        <v>512.42000000000007</v>
      </c>
      <c r="BV31" s="28"/>
      <c r="BW31" s="226">
        <f t="shared" si="6"/>
        <v>766.96142475245074</v>
      </c>
      <c r="BY31" s="72">
        <v>45864</v>
      </c>
      <c r="BZ31" s="77">
        <v>2067.04</v>
      </c>
      <c r="CA31" s="78">
        <v>632.37</v>
      </c>
      <c r="CB31" s="75"/>
      <c r="CC31" s="74"/>
      <c r="CD31" s="204"/>
      <c r="CE31" s="215"/>
      <c r="CF31" s="329">
        <v>12.653630000000021</v>
      </c>
      <c r="CG31" s="335"/>
      <c r="CH31" s="226">
        <f t="shared" si="7"/>
        <v>12.653630000000021</v>
      </c>
      <c r="CJ31" s="72">
        <v>45864</v>
      </c>
      <c r="CK31" s="73">
        <v>4466.8100000000004</v>
      </c>
      <c r="CL31" s="73">
        <v>518.11</v>
      </c>
      <c r="CM31" s="75"/>
      <c r="CN31" s="74">
        <v>12.23</v>
      </c>
      <c r="CO31" s="204"/>
      <c r="CP31" s="88">
        <v>86.947319999999934</v>
      </c>
      <c r="CQ31" s="329"/>
      <c r="CR31" s="28"/>
      <c r="CS31" s="226">
        <f t="shared" si="8"/>
        <v>99.177319999999938</v>
      </c>
      <c r="CU31" s="72">
        <v>45864</v>
      </c>
      <c r="CV31" s="73">
        <v>7666.94</v>
      </c>
      <c r="CW31" s="80">
        <v>850.8</v>
      </c>
      <c r="CX31" s="75"/>
      <c r="CY31" s="74">
        <v>180.75</v>
      </c>
      <c r="CZ31" s="204"/>
      <c r="DA31" s="88"/>
      <c r="DB31" s="28"/>
      <c r="DC31" s="28"/>
      <c r="DD31" s="226">
        <f t="shared" si="9"/>
        <v>180.75</v>
      </c>
      <c r="DG31" s="72">
        <v>45864</v>
      </c>
      <c r="DH31" s="73">
        <v>2110.3000000000002</v>
      </c>
      <c r="DI31" s="81">
        <v>531.96</v>
      </c>
      <c r="DJ31" s="80"/>
      <c r="DK31" s="74">
        <v>29.53</v>
      </c>
      <c r="DL31" s="204"/>
      <c r="DM31" s="88">
        <v>-8.0626080000000115</v>
      </c>
      <c r="DN31" s="28"/>
      <c r="DO31" s="28"/>
      <c r="DP31" s="226">
        <f t="shared" si="10"/>
        <v>21.46739199999999</v>
      </c>
      <c r="DR31" s="72">
        <v>45864</v>
      </c>
      <c r="DS31" s="73">
        <v>1565.94</v>
      </c>
      <c r="DT31" s="81">
        <v>1400.53</v>
      </c>
      <c r="DU31" s="80"/>
      <c r="DV31" s="74">
        <v>10.199999999999999</v>
      </c>
      <c r="DW31" s="204"/>
      <c r="DX31" s="215"/>
      <c r="DY31" s="28"/>
      <c r="DZ31" s="28"/>
      <c r="EA31" s="226">
        <f t="shared" si="11"/>
        <v>10.199999999999999</v>
      </c>
      <c r="EC31" s="72">
        <v>45864</v>
      </c>
      <c r="ED31" s="73">
        <v>754.41</v>
      </c>
      <c r="EE31" s="80">
        <v>491.65</v>
      </c>
      <c r="EF31" s="80"/>
      <c r="EG31" s="239">
        <v>0</v>
      </c>
      <c r="EH31" s="204"/>
      <c r="EI31" s="88">
        <v>363.59715999999992</v>
      </c>
      <c r="EJ31" s="328">
        <v>628.01</v>
      </c>
      <c r="EK31" s="335"/>
      <c r="EL31" s="226">
        <f t="shared" si="12"/>
        <v>991.60715999999991</v>
      </c>
      <c r="EN31" s="72">
        <v>45864</v>
      </c>
      <c r="EO31" s="73">
        <v>2590.6799999999998</v>
      </c>
      <c r="EP31" s="81">
        <v>259.48</v>
      </c>
      <c r="EQ31" s="80"/>
      <c r="ER31" s="74">
        <v>0</v>
      </c>
      <c r="ES31" s="204"/>
      <c r="ET31" s="88"/>
      <c r="EU31" s="328">
        <v>151.90051000000017</v>
      </c>
      <c r="EV31" s="28"/>
      <c r="EW31" s="226">
        <f t="shared" si="13"/>
        <v>151.90051000000017</v>
      </c>
      <c r="EY31" s="72">
        <v>45864</v>
      </c>
      <c r="EZ31" s="73">
        <v>870.58</v>
      </c>
      <c r="FA31" s="73">
        <v>12654</v>
      </c>
      <c r="FB31" s="75"/>
      <c r="FC31" s="74"/>
      <c r="FD31" s="204"/>
      <c r="FE31" s="215"/>
      <c r="FF31" s="28"/>
      <c r="FG31" s="28"/>
      <c r="FH31" s="226">
        <f t="shared" si="14"/>
        <v>0</v>
      </c>
    </row>
    <row r="32" spans="2:164" x14ac:dyDescent="0.25">
      <c r="B32" s="72">
        <v>45865</v>
      </c>
      <c r="C32" s="73">
        <v>10641.49</v>
      </c>
      <c r="D32" s="75"/>
      <c r="E32" s="75"/>
      <c r="F32" s="75">
        <v>12.4</v>
      </c>
      <c r="G32" s="204"/>
      <c r="H32" s="88"/>
      <c r="I32" s="28"/>
      <c r="J32" s="28"/>
      <c r="K32" s="226">
        <f t="shared" si="0"/>
        <v>12.4</v>
      </c>
      <c r="M32" s="72">
        <v>45865</v>
      </c>
      <c r="N32" s="73">
        <v>4299.2700000000004</v>
      </c>
      <c r="O32" s="75"/>
      <c r="P32" s="74">
        <v>10.73</v>
      </c>
      <c r="Q32" s="204"/>
      <c r="R32" s="215"/>
      <c r="S32" s="28"/>
      <c r="T32" s="28"/>
      <c r="U32" s="226">
        <f t="shared" si="1"/>
        <v>10.73</v>
      </c>
      <c r="W32" s="72">
        <v>45865</v>
      </c>
      <c r="X32" s="73">
        <v>818.96</v>
      </c>
      <c r="Y32" s="73">
        <v>227.22</v>
      </c>
      <c r="Z32" s="75"/>
      <c r="AA32" s="73">
        <v>0</v>
      </c>
      <c r="AB32" s="204"/>
      <c r="AC32" s="88"/>
      <c r="AD32" s="329"/>
      <c r="AE32" s="28"/>
      <c r="AF32" s="226">
        <f t="shared" si="15"/>
        <v>0</v>
      </c>
      <c r="AI32" s="72">
        <v>45865</v>
      </c>
      <c r="AJ32" s="73">
        <v>2415.94</v>
      </c>
      <c r="AK32" s="75"/>
      <c r="AL32" s="74"/>
      <c r="AM32" s="204"/>
      <c r="AN32" s="215"/>
      <c r="AO32" s="28"/>
      <c r="AP32" s="28"/>
      <c r="AQ32" s="226">
        <f t="shared" si="16"/>
        <v>0</v>
      </c>
      <c r="AS32" s="72">
        <v>45865</v>
      </c>
      <c r="AT32" s="73">
        <v>4095.37</v>
      </c>
      <c r="AU32" s="75"/>
      <c r="AV32" s="76"/>
      <c r="AW32" s="204"/>
      <c r="AX32" s="215"/>
      <c r="AY32" s="28"/>
      <c r="AZ32" s="28"/>
      <c r="BA32" s="226">
        <f t="shared" si="17"/>
        <v>0</v>
      </c>
      <c r="BC32" s="72">
        <v>45865</v>
      </c>
      <c r="BD32" s="73">
        <v>3041.99</v>
      </c>
      <c r="BE32" s="75"/>
      <c r="BF32" s="76">
        <v>0</v>
      </c>
      <c r="BG32" s="204"/>
      <c r="BH32" s="88"/>
      <c r="BI32" s="28"/>
      <c r="BJ32" s="28"/>
      <c r="BK32" s="226">
        <f t="shared" si="18"/>
        <v>0</v>
      </c>
      <c r="BM32" s="72">
        <v>45865</v>
      </c>
      <c r="BN32" s="73">
        <v>8577.7000000000007</v>
      </c>
      <c r="BO32" s="73">
        <v>2041.99</v>
      </c>
      <c r="BP32" s="73">
        <v>3963.71</v>
      </c>
      <c r="BQ32" s="75"/>
      <c r="BR32" s="75"/>
      <c r="BS32" s="204"/>
      <c r="BT32" s="88"/>
      <c r="BU32" s="329"/>
      <c r="BV32" s="28"/>
      <c r="BW32" s="226">
        <f t="shared" si="6"/>
        <v>0</v>
      </c>
      <c r="BY32" s="72">
        <v>45865</v>
      </c>
      <c r="BZ32" s="77">
        <v>601.39</v>
      </c>
      <c r="CA32" s="82">
        <v>930.9</v>
      </c>
      <c r="CB32" s="75"/>
      <c r="CC32" s="74"/>
      <c r="CD32" s="204"/>
      <c r="CE32" s="215"/>
      <c r="CF32" s="329"/>
      <c r="CG32" s="335"/>
      <c r="CH32" s="226">
        <f t="shared" si="7"/>
        <v>0</v>
      </c>
      <c r="CJ32" s="72">
        <v>45865</v>
      </c>
      <c r="CK32" s="73">
        <v>2607.63</v>
      </c>
      <c r="CL32" s="73">
        <v>186.78</v>
      </c>
      <c r="CM32" s="75"/>
      <c r="CN32" s="74">
        <v>0</v>
      </c>
      <c r="CO32" s="204"/>
      <c r="CP32" s="88">
        <v>52.485999999999962</v>
      </c>
      <c r="CQ32" s="329"/>
      <c r="CR32" s="28"/>
      <c r="CS32" s="226">
        <f t="shared" si="8"/>
        <v>52.485999999999962</v>
      </c>
      <c r="CU32" s="72">
        <v>45865</v>
      </c>
      <c r="CV32" s="73">
        <v>3869.44</v>
      </c>
      <c r="CW32" s="80">
        <v>628.45000000000005</v>
      </c>
      <c r="CX32" s="75"/>
      <c r="CY32" s="74">
        <v>93.79</v>
      </c>
      <c r="CZ32" s="204"/>
      <c r="DA32" s="88"/>
      <c r="DB32" s="28"/>
      <c r="DC32" s="28"/>
      <c r="DD32" s="226">
        <f t="shared" si="9"/>
        <v>93.79</v>
      </c>
      <c r="DG32" s="72">
        <v>45865</v>
      </c>
      <c r="DH32" s="73">
        <v>1135.96</v>
      </c>
      <c r="DI32" s="80">
        <v>353.63</v>
      </c>
      <c r="DJ32" s="80"/>
      <c r="DK32" s="74">
        <v>0</v>
      </c>
      <c r="DL32" s="204"/>
      <c r="DM32" s="88"/>
      <c r="DN32" s="28"/>
      <c r="DO32" s="28"/>
      <c r="DP32" s="226">
        <f t="shared" si="10"/>
        <v>0</v>
      </c>
      <c r="DR32" s="72">
        <v>45865</v>
      </c>
      <c r="DS32" s="73">
        <v>967.08</v>
      </c>
      <c r="DT32" s="80">
        <v>1155.92</v>
      </c>
      <c r="DU32" s="80"/>
      <c r="DV32" s="74">
        <v>10.199999999999999</v>
      </c>
      <c r="DW32" s="204"/>
      <c r="DX32" s="215"/>
      <c r="DY32" s="28"/>
      <c r="DZ32" s="28"/>
      <c r="EA32" s="226">
        <f t="shared" si="11"/>
        <v>10.199999999999999</v>
      </c>
      <c r="EC32" s="72">
        <v>45865</v>
      </c>
      <c r="ED32" s="73">
        <v>512.97</v>
      </c>
      <c r="EE32" s="80">
        <v>451.17</v>
      </c>
      <c r="EF32" s="80"/>
      <c r="EG32" s="239">
        <v>0</v>
      </c>
      <c r="EH32" s="204"/>
      <c r="EI32" s="88">
        <v>147.68720000000002</v>
      </c>
      <c r="EJ32" s="328">
        <v>201.90999999999997</v>
      </c>
      <c r="EK32" s="335"/>
      <c r="EL32" s="226">
        <f t="shared" si="12"/>
        <v>349.59719999999999</v>
      </c>
      <c r="EN32" s="72">
        <v>45865</v>
      </c>
      <c r="EO32" s="73">
        <v>3300.14</v>
      </c>
      <c r="EP32" s="81">
        <v>382.78</v>
      </c>
      <c r="EQ32" s="80"/>
      <c r="ER32" s="74">
        <v>0</v>
      </c>
      <c r="ES32" s="204"/>
      <c r="ET32" s="88"/>
      <c r="EU32" s="328">
        <v>60.141289999999998</v>
      </c>
      <c r="EV32" s="28"/>
      <c r="EW32" s="226">
        <f t="shared" si="13"/>
        <v>60.141289999999998</v>
      </c>
      <c r="EY32" s="72">
        <v>45865</v>
      </c>
      <c r="EZ32" s="73">
        <v>623.79999999999995</v>
      </c>
      <c r="FA32" s="73">
        <v>75</v>
      </c>
      <c r="FB32" s="75"/>
      <c r="FC32" s="74"/>
      <c r="FD32" s="204"/>
      <c r="FE32" s="215"/>
      <c r="FF32" s="28"/>
      <c r="FG32" s="28"/>
      <c r="FH32" s="226">
        <f t="shared" si="14"/>
        <v>0</v>
      </c>
    </row>
    <row r="33" spans="2:164" ht="16.5" customHeight="1" x14ac:dyDescent="0.25">
      <c r="B33" s="72">
        <v>45866</v>
      </c>
      <c r="C33" s="73">
        <v>8233.86</v>
      </c>
      <c r="D33" s="74"/>
      <c r="E33" s="75"/>
      <c r="F33" s="74">
        <v>0</v>
      </c>
      <c r="G33" s="204"/>
      <c r="H33" s="88"/>
      <c r="I33" s="28"/>
      <c r="J33" s="28"/>
      <c r="K33" s="226">
        <f t="shared" si="0"/>
        <v>0</v>
      </c>
      <c r="M33" s="72">
        <v>45866</v>
      </c>
      <c r="N33" s="73">
        <v>4339.8599999999997</v>
      </c>
      <c r="O33" s="75"/>
      <c r="P33" s="74">
        <v>0</v>
      </c>
      <c r="Q33" s="204"/>
      <c r="R33" s="215"/>
      <c r="S33" s="28"/>
      <c r="T33" s="28"/>
      <c r="U33" s="226">
        <f t="shared" si="1"/>
        <v>0</v>
      </c>
      <c r="W33" s="72">
        <v>45866</v>
      </c>
      <c r="X33" s="73">
        <v>1342.64</v>
      </c>
      <c r="Y33" s="73">
        <v>261.43</v>
      </c>
      <c r="Z33" s="75"/>
      <c r="AA33" s="73">
        <v>0</v>
      </c>
      <c r="AB33" s="204"/>
      <c r="AC33" s="88"/>
      <c r="AD33" s="329"/>
      <c r="AE33" s="28"/>
      <c r="AF33" s="226">
        <f t="shared" si="15"/>
        <v>0</v>
      </c>
      <c r="AI33" s="72">
        <v>45866</v>
      </c>
      <c r="AJ33" s="73">
        <v>1639.12</v>
      </c>
      <c r="AK33" s="75"/>
      <c r="AL33" s="74"/>
      <c r="AM33" s="204"/>
      <c r="AN33" s="215"/>
      <c r="AO33" s="28"/>
      <c r="AP33" s="28"/>
      <c r="AQ33" s="226">
        <f t="shared" si="16"/>
        <v>0</v>
      </c>
      <c r="AS33" s="72">
        <v>45866</v>
      </c>
      <c r="AT33" s="73">
        <v>2773.32</v>
      </c>
      <c r="AU33" s="75"/>
      <c r="AV33" s="76"/>
      <c r="AW33" s="204"/>
      <c r="AX33" s="215"/>
      <c r="AY33" s="28"/>
      <c r="AZ33" s="28"/>
      <c r="BA33" s="226">
        <f t="shared" si="17"/>
        <v>0</v>
      </c>
      <c r="BC33" s="72">
        <v>45866</v>
      </c>
      <c r="BD33" s="73">
        <v>1732.44</v>
      </c>
      <c r="BE33" s="75"/>
      <c r="BF33" s="76">
        <v>0</v>
      </c>
      <c r="BG33" s="204"/>
      <c r="BH33" s="88"/>
      <c r="BI33" s="28"/>
      <c r="BJ33" s="28"/>
      <c r="BK33" s="226">
        <f t="shared" si="18"/>
        <v>0</v>
      </c>
      <c r="BM33" s="72">
        <v>45866</v>
      </c>
      <c r="BN33" s="73">
        <v>7237.39</v>
      </c>
      <c r="BO33" s="73">
        <v>1076.1199999999999</v>
      </c>
      <c r="BP33" s="73">
        <v>3427.65</v>
      </c>
      <c r="BQ33" s="75"/>
      <c r="BR33" s="75"/>
      <c r="BS33" s="204"/>
      <c r="BT33" s="88">
        <v>74.503064788732402</v>
      </c>
      <c r="BU33" s="329"/>
      <c r="BV33" s="28"/>
      <c r="BW33" s="226">
        <f t="shared" si="6"/>
        <v>74.503064788732402</v>
      </c>
      <c r="BY33" s="72">
        <v>45866</v>
      </c>
      <c r="BZ33" s="77">
        <v>1455.06</v>
      </c>
      <c r="CA33" s="78">
        <v>582.39</v>
      </c>
      <c r="CB33" s="75"/>
      <c r="CC33" s="74"/>
      <c r="CD33" s="204"/>
      <c r="CE33" s="215"/>
      <c r="CF33" s="329"/>
      <c r="CG33" s="335"/>
      <c r="CH33" s="226">
        <f t="shared" si="7"/>
        <v>0</v>
      </c>
      <c r="CJ33" s="72">
        <v>45866</v>
      </c>
      <c r="CK33" s="73">
        <v>3335.51</v>
      </c>
      <c r="CL33" s="73">
        <v>435.05</v>
      </c>
      <c r="CM33" s="75"/>
      <c r="CN33" s="74">
        <v>0</v>
      </c>
      <c r="CO33" s="204"/>
      <c r="CP33" s="88">
        <v>592.00049999999965</v>
      </c>
      <c r="CQ33" s="329"/>
      <c r="CR33" s="28"/>
      <c r="CS33" s="226">
        <f t="shared" si="8"/>
        <v>592.00049999999965</v>
      </c>
      <c r="CU33" s="72">
        <v>45866</v>
      </c>
      <c r="CV33" s="73">
        <v>2093.4499999999998</v>
      </c>
      <c r="CW33" s="80">
        <v>910.81</v>
      </c>
      <c r="CX33" s="75"/>
      <c r="CY33" s="74">
        <v>0</v>
      </c>
      <c r="CZ33" s="204"/>
      <c r="DA33" s="88"/>
      <c r="DB33" s="28"/>
      <c r="DC33" s="28"/>
      <c r="DD33" s="226">
        <f t="shared" si="9"/>
        <v>0</v>
      </c>
      <c r="DG33" s="72">
        <v>45866</v>
      </c>
      <c r="DH33" s="73">
        <v>1312.13</v>
      </c>
      <c r="DI33" s="80">
        <v>178.52</v>
      </c>
      <c r="DJ33" s="80"/>
      <c r="DK33" s="74">
        <v>4</v>
      </c>
      <c r="DL33" s="204"/>
      <c r="DM33" s="88">
        <v>3.2045999999999992</v>
      </c>
      <c r="DN33" s="28"/>
      <c r="DO33" s="28"/>
      <c r="DP33" s="226">
        <f t="shared" si="10"/>
        <v>7.2045999999999992</v>
      </c>
      <c r="DR33" s="72">
        <v>45866</v>
      </c>
      <c r="DS33" s="73">
        <v>675.74</v>
      </c>
      <c r="DT33" s="80">
        <v>1014.94</v>
      </c>
      <c r="DU33" s="80"/>
      <c r="DV33" s="74">
        <v>18.38</v>
      </c>
      <c r="DW33" s="204"/>
      <c r="DX33" s="215"/>
      <c r="DY33" s="28"/>
      <c r="DZ33" s="28"/>
      <c r="EA33" s="226">
        <f t="shared" si="11"/>
        <v>18.38</v>
      </c>
      <c r="EC33" s="72">
        <v>45866</v>
      </c>
      <c r="ED33" s="73">
        <v>939.02</v>
      </c>
      <c r="EE33" s="80">
        <v>431.98</v>
      </c>
      <c r="EF33" s="80"/>
      <c r="EG33" s="239">
        <v>0</v>
      </c>
      <c r="EH33" s="204"/>
      <c r="EI33" s="88">
        <v>245.65468000000001</v>
      </c>
      <c r="EJ33" s="328">
        <v>71.279999999999973</v>
      </c>
      <c r="EK33" s="335"/>
      <c r="EL33" s="226">
        <f t="shared" si="12"/>
        <v>316.93467999999996</v>
      </c>
      <c r="EN33" s="72">
        <v>45866</v>
      </c>
      <c r="EO33" s="73">
        <v>2705.03</v>
      </c>
      <c r="EP33" s="81">
        <v>171.77</v>
      </c>
      <c r="EQ33" s="80"/>
      <c r="ER33" s="74">
        <v>0</v>
      </c>
      <c r="ES33" s="204"/>
      <c r="ET33" s="88"/>
      <c r="EU33" s="328">
        <v>120.42295999999988</v>
      </c>
      <c r="EV33" s="28"/>
      <c r="EW33" s="226">
        <f t="shared" si="13"/>
        <v>120.42295999999988</v>
      </c>
      <c r="EY33" s="72">
        <v>45866</v>
      </c>
      <c r="EZ33" s="73">
        <v>509.4</v>
      </c>
      <c r="FA33" s="73">
        <v>253.02</v>
      </c>
      <c r="FB33" s="75"/>
      <c r="FC33" s="74"/>
      <c r="FD33" s="204"/>
      <c r="FE33" s="215"/>
      <c r="FF33" s="28"/>
      <c r="FG33" s="28"/>
      <c r="FH33" s="226">
        <f t="shared" si="14"/>
        <v>0</v>
      </c>
    </row>
    <row r="34" spans="2:164" x14ac:dyDescent="0.25">
      <c r="B34" s="72">
        <v>45867</v>
      </c>
      <c r="C34" s="73">
        <v>8161.59</v>
      </c>
      <c r="D34" s="75"/>
      <c r="E34" s="75"/>
      <c r="F34" s="75">
        <v>13.39</v>
      </c>
      <c r="G34" s="204"/>
      <c r="H34" s="88"/>
      <c r="I34" s="28"/>
      <c r="J34" s="28"/>
      <c r="K34" s="226">
        <f t="shared" si="0"/>
        <v>13.39</v>
      </c>
      <c r="M34" s="72">
        <v>45867</v>
      </c>
      <c r="N34" s="73">
        <v>3996.14</v>
      </c>
      <c r="O34" s="80"/>
      <c r="P34" s="83">
        <v>16.260000000000002</v>
      </c>
      <c r="Q34" s="204"/>
      <c r="R34" s="215"/>
      <c r="S34" s="28"/>
      <c r="T34" s="28"/>
      <c r="U34" s="226">
        <f t="shared" si="1"/>
        <v>16.260000000000002</v>
      </c>
      <c r="W34" s="72">
        <v>45867</v>
      </c>
      <c r="X34" s="73">
        <v>1726.25</v>
      </c>
      <c r="Y34" s="73">
        <v>480.53</v>
      </c>
      <c r="Z34" s="75"/>
      <c r="AA34" s="73">
        <v>0</v>
      </c>
      <c r="AB34" s="204"/>
      <c r="AC34" s="88"/>
      <c r="AD34" s="329"/>
      <c r="AE34" s="28"/>
      <c r="AF34" s="226">
        <f t="shared" si="15"/>
        <v>0</v>
      </c>
      <c r="AI34" s="72">
        <v>45867</v>
      </c>
      <c r="AJ34" s="73">
        <v>944.41</v>
      </c>
      <c r="AK34" s="80"/>
      <c r="AL34" s="84"/>
      <c r="AM34" s="204"/>
      <c r="AN34" s="215"/>
      <c r="AO34" s="28"/>
      <c r="AP34" s="28"/>
      <c r="AQ34" s="226">
        <f t="shared" si="16"/>
        <v>0</v>
      </c>
      <c r="AS34" s="72">
        <v>45867</v>
      </c>
      <c r="AT34" s="73">
        <v>4026.81</v>
      </c>
      <c r="AU34" s="80"/>
      <c r="AV34" s="83"/>
      <c r="AW34" s="204"/>
      <c r="AX34" s="215"/>
      <c r="AY34" s="28"/>
      <c r="AZ34" s="28"/>
      <c r="BA34" s="226">
        <f t="shared" si="17"/>
        <v>0</v>
      </c>
      <c r="BC34" s="72">
        <v>45867</v>
      </c>
      <c r="BD34" s="73">
        <v>2046.27</v>
      </c>
      <c r="BE34" s="75"/>
      <c r="BF34" s="76">
        <v>0</v>
      </c>
      <c r="BG34" s="204"/>
      <c r="BH34" s="88"/>
      <c r="BI34" s="28"/>
      <c r="BJ34" s="28"/>
      <c r="BK34" s="226">
        <f t="shared" si="18"/>
        <v>0</v>
      </c>
      <c r="BM34" s="72">
        <v>45867</v>
      </c>
      <c r="BN34" s="73">
        <v>7677.09</v>
      </c>
      <c r="BO34" s="73">
        <v>1371.91</v>
      </c>
      <c r="BP34" s="73">
        <v>3453.33</v>
      </c>
      <c r="BQ34" s="75"/>
      <c r="BR34" s="75"/>
      <c r="BS34" s="204"/>
      <c r="BT34" s="88">
        <v>96.23102389788059</v>
      </c>
      <c r="BU34" s="329"/>
      <c r="BV34" s="28"/>
      <c r="BW34" s="226">
        <f t="shared" si="6"/>
        <v>96.23102389788059</v>
      </c>
      <c r="BY34" s="72">
        <v>45867</v>
      </c>
      <c r="BZ34" s="77">
        <v>1603.88</v>
      </c>
      <c r="CA34" s="78">
        <v>663.35</v>
      </c>
      <c r="CB34" s="75"/>
      <c r="CC34" s="74"/>
      <c r="CD34" s="204"/>
      <c r="CE34" s="215"/>
      <c r="CF34" s="329"/>
      <c r="CG34" s="335"/>
      <c r="CH34" s="226">
        <f t="shared" si="7"/>
        <v>0</v>
      </c>
      <c r="CJ34" s="72">
        <v>45867</v>
      </c>
      <c r="CK34" s="73">
        <v>3905.17</v>
      </c>
      <c r="CL34" s="73">
        <v>359.97</v>
      </c>
      <c r="CM34" s="75"/>
      <c r="CN34" s="74">
        <v>0</v>
      </c>
      <c r="CO34" s="204"/>
      <c r="CP34" s="88">
        <v>209.67799999999986</v>
      </c>
      <c r="CQ34" s="329"/>
      <c r="CR34" s="28"/>
      <c r="CS34" s="226">
        <f t="shared" si="8"/>
        <v>209.67799999999986</v>
      </c>
      <c r="CU34" s="72">
        <v>45867</v>
      </c>
      <c r="CV34" s="73">
        <v>4350.1899999999996</v>
      </c>
      <c r="CW34" s="80">
        <v>694.72</v>
      </c>
      <c r="CX34" s="75"/>
      <c r="CY34" s="74">
        <v>45.27</v>
      </c>
      <c r="CZ34" s="204"/>
      <c r="DA34" s="88"/>
      <c r="DB34" s="28"/>
      <c r="DC34" s="28"/>
      <c r="DD34" s="226">
        <f t="shared" si="9"/>
        <v>45.27</v>
      </c>
      <c r="DG34" s="72">
        <v>45867</v>
      </c>
      <c r="DH34" s="73">
        <v>971.53</v>
      </c>
      <c r="DI34" s="80">
        <v>498.62</v>
      </c>
      <c r="DJ34" s="80"/>
      <c r="DK34" s="74">
        <v>4</v>
      </c>
      <c r="DL34" s="204"/>
      <c r="DM34" s="88"/>
      <c r="DN34" s="28"/>
      <c r="DO34" s="28"/>
      <c r="DP34" s="226">
        <f t="shared" si="10"/>
        <v>4</v>
      </c>
      <c r="DR34" s="72">
        <v>45867</v>
      </c>
      <c r="DS34" s="73">
        <v>1372.01</v>
      </c>
      <c r="DT34" s="80">
        <v>1090.24</v>
      </c>
      <c r="DU34" s="80"/>
      <c r="DV34" s="74">
        <v>11</v>
      </c>
      <c r="DW34" s="204"/>
      <c r="DX34" s="215"/>
      <c r="DY34" s="28"/>
      <c r="DZ34" s="28"/>
      <c r="EA34" s="226">
        <f t="shared" si="11"/>
        <v>11</v>
      </c>
      <c r="EC34" s="72">
        <v>45867</v>
      </c>
      <c r="ED34" s="73">
        <v>453.54</v>
      </c>
      <c r="EE34" s="80">
        <v>500.56</v>
      </c>
      <c r="EF34" s="80"/>
      <c r="EG34" s="239">
        <v>0</v>
      </c>
      <c r="EH34" s="204"/>
      <c r="EI34" s="88">
        <v>313.28952000000004</v>
      </c>
      <c r="EJ34" s="328"/>
      <c r="EK34" s="335"/>
      <c r="EL34" s="226">
        <f t="shared" si="12"/>
        <v>313.28952000000004</v>
      </c>
      <c r="EN34" s="72">
        <v>45867</v>
      </c>
      <c r="EO34" s="73">
        <v>3050.19</v>
      </c>
      <c r="EP34" s="81">
        <v>304.20999999999998</v>
      </c>
      <c r="EQ34" s="80"/>
      <c r="ER34" s="74">
        <v>114.11</v>
      </c>
      <c r="ES34" s="204"/>
      <c r="ET34" s="88">
        <v>26.641140000000007</v>
      </c>
      <c r="EU34" s="328">
        <v>311.08852000000024</v>
      </c>
      <c r="EV34" s="28"/>
      <c r="EW34" s="226">
        <f t="shared" si="13"/>
        <v>451.83966000000026</v>
      </c>
      <c r="EY34" s="72">
        <v>45867</v>
      </c>
      <c r="EZ34" s="73">
        <v>606.29999999999995</v>
      </c>
      <c r="FA34" s="73">
        <v>277.57</v>
      </c>
      <c r="FB34" s="75"/>
      <c r="FC34" s="74"/>
      <c r="FD34" s="204"/>
      <c r="FE34" s="215"/>
      <c r="FF34" s="28"/>
      <c r="FG34" s="28"/>
      <c r="FH34" s="226">
        <f t="shared" si="14"/>
        <v>0</v>
      </c>
    </row>
    <row r="35" spans="2:164" x14ac:dyDescent="0.25">
      <c r="B35" s="72">
        <v>45868</v>
      </c>
      <c r="C35" s="73">
        <v>9537.7199999999993</v>
      </c>
      <c r="D35" s="75"/>
      <c r="E35" s="75"/>
      <c r="F35" s="75">
        <v>96.17</v>
      </c>
      <c r="G35" s="204"/>
      <c r="H35" s="88"/>
      <c r="I35" s="28"/>
      <c r="J35" s="28"/>
      <c r="K35" s="226">
        <f t="shared" si="0"/>
        <v>96.17</v>
      </c>
      <c r="M35" s="72">
        <v>45868</v>
      </c>
      <c r="N35" s="73">
        <v>3409.92</v>
      </c>
      <c r="O35" s="80"/>
      <c r="P35" s="83">
        <v>0</v>
      </c>
      <c r="Q35" s="204"/>
      <c r="R35" s="215"/>
      <c r="S35" s="28"/>
      <c r="T35" s="28"/>
      <c r="U35" s="226">
        <f t="shared" si="1"/>
        <v>0</v>
      </c>
      <c r="W35" s="72">
        <v>45868</v>
      </c>
      <c r="X35" s="73">
        <v>1567.07</v>
      </c>
      <c r="Y35" s="73">
        <v>308.08999999999997</v>
      </c>
      <c r="Z35" s="75"/>
      <c r="AA35" s="73">
        <v>0</v>
      </c>
      <c r="AB35" s="204"/>
      <c r="AC35" s="88">
        <v>20.083699999999986</v>
      </c>
      <c r="AD35" s="329">
        <v>29.141770000000008</v>
      </c>
      <c r="AE35" s="28"/>
      <c r="AF35" s="226">
        <f t="shared" si="15"/>
        <v>49.225469999999994</v>
      </c>
      <c r="AI35" s="72">
        <v>45868</v>
      </c>
      <c r="AJ35" s="73">
        <v>1439.84</v>
      </c>
      <c r="AK35" s="80"/>
      <c r="AL35" s="84"/>
      <c r="AM35" s="204"/>
      <c r="AN35" s="215"/>
      <c r="AO35" s="28"/>
      <c r="AP35" s="28"/>
      <c r="AQ35" s="226">
        <f t="shared" si="16"/>
        <v>0</v>
      </c>
      <c r="AS35" s="72">
        <v>45868</v>
      </c>
      <c r="AT35" s="73">
        <v>3147.45</v>
      </c>
      <c r="AU35" s="80"/>
      <c r="AV35" s="83"/>
      <c r="AW35" s="204"/>
      <c r="AX35" s="215"/>
      <c r="AY35" s="28"/>
      <c r="AZ35" s="28"/>
      <c r="BA35" s="226">
        <f t="shared" si="17"/>
        <v>0</v>
      </c>
      <c r="BC35" s="72">
        <v>45868</v>
      </c>
      <c r="BD35" s="73">
        <v>2278.48</v>
      </c>
      <c r="BE35" s="75"/>
      <c r="BF35" s="76">
        <v>14.05</v>
      </c>
      <c r="BG35" s="204"/>
      <c r="BH35" s="88"/>
      <c r="BI35" s="28"/>
      <c r="BJ35" s="28"/>
      <c r="BK35" s="226">
        <f t="shared" si="18"/>
        <v>14.05</v>
      </c>
      <c r="BM35" s="72">
        <v>45868</v>
      </c>
      <c r="BN35" s="73">
        <v>9902.2800000000007</v>
      </c>
      <c r="BO35" s="73">
        <v>1614.03</v>
      </c>
      <c r="BP35" s="73">
        <v>6855.41</v>
      </c>
      <c r="BQ35" s="75"/>
      <c r="BR35" s="75"/>
      <c r="BS35" s="204"/>
      <c r="BT35" s="88">
        <v>33.319633679606326</v>
      </c>
      <c r="BU35" s="329"/>
      <c r="BV35" s="28"/>
      <c r="BW35" s="226">
        <f t="shared" si="6"/>
        <v>33.319633679606326</v>
      </c>
      <c r="BY35" s="72">
        <v>45868</v>
      </c>
      <c r="BZ35" s="77">
        <v>1670.21</v>
      </c>
      <c r="CA35" s="78">
        <v>638.96</v>
      </c>
      <c r="CB35" s="75"/>
      <c r="CC35" s="74"/>
      <c r="CD35" s="204"/>
      <c r="CE35" s="215"/>
      <c r="CF35" s="329">
        <v>19.940000000000055</v>
      </c>
      <c r="CG35" s="335"/>
      <c r="CH35" s="226">
        <f t="shared" si="7"/>
        <v>19.940000000000055</v>
      </c>
      <c r="CJ35" s="72">
        <v>45868</v>
      </c>
      <c r="CK35" s="73">
        <v>4531.28</v>
      </c>
      <c r="CL35" s="73">
        <v>748.75</v>
      </c>
      <c r="CM35" s="75"/>
      <c r="CN35" s="74">
        <v>0</v>
      </c>
      <c r="CO35" s="204"/>
      <c r="CP35" s="88">
        <v>33.832079999999991</v>
      </c>
      <c r="CQ35" s="329"/>
      <c r="CR35" s="28"/>
      <c r="CS35" s="226">
        <f t="shared" si="8"/>
        <v>33.832079999999991</v>
      </c>
      <c r="CU35" s="72">
        <v>45868</v>
      </c>
      <c r="CV35" s="73">
        <v>7448.94</v>
      </c>
      <c r="CW35" s="80">
        <v>513.08000000000004</v>
      </c>
      <c r="CX35" s="75"/>
      <c r="CY35" s="74">
        <v>100.46</v>
      </c>
      <c r="CZ35" s="204"/>
      <c r="DA35" s="88"/>
      <c r="DB35" s="28"/>
      <c r="DC35" s="28"/>
      <c r="DD35" s="226">
        <f t="shared" si="9"/>
        <v>100.46</v>
      </c>
      <c r="DG35" s="72">
        <v>45868</v>
      </c>
      <c r="DH35" s="73">
        <v>1567.36</v>
      </c>
      <c r="DI35" s="80">
        <v>584.27</v>
      </c>
      <c r="DJ35" s="80"/>
      <c r="DK35" s="74">
        <v>0</v>
      </c>
      <c r="DL35" s="204"/>
      <c r="DM35" s="88">
        <v>-3.5612160000000017</v>
      </c>
      <c r="DN35" s="28"/>
      <c r="DO35" s="28"/>
      <c r="DP35" s="226">
        <f t="shared" si="10"/>
        <v>-3.5612160000000017</v>
      </c>
      <c r="DR35" s="72">
        <v>45868</v>
      </c>
      <c r="DS35" s="73">
        <v>901.91</v>
      </c>
      <c r="DT35" s="80">
        <v>951.61</v>
      </c>
      <c r="DU35" s="80"/>
      <c r="DV35" s="74">
        <v>25.16</v>
      </c>
      <c r="DW35" s="204"/>
      <c r="DX35" s="215"/>
      <c r="DY35" s="28"/>
      <c r="DZ35" s="28"/>
      <c r="EA35" s="226">
        <f t="shared" si="11"/>
        <v>25.16</v>
      </c>
      <c r="EC35" s="72">
        <v>45868</v>
      </c>
      <c r="ED35" s="73">
        <v>1028.99</v>
      </c>
      <c r="EE35" s="80">
        <v>862.67</v>
      </c>
      <c r="EF35" s="80"/>
      <c r="EG35" s="239">
        <v>0</v>
      </c>
      <c r="EH35" s="204"/>
      <c r="EI35" s="88">
        <v>777.55111999999986</v>
      </c>
      <c r="EJ35" s="328">
        <v>52.738060000000004</v>
      </c>
      <c r="EK35" s="335"/>
      <c r="EL35" s="226">
        <f t="shared" si="12"/>
        <v>830.28917999999987</v>
      </c>
      <c r="EN35" s="72">
        <v>45868</v>
      </c>
      <c r="EO35" s="73">
        <v>2513.58</v>
      </c>
      <c r="EP35" s="81">
        <v>152</v>
      </c>
      <c r="EQ35" s="80"/>
      <c r="ER35" s="74">
        <v>93.55</v>
      </c>
      <c r="ES35" s="204"/>
      <c r="ET35" s="88">
        <v>77.043600000000055</v>
      </c>
      <c r="EU35" s="328">
        <v>323.11036999999965</v>
      </c>
      <c r="EV35" s="28"/>
      <c r="EW35" s="226">
        <f t="shared" si="13"/>
        <v>493.70396999999969</v>
      </c>
      <c r="EY35" s="72">
        <v>45868</v>
      </c>
      <c r="EZ35" s="73">
        <v>617.97</v>
      </c>
      <c r="FA35" s="73">
        <v>103.97</v>
      </c>
      <c r="FB35" s="75"/>
      <c r="FC35" s="74"/>
      <c r="FD35" s="204"/>
      <c r="FE35" s="215"/>
      <c r="FF35" s="28"/>
      <c r="FG35" s="28"/>
      <c r="FH35" s="226">
        <f t="shared" si="14"/>
        <v>0</v>
      </c>
    </row>
    <row r="36" spans="2:164" ht="15.75" thickBot="1" x14ac:dyDescent="0.3">
      <c r="B36" s="72">
        <v>45869</v>
      </c>
      <c r="C36" s="73">
        <v>7874.6</v>
      </c>
      <c r="D36" s="75"/>
      <c r="E36" s="75"/>
      <c r="F36" s="75">
        <v>41.3</v>
      </c>
      <c r="G36" s="204"/>
      <c r="H36" s="88"/>
      <c r="I36" s="45"/>
      <c r="J36" s="45"/>
      <c r="K36" s="227">
        <f t="shared" si="0"/>
        <v>41.3</v>
      </c>
      <c r="M36" s="72">
        <v>45869</v>
      </c>
      <c r="N36" s="73">
        <v>4152.12</v>
      </c>
      <c r="O36" s="80"/>
      <c r="P36" s="83">
        <v>33.35</v>
      </c>
      <c r="Q36" s="204"/>
      <c r="R36" s="216"/>
      <c r="S36" s="45"/>
      <c r="T36" s="45"/>
      <c r="U36" s="227">
        <f t="shared" si="1"/>
        <v>33.35</v>
      </c>
      <c r="W36" s="72">
        <v>45869</v>
      </c>
      <c r="X36" s="73">
        <v>958.49</v>
      </c>
      <c r="Y36" s="73">
        <v>0</v>
      </c>
      <c r="Z36" s="75"/>
      <c r="AA36" s="73">
        <v>0</v>
      </c>
      <c r="AB36" s="204"/>
      <c r="AC36" s="88"/>
      <c r="AD36" s="329">
        <v>12.944279999999992</v>
      </c>
      <c r="AE36" s="45"/>
      <c r="AF36" s="227">
        <f t="shared" si="15"/>
        <v>12.944279999999992</v>
      </c>
      <c r="AI36" s="72">
        <v>45869</v>
      </c>
      <c r="AJ36" s="73">
        <v>1034.17</v>
      </c>
      <c r="AK36" s="80"/>
      <c r="AL36" s="84"/>
      <c r="AM36" s="204"/>
      <c r="AN36" s="216"/>
      <c r="AO36" s="45"/>
      <c r="AP36" s="45"/>
      <c r="AQ36" s="227">
        <f t="shared" si="16"/>
        <v>0</v>
      </c>
      <c r="AS36" s="72">
        <v>45869</v>
      </c>
      <c r="AT36" s="73">
        <v>3210.68</v>
      </c>
      <c r="AU36" s="80"/>
      <c r="AV36" s="83"/>
      <c r="AW36" s="204"/>
      <c r="AX36" s="216"/>
      <c r="AY36" s="45"/>
      <c r="AZ36" s="45"/>
      <c r="BA36" s="227">
        <f t="shared" si="17"/>
        <v>0</v>
      </c>
      <c r="BC36" s="72">
        <v>45869</v>
      </c>
      <c r="BD36" s="73">
        <v>2519.6799999999998</v>
      </c>
      <c r="BE36" s="75"/>
      <c r="BF36" s="76">
        <v>20.61</v>
      </c>
      <c r="BG36" s="204"/>
      <c r="BH36" s="88"/>
      <c r="BI36" s="45"/>
      <c r="BJ36" s="45"/>
      <c r="BK36" s="227">
        <f t="shared" si="18"/>
        <v>20.61</v>
      </c>
      <c r="BM36" s="72">
        <v>45869</v>
      </c>
      <c r="BN36" s="73">
        <v>11213.88</v>
      </c>
      <c r="BO36" s="73">
        <v>2729.6</v>
      </c>
      <c r="BP36" s="73">
        <v>6980.09</v>
      </c>
      <c r="BQ36" s="75"/>
      <c r="BR36" s="75"/>
      <c r="BS36" s="204"/>
      <c r="BT36" s="88">
        <v>182.19391549295773</v>
      </c>
      <c r="BU36" s="329">
        <v>45.459999999999994</v>
      </c>
      <c r="BV36" s="45"/>
      <c r="BW36" s="227">
        <f t="shared" si="6"/>
        <v>227.65391549295771</v>
      </c>
      <c r="BY36" s="72">
        <v>45869</v>
      </c>
      <c r="BZ36" s="77">
        <v>1341.04</v>
      </c>
      <c r="CA36" s="78">
        <v>321.10000000000002</v>
      </c>
      <c r="CB36" s="75"/>
      <c r="CC36" s="74"/>
      <c r="CD36" s="204"/>
      <c r="CE36" s="216"/>
      <c r="CF36" s="329"/>
      <c r="CG36" s="336">
        <v>8.6368895999999893</v>
      </c>
      <c r="CH36" s="227">
        <f t="shared" si="7"/>
        <v>8.6368895999999893</v>
      </c>
      <c r="CJ36" s="72">
        <v>45869</v>
      </c>
      <c r="CK36" s="73">
        <v>7924.74</v>
      </c>
      <c r="CL36" s="73">
        <v>385.21</v>
      </c>
      <c r="CM36" s="75"/>
      <c r="CN36" s="74">
        <v>27.76</v>
      </c>
      <c r="CO36" s="204"/>
      <c r="CP36" s="88">
        <v>357.24957999999987</v>
      </c>
      <c r="CQ36" s="329"/>
      <c r="CR36" s="45"/>
      <c r="CS36" s="227">
        <f t="shared" si="8"/>
        <v>385.00957999999986</v>
      </c>
      <c r="CU36" s="72">
        <v>45869</v>
      </c>
      <c r="CV36" s="73">
        <v>11957.85</v>
      </c>
      <c r="CW36" s="80">
        <v>1166.1199999999999</v>
      </c>
      <c r="CX36" s="75"/>
      <c r="CY36" s="74">
        <v>106.58</v>
      </c>
      <c r="CZ36" s="204"/>
      <c r="DA36" s="88"/>
      <c r="DB36" s="45"/>
      <c r="DC36" s="45"/>
      <c r="DD36" s="227">
        <f t="shared" si="9"/>
        <v>106.58</v>
      </c>
      <c r="DG36" s="72">
        <v>45869</v>
      </c>
      <c r="DH36" s="73">
        <v>1678.5</v>
      </c>
      <c r="DI36" s="80">
        <v>233.25</v>
      </c>
      <c r="DJ36" s="80"/>
      <c r="DK36" s="74">
        <v>39.49</v>
      </c>
      <c r="DL36" s="204"/>
      <c r="DM36" s="88">
        <v>6.0961979999999869</v>
      </c>
      <c r="DN36" s="45"/>
      <c r="DO36" s="45"/>
      <c r="DP36" s="227">
        <f t="shared" si="10"/>
        <v>45.586197999999989</v>
      </c>
      <c r="DR36" s="72">
        <v>45869</v>
      </c>
      <c r="DS36" s="73">
        <v>989.71</v>
      </c>
      <c r="DT36" s="80">
        <v>1114.5</v>
      </c>
      <c r="DU36" s="80"/>
      <c r="DV36" s="74">
        <v>8.5</v>
      </c>
      <c r="DW36" s="204"/>
      <c r="DX36" s="216"/>
      <c r="DY36" s="45"/>
      <c r="DZ36" s="45"/>
      <c r="EA36" s="227">
        <f t="shared" si="11"/>
        <v>8.5</v>
      </c>
      <c r="EC36" s="72">
        <v>45869</v>
      </c>
      <c r="ED36" s="73">
        <v>688.5</v>
      </c>
      <c r="EE36" s="80">
        <v>922.01</v>
      </c>
      <c r="EF36" s="80"/>
      <c r="EG36" s="239">
        <v>0</v>
      </c>
      <c r="EH36" s="204"/>
      <c r="EI36" s="88">
        <v>575.39736000000005</v>
      </c>
      <c r="EJ36" s="328"/>
      <c r="EK36" s="336"/>
      <c r="EL36" s="227">
        <f t="shared" si="12"/>
        <v>575.39736000000005</v>
      </c>
      <c r="EN36" s="72">
        <v>45869</v>
      </c>
      <c r="EO36" s="73">
        <v>2723.24</v>
      </c>
      <c r="EP36" s="85">
        <v>368.29</v>
      </c>
      <c r="EQ36" s="80"/>
      <c r="ER36" s="74">
        <v>119.01</v>
      </c>
      <c r="ES36" s="204"/>
      <c r="ET36" s="88">
        <v>45.198460000000026</v>
      </c>
      <c r="EU36" s="328"/>
      <c r="EV36" s="45"/>
      <c r="EW36" s="227">
        <f t="shared" si="13"/>
        <v>164.20846000000003</v>
      </c>
      <c r="EY36" s="72">
        <v>45869</v>
      </c>
      <c r="EZ36" s="73">
        <v>352.85</v>
      </c>
      <c r="FA36" s="73">
        <v>45</v>
      </c>
      <c r="FB36" s="75"/>
      <c r="FC36" s="74"/>
      <c r="FD36" s="204"/>
      <c r="FE36" s="216"/>
      <c r="FF36" s="45"/>
      <c r="FG36" s="45"/>
      <c r="FH36" s="227">
        <f t="shared" si="14"/>
        <v>0</v>
      </c>
    </row>
    <row r="37" spans="2:164" s="321" customFormat="1" ht="15.75" thickBot="1" x14ac:dyDescent="0.3">
      <c r="C37" s="86">
        <f>SUM(C6:C36)</f>
        <v>316919.23</v>
      </c>
      <c r="D37" s="86">
        <f>SUM(D6:D36)</f>
        <v>0</v>
      </c>
      <c r="F37" s="86">
        <f>SUM(F6:F36)</f>
        <v>1488.67</v>
      </c>
      <c r="G37" s="322"/>
      <c r="H37" s="323">
        <f t="shared" ref="H37" si="19">SUM(H6:H36)</f>
        <v>176.5</v>
      </c>
      <c r="I37" s="324">
        <f t="shared" ref="I37" si="20">SUM(I6:I36)</f>
        <v>4.2012199999999922</v>
      </c>
      <c r="J37" s="324">
        <f t="shared" ref="J37" si="21">SUM(J6:J36)</f>
        <v>0</v>
      </c>
      <c r="K37" s="324">
        <f t="shared" ref="K37" si="22">SUM(K6:K36)</f>
        <v>1669.3712200000002</v>
      </c>
      <c r="N37" s="86">
        <f>SUM(N6:N36)</f>
        <v>105432.06000000001</v>
      </c>
      <c r="O37" s="86"/>
      <c r="P37" s="86">
        <f>SUM(P6:P36)</f>
        <v>678.8599999999999</v>
      </c>
      <c r="Q37" s="322"/>
      <c r="R37" s="323">
        <f t="shared" ref="R37" si="23">SUM(R6:R36)</f>
        <v>0</v>
      </c>
      <c r="S37" s="324">
        <f t="shared" ref="S37" si="24">SUM(S6:S36)</f>
        <v>0</v>
      </c>
      <c r="T37" s="324">
        <f t="shared" ref="T37" si="25">SUM(T6:T36)</f>
        <v>0</v>
      </c>
      <c r="U37" s="324">
        <f t="shared" ref="U37" si="26">SUM(U6:U36)</f>
        <v>678.8599999999999</v>
      </c>
      <c r="X37" s="86">
        <f>SUM(X6:X36)</f>
        <v>58667.86</v>
      </c>
      <c r="Y37" s="86">
        <f>SUM(Y6:Y36)</f>
        <v>6563.92</v>
      </c>
      <c r="AA37" s="86">
        <f>SUM(AA6:AA35)</f>
        <v>5.13</v>
      </c>
      <c r="AB37" s="322"/>
      <c r="AC37" s="323">
        <f t="shared" ref="AC37" si="27">SUM(AC6:AC36)</f>
        <v>256.86728999999991</v>
      </c>
      <c r="AD37" s="324">
        <f t="shared" ref="AD37" si="28">SUM(AD6:AD36)</f>
        <v>162.27027999999999</v>
      </c>
      <c r="AE37" s="324">
        <f t="shared" ref="AE37" si="29">SUM(AE6:AE36)</f>
        <v>0</v>
      </c>
      <c r="AF37" s="324">
        <f t="shared" ref="AF37" si="30">SUM(AF6:AF36)</f>
        <v>424.26756999999998</v>
      </c>
      <c r="AJ37" s="86">
        <f>SUM(AJ6:AJ36)</f>
        <v>42370.15</v>
      </c>
      <c r="AM37" s="322"/>
      <c r="AN37" s="323">
        <f t="shared" ref="AN37" si="31">SUM(AN6:AN36)</f>
        <v>0</v>
      </c>
      <c r="AO37" s="324">
        <f t="shared" ref="AO37" si="32">SUM(AO6:AO36)</f>
        <v>0</v>
      </c>
      <c r="AP37" s="324">
        <f t="shared" ref="AP37" si="33">SUM(AP6:AP36)</f>
        <v>0</v>
      </c>
      <c r="AQ37" s="324">
        <f t="shared" ref="AQ37" si="34">SUM(AQ6:AQ36)</f>
        <v>0</v>
      </c>
      <c r="AT37" s="86">
        <f>SUM(AT6:AT36)</f>
        <v>115363.05999999998</v>
      </c>
      <c r="AV37" s="86">
        <f>SUM(AV6:AV36)</f>
        <v>0</v>
      </c>
      <c r="AW37" s="322"/>
      <c r="AX37" s="323">
        <f t="shared" ref="AX37" si="35">SUM(AX6:AX36)</f>
        <v>0</v>
      </c>
      <c r="AY37" s="324">
        <f t="shared" ref="AY37" si="36">SUM(AY6:AY36)</f>
        <v>0</v>
      </c>
      <c r="AZ37" s="324">
        <f t="shared" ref="AZ37" si="37">SUM(AZ6:AZ36)</f>
        <v>0</v>
      </c>
      <c r="BA37" s="324">
        <f t="shared" ref="BA37" si="38">SUM(BA6:BA36)</f>
        <v>0</v>
      </c>
      <c r="BD37" s="86">
        <f>SUM(BD6:BD36)</f>
        <v>103920.18</v>
      </c>
      <c r="BF37" s="86">
        <f>SUM(BF6:BF36)</f>
        <v>333.32000000000011</v>
      </c>
      <c r="BG37" s="322"/>
      <c r="BH37" s="323">
        <f t="shared" ref="BH37" si="39">SUM(BH6:BH36)</f>
        <v>0</v>
      </c>
      <c r="BI37" s="324">
        <f t="shared" ref="BI37" si="40">SUM(BI6:BI36)</f>
        <v>0</v>
      </c>
      <c r="BJ37" s="324">
        <f t="shared" ref="BJ37" si="41">SUM(BJ6:BJ36)</f>
        <v>0</v>
      </c>
      <c r="BK37" s="324">
        <f t="shared" ref="BK37" si="42">SUM(BK6:BK36)</f>
        <v>333.32000000000011</v>
      </c>
      <c r="BN37" s="86">
        <f>SUM(BN6:BN36)</f>
        <v>405315.93000000005</v>
      </c>
      <c r="BO37" s="86">
        <f>SUM(BO6:BO36)</f>
        <v>80460.59</v>
      </c>
      <c r="BP37" s="86">
        <f>SUM(BP6:BP36)</f>
        <v>204111.34999999998</v>
      </c>
      <c r="BQ37" s="86">
        <f t="shared" ref="BQ37:BR37" si="43">SUM(BQ6:BQ36)</f>
        <v>0</v>
      </c>
      <c r="BR37" s="86">
        <f t="shared" si="43"/>
        <v>0</v>
      </c>
      <c r="BS37" s="322"/>
      <c r="BT37" s="323">
        <f t="shared" ref="BT37" si="44">SUM(BT6:BT36)</f>
        <v>3779.4914728932149</v>
      </c>
      <c r="BU37" s="324">
        <f t="shared" ref="BU37" si="45">SUM(BU6:BU36)</f>
        <v>4176.3880499999996</v>
      </c>
      <c r="BV37" s="324">
        <f t="shared" ref="BV37" si="46">SUM(BV6:BV36)</f>
        <v>0</v>
      </c>
      <c r="BW37" s="324">
        <f t="shared" ref="BW37" si="47">SUM(BW6:BW36)</f>
        <v>7955.8795228932149</v>
      </c>
      <c r="BZ37" s="86">
        <f>SUM(BZ6:BZ36)</f>
        <v>38853.729999999989</v>
      </c>
      <c r="CA37" s="86">
        <f>SUM(CA6:CA36)</f>
        <v>16957.679999999997</v>
      </c>
      <c r="CC37" s="86"/>
      <c r="CD37" s="322"/>
      <c r="CE37" s="323">
        <f t="shared" ref="CE37" si="48">SUM(CE6:CE36)</f>
        <v>115.49999999999989</v>
      </c>
      <c r="CF37" s="324">
        <f t="shared" ref="CF37" si="49">SUM(CF6:CF36)</f>
        <v>570.21013000000039</v>
      </c>
      <c r="CG37" s="324">
        <f t="shared" ref="CG37" si="50">SUM(CG6:CG36)</f>
        <v>21.001407199999989</v>
      </c>
      <c r="CH37" s="324">
        <f t="shared" ref="CH37" si="51">SUM(CH6:CH36)</f>
        <v>706.71153720000029</v>
      </c>
      <c r="CK37" s="86">
        <f>SUM(CK6:CK36)</f>
        <v>126762.73</v>
      </c>
      <c r="CL37" s="86">
        <f>SUM(CL6:CL36)</f>
        <v>15011.109999999999</v>
      </c>
      <c r="CN37" s="86">
        <f>SUM(CN6:CN36)</f>
        <v>278.83</v>
      </c>
      <c r="CO37" s="322"/>
      <c r="CP37" s="323">
        <f t="shared" ref="CP37" si="52">SUM(CP6:CP36)</f>
        <v>5178.1545099999967</v>
      </c>
      <c r="CQ37" s="324">
        <f t="shared" ref="CQ37" si="53">SUM(CQ6:CQ36)</f>
        <v>224.38710000000006</v>
      </c>
      <c r="CR37" s="324">
        <f t="shared" ref="CR37" si="54">SUM(CR6:CR36)</f>
        <v>0</v>
      </c>
      <c r="CS37" s="324">
        <f t="shared" ref="CS37" si="55">SUM(CS6:CS36)</f>
        <v>5681.3716099999983</v>
      </c>
      <c r="CV37" s="86">
        <f>SUM(CV6:CV36)</f>
        <v>205194.52000000005</v>
      </c>
      <c r="CW37" s="86">
        <f>SUM(CW6:CW36)</f>
        <v>22442.600000000002</v>
      </c>
      <c r="CY37" s="86">
        <f>SUM(CY6:CY36)</f>
        <v>3901.4900000000002</v>
      </c>
      <c r="CZ37" s="322"/>
      <c r="DA37" s="323">
        <f t="shared" ref="DA37" si="56">SUM(DA6:DA36)</f>
        <v>4285.9266000000071</v>
      </c>
      <c r="DB37" s="324">
        <f t="shared" ref="DB37" si="57">SUM(DB6:DB36)</f>
        <v>0</v>
      </c>
      <c r="DC37" s="324">
        <f t="shared" ref="DC37" si="58">SUM(DC6:DC36)</f>
        <v>0</v>
      </c>
      <c r="DD37" s="324">
        <f t="shared" ref="DD37" si="59">SUM(DD6:DD36)</f>
        <v>8187.4166000000077</v>
      </c>
      <c r="DH37" s="86">
        <f>SUM(DH6:DH36)</f>
        <v>54480.22</v>
      </c>
      <c r="DI37" s="86">
        <f>SUM(DI6:DI36)</f>
        <v>14051.93</v>
      </c>
      <c r="DK37" s="86">
        <f>SUM(DK6:DK36)</f>
        <v>298.84000000000003</v>
      </c>
      <c r="DL37" s="322"/>
      <c r="DM37" s="323">
        <f t="shared" ref="DM37" si="60">SUM(DM6:DM36)</f>
        <v>105.05036899999986</v>
      </c>
      <c r="DN37" s="324">
        <f t="shared" ref="DN37" si="61">SUM(DN6:DN36)</f>
        <v>20.099729999999965</v>
      </c>
      <c r="DO37" s="324">
        <f t="shared" ref="DO37" si="62">SUM(DO6:DO36)</f>
        <v>0</v>
      </c>
      <c r="DP37" s="324">
        <f t="shared" ref="DP37" si="63">SUM(DP6:DP36)</f>
        <v>423.99009899999982</v>
      </c>
      <c r="DS37" s="257">
        <f>SUM(DS6:DS36)</f>
        <v>38736.285000000003</v>
      </c>
      <c r="DT37" s="86">
        <f>SUM(DT6:DT36)</f>
        <v>43906.87</v>
      </c>
      <c r="DV37" s="257">
        <f>SUM(DV6:DV36)</f>
        <v>691.82</v>
      </c>
      <c r="DW37" s="322"/>
      <c r="DX37" s="323">
        <f t="shared" ref="DX37" si="64">SUM(DX6:DX36)</f>
        <v>0</v>
      </c>
      <c r="DY37" s="324">
        <f t="shared" ref="DY37" si="65">SUM(DY6:DY36)</f>
        <v>66.270259999999979</v>
      </c>
      <c r="DZ37" s="324">
        <f t="shared" ref="DZ37" si="66">SUM(DZ6:DZ36)</f>
        <v>0</v>
      </c>
      <c r="EA37" s="324">
        <f t="shared" ref="EA37" si="67">SUM(EA6:EA36)</f>
        <v>758.09026000000006</v>
      </c>
      <c r="ED37" s="86">
        <f>SUM(ED6:ED36)</f>
        <v>29094.97</v>
      </c>
      <c r="EE37" s="86">
        <f>SUM(EE6:EE36)</f>
        <v>21071.3</v>
      </c>
      <c r="EG37" s="86">
        <f>SUM(EG6:EG36)</f>
        <v>34.99</v>
      </c>
      <c r="EH37" s="322"/>
      <c r="EI37" s="323">
        <f t="shared" ref="EI37" si="68">SUM(EI6:EI36)</f>
        <v>20899.198269999993</v>
      </c>
      <c r="EJ37" s="324">
        <f t="shared" ref="EJ37" si="69">SUM(EJ6:EJ36)</f>
        <v>1584.5191999999997</v>
      </c>
      <c r="EK37" s="324">
        <f t="shared" ref="EK37" si="70">SUM(EK6:EK36)</f>
        <v>117.6117227</v>
      </c>
      <c r="EL37" s="324">
        <f t="shared" ref="EL37" si="71">SUM(EL6:EL36)</f>
        <v>22636.319192699993</v>
      </c>
      <c r="EN37" s="325"/>
      <c r="EO37" s="86">
        <f>SUM(EO6:EO36)</f>
        <v>119667.35999999999</v>
      </c>
      <c r="EP37" s="86">
        <f>SUM(EP6:EP36)</f>
        <v>11318.420000000002</v>
      </c>
      <c r="ER37" s="86">
        <f>SUM(ER6:ER36)</f>
        <v>1762.15</v>
      </c>
      <c r="ES37" s="322"/>
      <c r="ET37" s="323">
        <f t="shared" ref="ET37" si="72">SUM(ET6:ET36)</f>
        <v>693.12803000000019</v>
      </c>
      <c r="EU37" s="324">
        <f t="shared" ref="EU37" si="73">SUM(EU6:EU36)</f>
        <v>3616.1313899999996</v>
      </c>
      <c r="EV37" s="324">
        <f t="shared" ref="EV37" si="74">SUM(EV6:EV36)</f>
        <v>0</v>
      </c>
      <c r="EW37" s="324">
        <f t="shared" ref="EW37" si="75">SUM(EW6:EW36)</f>
        <v>6071.409419999999</v>
      </c>
      <c r="EZ37" s="86">
        <f>SUM(EZ6:EZ36)</f>
        <v>19486.880000000005</v>
      </c>
      <c r="FA37" s="86">
        <f>SUM(FA6:FA36)</f>
        <v>18535.280000000002</v>
      </c>
      <c r="FC37" s="86">
        <f>SUM(FC6:FC36)</f>
        <v>0</v>
      </c>
      <c r="FD37" s="322"/>
      <c r="FE37" s="323">
        <f t="shared" ref="FE37" si="76">SUM(FE6:FE36)</f>
        <v>0</v>
      </c>
      <c r="FF37" s="324">
        <f t="shared" ref="FF37" si="77">SUM(FF6:FF36)</f>
        <v>0</v>
      </c>
      <c r="FG37" s="324">
        <f t="shared" ref="FG37" si="78">SUM(FG6:FG36)</f>
        <v>0</v>
      </c>
      <c r="FH37" s="324">
        <f t="shared" ref="FH37" si="79">SUM(FH6:FH36)</f>
        <v>0</v>
      </c>
    </row>
    <row r="38" spans="2:164" x14ac:dyDescent="0.25">
      <c r="DS38" s="90"/>
      <c r="EN38" s="87"/>
    </row>
    <row r="39" spans="2:164" x14ac:dyDescent="0.25">
      <c r="DS39" s="90"/>
      <c r="EN39" s="87"/>
    </row>
    <row r="40" spans="2:164" x14ac:dyDescent="0.25">
      <c r="G40" s="211"/>
      <c r="H40" s="1"/>
      <c r="I40" s="1"/>
      <c r="J40" s="1"/>
      <c r="K40" s="1"/>
      <c r="Q40" s="211"/>
      <c r="R40" s="1"/>
      <c r="S40" s="1"/>
      <c r="T40" s="1"/>
      <c r="U40" s="1"/>
      <c r="AB40" s="211"/>
      <c r="AC40" s="1"/>
      <c r="AD40" s="1"/>
      <c r="AE40" s="1"/>
      <c r="AF40" s="1"/>
      <c r="AM40" s="211"/>
      <c r="AN40" s="1"/>
      <c r="AO40" s="1"/>
      <c r="AP40" s="1"/>
      <c r="AQ40" s="1"/>
      <c r="AW40" s="211"/>
      <c r="AX40" s="1"/>
      <c r="AY40" s="1"/>
      <c r="AZ40" s="1"/>
      <c r="BA40" s="1"/>
      <c r="BG40" s="211"/>
      <c r="BH40" s="1"/>
      <c r="BI40" s="1"/>
      <c r="BJ40" s="1"/>
      <c r="BK40" s="1"/>
      <c r="BS40" s="211"/>
      <c r="BT40" s="1"/>
      <c r="BU40" s="1"/>
      <c r="BV40" s="1"/>
      <c r="BW40" s="1"/>
      <c r="CD40" s="211"/>
      <c r="CE40" s="1"/>
      <c r="CF40" s="1"/>
      <c r="CG40" s="1"/>
      <c r="CH40" s="1"/>
      <c r="CO40" s="211"/>
      <c r="CP40" s="1"/>
      <c r="CQ40" s="1"/>
      <c r="CR40" s="1"/>
      <c r="CS40" s="1"/>
      <c r="CZ40" s="211"/>
      <c r="DA40" s="1"/>
      <c r="DB40" s="1"/>
      <c r="DC40" s="1"/>
      <c r="DD40" s="1"/>
      <c r="DL40" s="211"/>
      <c r="DM40" s="1"/>
      <c r="DN40" s="1"/>
      <c r="DO40" s="1"/>
      <c r="DP40" s="1"/>
      <c r="DS40" s="90"/>
      <c r="DW40" s="211"/>
      <c r="DX40" s="1"/>
      <c r="DY40" s="1"/>
      <c r="DZ40" s="1"/>
      <c r="EA40" s="1"/>
      <c r="EH40" s="211"/>
      <c r="EI40" s="1"/>
      <c r="EJ40" s="1"/>
      <c r="EK40" s="1"/>
      <c r="EL40" s="1"/>
      <c r="ES40" s="211"/>
      <c r="ET40" s="1"/>
      <c r="EU40" s="1"/>
      <c r="EV40" s="1"/>
      <c r="EW40" s="1"/>
      <c r="FD40" s="211"/>
      <c r="FE40" s="1"/>
      <c r="FF40" s="1"/>
      <c r="FG40" s="1"/>
      <c r="FH40" s="1"/>
    </row>
    <row r="41" spans="2:164" x14ac:dyDescent="0.25">
      <c r="DS41" s="90"/>
    </row>
    <row r="42" spans="2:164" ht="21" customHeight="1" x14ac:dyDescent="0.35">
      <c r="B42" s="231" t="s">
        <v>24</v>
      </c>
      <c r="C42" s="231"/>
      <c r="D42" s="231"/>
      <c r="E42" s="231"/>
      <c r="F42" s="231"/>
      <c r="G42" s="212"/>
      <c r="M42" s="346" t="s">
        <v>25</v>
      </c>
      <c r="N42" s="346"/>
      <c r="O42" s="346"/>
      <c r="P42" s="346"/>
      <c r="Q42" s="212"/>
      <c r="W42" s="231" t="s">
        <v>26</v>
      </c>
      <c r="X42" s="231"/>
      <c r="Y42" s="231"/>
      <c r="Z42" s="231"/>
      <c r="AA42" s="231"/>
      <c r="AB42" s="212"/>
      <c r="AI42" s="346" t="s">
        <v>27</v>
      </c>
      <c r="AJ42" s="346"/>
      <c r="AK42" s="346"/>
      <c r="AL42" s="346"/>
      <c r="AM42" s="346"/>
      <c r="AN42" s="346"/>
      <c r="AO42" s="346"/>
      <c r="AP42" s="346"/>
      <c r="AQ42" s="346"/>
      <c r="AS42" s="346" t="s">
        <v>28</v>
      </c>
      <c r="AT42" s="346"/>
      <c r="AU42" s="346"/>
      <c r="AV42" s="346"/>
      <c r="AW42" s="346"/>
      <c r="AX42" s="346"/>
      <c r="AY42" s="346"/>
      <c r="AZ42" s="346"/>
      <c r="BA42" s="346"/>
      <c r="BC42" s="346" t="s">
        <v>29</v>
      </c>
      <c r="BD42" s="346"/>
      <c r="BE42" s="346"/>
      <c r="BF42" s="346"/>
      <c r="BG42" s="346"/>
      <c r="BH42" s="346"/>
      <c r="BI42" s="346"/>
      <c r="BJ42" s="346"/>
      <c r="BK42" s="346"/>
      <c r="BM42" s="231" t="s">
        <v>30</v>
      </c>
      <c r="BN42" s="231"/>
      <c r="BO42" s="231"/>
      <c r="BP42" s="231"/>
      <c r="BQ42" s="151"/>
      <c r="BR42" s="231"/>
      <c r="BS42" s="151"/>
      <c r="BT42" s="151"/>
      <c r="BU42" s="151"/>
      <c r="BV42" s="151"/>
      <c r="BW42" s="151"/>
      <c r="BY42" s="231" t="s">
        <v>31</v>
      </c>
      <c r="BZ42" s="231"/>
      <c r="CA42" s="231"/>
      <c r="CB42" s="231"/>
      <c r="CC42" s="231"/>
      <c r="CD42" s="151"/>
      <c r="CE42" s="151"/>
      <c r="CF42" s="151"/>
      <c r="CG42" s="151"/>
      <c r="CH42" s="151"/>
      <c r="CJ42" s="231" t="s">
        <v>32</v>
      </c>
      <c r="CK42" s="231"/>
      <c r="CL42" s="231"/>
      <c r="CM42" s="231"/>
      <c r="CN42" s="231"/>
      <c r="CO42" s="151"/>
      <c r="CP42" s="151"/>
      <c r="CQ42" s="151"/>
      <c r="CR42" s="151"/>
      <c r="CS42" s="151"/>
      <c r="CU42" s="231" t="s">
        <v>33</v>
      </c>
      <c r="CV42" s="231"/>
      <c r="CW42" s="231"/>
      <c r="CX42" s="231"/>
      <c r="CY42" s="231"/>
      <c r="CZ42" s="151"/>
      <c r="DA42" s="151"/>
      <c r="DB42" s="151"/>
      <c r="DC42" s="151"/>
      <c r="DD42" s="151"/>
      <c r="DG42" s="231" t="s">
        <v>34</v>
      </c>
      <c r="DH42" s="231"/>
      <c r="DI42" s="231"/>
      <c r="DJ42" s="231"/>
      <c r="DK42" s="231"/>
      <c r="DL42" s="151"/>
      <c r="DM42" s="151"/>
      <c r="DN42" s="151"/>
      <c r="DO42" s="151"/>
      <c r="DP42" s="151"/>
      <c r="DR42" s="231" t="s">
        <v>35</v>
      </c>
      <c r="DS42" s="231"/>
      <c r="DT42" s="231"/>
      <c r="DU42" s="231"/>
      <c r="DV42" s="231"/>
      <c r="DW42" s="151"/>
      <c r="DX42" s="151"/>
      <c r="DY42" s="151"/>
      <c r="DZ42" s="151"/>
      <c r="EA42" s="151"/>
      <c r="EC42" s="231" t="s">
        <v>36</v>
      </c>
      <c r="ED42" s="231"/>
      <c r="EE42" s="231"/>
      <c r="EF42" s="231"/>
      <c r="EG42" s="231"/>
      <c r="EH42" s="151"/>
      <c r="EI42" s="151"/>
      <c r="EJ42" s="151"/>
      <c r="EK42" s="151"/>
      <c r="EL42" s="151"/>
      <c r="EN42" s="231" t="s">
        <v>37</v>
      </c>
      <c r="EO42" s="231"/>
      <c r="EP42" s="231"/>
      <c r="EQ42" s="231"/>
      <c r="ER42" s="231"/>
      <c r="ES42" s="151"/>
      <c r="ET42" s="151"/>
      <c r="EU42" s="151"/>
      <c r="EV42" s="151"/>
      <c r="EW42" s="151"/>
      <c r="EY42" s="231" t="s">
        <v>38</v>
      </c>
      <c r="EZ42" s="231"/>
      <c r="FA42" s="231"/>
      <c r="FB42" s="231"/>
      <c r="FC42" s="231"/>
      <c r="FD42" s="151"/>
      <c r="FE42" s="151"/>
      <c r="FF42" s="151"/>
      <c r="FG42" s="151"/>
      <c r="FH42" s="151"/>
    </row>
    <row r="43" spans="2:164" ht="6.75" customHeight="1" thickBot="1" x14ac:dyDescent="0.3">
      <c r="G43" s="212"/>
      <c r="Q43" s="212"/>
      <c r="AB43" s="212"/>
      <c r="AM43" s="212"/>
      <c r="AW43" s="212"/>
      <c r="BG43" s="212"/>
      <c r="BS43" s="212"/>
      <c r="CD43" s="212"/>
      <c r="CO43" s="212"/>
      <c r="CZ43" s="212"/>
      <c r="DL43" s="212"/>
      <c r="DW43" s="212"/>
      <c r="EH43" s="212"/>
      <c r="ES43" s="212"/>
      <c r="FD43" s="212"/>
    </row>
    <row r="44" spans="2:164" x14ac:dyDescent="0.25">
      <c r="B44" s="65" t="s">
        <v>15</v>
      </c>
      <c r="C44" s="66" t="s">
        <v>16</v>
      </c>
      <c r="D44" s="66" t="s">
        <v>16</v>
      </c>
      <c r="E44" s="67" t="s">
        <v>17</v>
      </c>
      <c r="F44" s="67" t="s">
        <v>17</v>
      </c>
      <c r="G44" s="204"/>
      <c r="H44" s="217" t="s">
        <v>17</v>
      </c>
      <c r="I44" s="219" t="s">
        <v>17</v>
      </c>
      <c r="J44" s="221" t="s">
        <v>17</v>
      </c>
      <c r="K44" s="223" t="s">
        <v>23</v>
      </c>
      <c r="M44" s="65" t="s">
        <v>15</v>
      </c>
      <c r="N44" s="66" t="s">
        <v>16</v>
      </c>
      <c r="O44" s="66" t="s">
        <v>16</v>
      </c>
      <c r="P44" s="67" t="s">
        <v>17</v>
      </c>
      <c r="Q44" s="204"/>
      <c r="R44" s="217" t="s">
        <v>17</v>
      </c>
      <c r="S44" s="219" t="s">
        <v>17</v>
      </c>
      <c r="T44" s="221" t="s">
        <v>17</v>
      </c>
      <c r="U44" s="223" t="s">
        <v>23</v>
      </c>
      <c r="W44" s="65" t="s">
        <v>15</v>
      </c>
      <c r="X44" s="66" t="s">
        <v>16</v>
      </c>
      <c r="Y44" s="66" t="s">
        <v>16</v>
      </c>
      <c r="Z44" s="67" t="s">
        <v>17</v>
      </c>
      <c r="AA44" s="67" t="s">
        <v>17</v>
      </c>
      <c r="AB44" s="204"/>
      <c r="AC44" s="217" t="s">
        <v>17</v>
      </c>
      <c r="AD44" s="219" t="s">
        <v>17</v>
      </c>
      <c r="AE44" s="221" t="s">
        <v>17</v>
      </c>
      <c r="AF44" s="223" t="s">
        <v>23</v>
      </c>
      <c r="AI44" s="65" t="s">
        <v>15</v>
      </c>
      <c r="AJ44" s="66" t="s">
        <v>16</v>
      </c>
      <c r="AK44" s="66" t="s">
        <v>16</v>
      </c>
      <c r="AL44" s="67" t="s">
        <v>17</v>
      </c>
      <c r="AM44" s="204"/>
      <c r="AN44" s="217" t="s">
        <v>17</v>
      </c>
      <c r="AO44" s="219" t="s">
        <v>17</v>
      </c>
      <c r="AP44" s="221" t="s">
        <v>17</v>
      </c>
      <c r="AQ44" s="223" t="s">
        <v>23</v>
      </c>
      <c r="AS44" s="65" t="s">
        <v>15</v>
      </c>
      <c r="AT44" s="66" t="s">
        <v>16</v>
      </c>
      <c r="AU44" s="66" t="s">
        <v>16</v>
      </c>
      <c r="AV44" s="67" t="s">
        <v>17</v>
      </c>
      <c r="AW44" s="204"/>
      <c r="AX44" s="217" t="s">
        <v>17</v>
      </c>
      <c r="AY44" s="219" t="s">
        <v>17</v>
      </c>
      <c r="AZ44" s="221" t="s">
        <v>17</v>
      </c>
      <c r="BA44" s="223" t="s">
        <v>23</v>
      </c>
      <c r="BC44" s="65" t="s">
        <v>15</v>
      </c>
      <c r="BD44" s="66" t="s">
        <v>16</v>
      </c>
      <c r="BE44" s="66" t="s">
        <v>16</v>
      </c>
      <c r="BF44" s="67" t="s">
        <v>17</v>
      </c>
      <c r="BG44" s="204"/>
      <c r="BH44" s="217" t="s">
        <v>17</v>
      </c>
      <c r="BI44" s="219" t="s">
        <v>17</v>
      </c>
      <c r="BJ44" s="221" t="s">
        <v>17</v>
      </c>
      <c r="BK44" s="223" t="s">
        <v>23</v>
      </c>
      <c r="BM44" s="65" t="s">
        <v>15</v>
      </c>
      <c r="BN44" s="66" t="s">
        <v>16</v>
      </c>
      <c r="BO44" s="66" t="s">
        <v>16</v>
      </c>
      <c r="BP44" s="66" t="s">
        <v>16</v>
      </c>
      <c r="BQ44" s="67" t="s">
        <v>17</v>
      </c>
      <c r="BR44" s="67" t="s">
        <v>17</v>
      </c>
      <c r="BS44" s="204"/>
      <c r="BT44" s="217" t="s">
        <v>17</v>
      </c>
      <c r="BU44" s="219" t="s">
        <v>17</v>
      </c>
      <c r="BV44" s="221" t="s">
        <v>17</v>
      </c>
      <c r="BW44" s="223" t="s">
        <v>23</v>
      </c>
      <c r="BY44" s="65" t="s">
        <v>15</v>
      </c>
      <c r="BZ44" s="68" t="s">
        <v>16</v>
      </c>
      <c r="CA44" s="69" t="s">
        <v>16</v>
      </c>
      <c r="CB44" s="67" t="s">
        <v>17</v>
      </c>
      <c r="CC44" s="67" t="s">
        <v>17</v>
      </c>
      <c r="CD44" s="204"/>
      <c r="CE44" s="217" t="s">
        <v>17</v>
      </c>
      <c r="CF44" s="219" t="s">
        <v>17</v>
      </c>
      <c r="CG44" s="221" t="s">
        <v>17</v>
      </c>
      <c r="CH44" s="223" t="s">
        <v>23</v>
      </c>
      <c r="CJ44" s="65" t="s">
        <v>15</v>
      </c>
      <c r="CK44" s="66" t="s">
        <v>16</v>
      </c>
      <c r="CL44" s="66" t="s">
        <v>16</v>
      </c>
      <c r="CM44" s="67" t="s">
        <v>17</v>
      </c>
      <c r="CN44" s="67" t="s">
        <v>17</v>
      </c>
      <c r="CO44" s="204"/>
      <c r="CP44" s="217" t="s">
        <v>17</v>
      </c>
      <c r="CQ44" s="219" t="s">
        <v>17</v>
      </c>
      <c r="CR44" s="221" t="s">
        <v>17</v>
      </c>
      <c r="CS44" s="223" t="s">
        <v>23</v>
      </c>
      <c r="CU44" s="65" t="s">
        <v>15</v>
      </c>
      <c r="CV44" s="66" t="s">
        <v>16</v>
      </c>
      <c r="CW44" s="66" t="s">
        <v>16</v>
      </c>
      <c r="CX44" s="67" t="s">
        <v>17</v>
      </c>
      <c r="CY44" s="67" t="s">
        <v>17</v>
      </c>
      <c r="CZ44" s="204"/>
      <c r="DA44" s="217" t="s">
        <v>17</v>
      </c>
      <c r="DB44" s="219" t="s">
        <v>17</v>
      </c>
      <c r="DC44" s="221" t="s">
        <v>17</v>
      </c>
      <c r="DD44" s="223" t="s">
        <v>23</v>
      </c>
      <c r="DG44" s="65" t="s">
        <v>15</v>
      </c>
      <c r="DH44" s="66" t="s">
        <v>16</v>
      </c>
      <c r="DI44" s="66" t="s">
        <v>16</v>
      </c>
      <c r="DJ44" s="67" t="s">
        <v>17</v>
      </c>
      <c r="DK44" s="67" t="s">
        <v>17</v>
      </c>
      <c r="DL44" s="204"/>
      <c r="DM44" s="217" t="s">
        <v>17</v>
      </c>
      <c r="DN44" s="219" t="s">
        <v>17</v>
      </c>
      <c r="DO44" s="221" t="s">
        <v>17</v>
      </c>
      <c r="DP44" s="223" t="s">
        <v>23</v>
      </c>
      <c r="DR44" s="65" t="s">
        <v>15</v>
      </c>
      <c r="DS44" s="66" t="s">
        <v>16</v>
      </c>
      <c r="DT44" s="66" t="s">
        <v>16</v>
      </c>
      <c r="DU44" s="67" t="s">
        <v>17</v>
      </c>
      <c r="DV44" s="67" t="s">
        <v>17</v>
      </c>
      <c r="DW44" s="204"/>
      <c r="DX44" s="217" t="s">
        <v>17</v>
      </c>
      <c r="DY44" s="219" t="s">
        <v>17</v>
      </c>
      <c r="DZ44" s="221" t="s">
        <v>17</v>
      </c>
      <c r="EA44" s="223" t="s">
        <v>23</v>
      </c>
      <c r="EC44" s="65" t="s">
        <v>15</v>
      </c>
      <c r="ED44" s="66" t="s">
        <v>16</v>
      </c>
      <c r="EE44" s="68" t="s">
        <v>16</v>
      </c>
      <c r="EF44" s="67" t="s">
        <v>17</v>
      </c>
      <c r="EG44" s="67" t="s">
        <v>17</v>
      </c>
      <c r="EH44" s="204"/>
      <c r="EI44" s="217" t="s">
        <v>17</v>
      </c>
      <c r="EJ44" s="219" t="s">
        <v>17</v>
      </c>
      <c r="EK44" s="221" t="s">
        <v>17</v>
      </c>
      <c r="EL44" s="223" t="s">
        <v>23</v>
      </c>
      <c r="EN44" s="65" t="s">
        <v>15</v>
      </c>
      <c r="EO44" s="66" t="s">
        <v>16</v>
      </c>
      <c r="EP44" s="66" t="s">
        <v>16</v>
      </c>
      <c r="EQ44" s="67" t="s">
        <v>17</v>
      </c>
      <c r="ER44" s="67" t="s">
        <v>17</v>
      </c>
      <c r="ES44" s="204"/>
      <c r="ET44" s="217" t="s">
        <v>17</v>
      </c>
      <c r="EU44" s="219" t="s">
        <v>17</v>
      </c>
      <c r="EV44" s="221" t="s">
        <v>17</v>
      </c>
      <c r="EW44" s="223" t="s">
        <v>23</v>
      </c>
      <c r="EY44" s="65" t="s">
        <v>15</v>
      </c>
      <c r="EZ44" s="66" t="s">
        <v>16</v>
      </c>
      <c r="FA44" s="66" t="s">
        <v>16</v>
      </c>
      <c r="FB44" s="67" t="s">
        <v>17</v>
      </c>
      <c r="FC44" s="67" t="s">
        <v>17</v>
      </c>
      <c r="FD44" s="204"/>
      <c r="FE44" s="217" t="s">
        <v>17</v>
      </c>
      <c r="FF44" s="219" t="s">
        <v>17</v>
      </c>
      <c r="FG44" s="221" t="s">
        <v>17</v>
      </c>
      <c r="FH44" s="223" t="s">
        <v>23</v>
      </c>
    </row>
    <row r="45" spans="2:164" ht="15.75" thickBot="1" x14ac:dyDescent="0.3">
      <c r="B45" s="65"/>
      <c r="C45" s="66" t="s">
        <v>19</v>
      </c>
      <c r="D45" s="66" t="s">
        <v>20</v>
      </c>
      <c r="E45" s="67" t="s">
        <v>20</v>
      </c>
      <c r="F45" s="67" t="s">
        <v>21</v>
      </c>
      <c r="G45" s="204"/>
      <c r="H45" s="218" t="s">
        <v>64</v>
      </c>
      <c r="I45" s="220" t="s">
        <v>65</v>
      </c>
      <c r="J45" s="222" t="s">
        <v>66</v>
      </c>
      <c r="K45" s="224" t="s">
        <v>67</v>
      </c>
      <c r="M45" s="65"/>
      <c r="N45" s="66" t="s">
        <v>19</v>
      </c>
      <c r="O45" s="66" t="s">
        <v>20</v>
      </c>
      <c r="P45" s="67" t="s">
        <v>21</v>
      </c>
      <c r="Q45" s="204"/>
      <c r="R45" s="218" t="s">
        <v>64</v>
      </c>
      <c r="S45" s="220" t="s">
        <v>65</v>
      </c>
      <c r="T45" s="222" t="s">
        <v>66</v>
      </c>
      <c r="U45" s="224" t="s">
        <v>67</v>
      </c>
      <c r="W45" s="65"/>
      <c r="X45" s="66" t="s">
        <v>19</v>
      </c>
      <c r="Y45" s="66" t="s">
        <v>20</v>
      </c>
      <c r="Z45" s="67" t="s">
        <v>20</v>
      </c>
      <c r="AA45" s="67" t="s">
        <v>21</v>
      </c>
      <c r="AB45" s="204"/>
      <c r="AC45" s="218" t="s">
        <v>64</v>
      </c>
      <c r="AD45" s="220" t="s">
        <v>65</v>
      </c>
      <c r="AE45" s="222" t="s">
        <v>66</v>
      </c>
      <c r="AF45" s="224" t="s">
        <v>67</v>
      </c>
      <c r="AI45" s="65"/>
      <c r="AJ45" s="66" t="s">
        <v>19</v>
      </c>
      <c r="AK45" s="66" t="s">
        <v>20</v>
      </c>
      <c r="AL45" s="67" t="s">
        <v>21</v>
      </c>
      <c r="AM45" s="204"/>
      <c r="AN45" s="218" t="s">
        <v>64</v>
      </c>
      <c r="AO45" s="220" t="s">
        <v>65</v>
      </c>
      <c r="AP45" s="222" t="s">
        <v>66</v>
      </c>
      <c r="AQ45" s="224" t="s">
        <v>67</v>
      </c>
      <c r="AS45" s="65"/>
      <c r="AT45" s="66" t="s">
        <v>19</v>
      </c>
      <c r="AU45" s="66" t="s">
        <v>20</v>
      </c>
      <c r="AV45" s="67" t="s">
        <v>21</v>
      </c>
      <c r="AW45" s="204"/>
      <c r="AX45" s="218" t="s">
        <v>64</v>
      </c>
      <c r="AY45" s="220" t="s">
        <v>65</v>
      </c>
      <c r="AZ45" s="222" t="s">
        <v>66</v>
      </c>
      <c r="BA45" s="224" t="s">
        <v>67</v>
      </c>
      <c r="BC45" s="65"/>
      <c r="BD45" s="66" t="s">
        <v>19</v>
      </c>
      <c r="BE45" s="66" t="s">
        <v>20</v>
      </c>
      <c r="BF45" s="67" t="s">
        <v>21</v>
      </c>
      <c r="BG45" s="204"/>
      <c r="BH45" s="218" t="s">
        <v>64</v>
      </c>
      <c r="BI45" s="220" t="s">
        <v>65</v>
      </c>
      <c r="BJ45" s="222" t="s">
        <v>66</v>
      </c>
      <c r="BK45" s="224" t="s">
        <v>67</v>
      </c>
      <c r="BM45" s="65"/>
      <c r="BN45" s="66" t="s">
        <v>19</v>
      </c>
      <c r="BO45" s="66" t="s">
        <v>20</v>
      </c>
      <c r="BP45" s="66" t="s">
        <v>22</v>
      </c>
      <c r="BQ45" s="67" t="s">
        <v>20</v>
      </c>
      <c r="BR45" s="67" t="s">
        <v>21</v>
      </c>
      <c r="BS45" s="204"/>
      <c r="BT45" s="218" t="s">
        <v>64</v>
      </c>
      <c r="BU45" s="220" t="s">
        <v>65</v>
      </c>
      <c r="BV45" s="222" t="s">
        <v>66</v>
      </c>
      <c r="BW45" s="224" t="s">
        <v>67</v>
      </c>
      <c r="BY45" s="65"/>
      <c r="BZ45" s="68" t="s">
        <v>19</v>
      </c>
      <c r="CA45" s="69" t="s">
        <v>20</v>
      </c>
      <c r="CB45" s="67" t="s">
        <v>20</v>
      </c>
      <c r="CC45" s="67" t="s">
        <v>21</v>
      </c>
      <c r="CD45" s="204"/>
      <c r="CE45" s="218" t="s">
        <v>64</v>
      </c>
      <c r="CF45" s="220" t="s">
        <v>65</v>
      </c>
      <c r="CG45" s="222" t="s">
        <v>66</v>
      </c>
      <c r="CH45" s="224" t="s">
        <v>67</v>
      </c>
      <c r="CJ45" s="65"/>
      <c r="CK45" s="66" t="s">
        <v>19</v>
      </c>
      <c r="CL45" s="66" t="s">
        <v>20</v>
      </c>
      <c r="CM45" s="67" t="s">
        <v>20</v>
      </c>
      <c r="CN45" s="67" t="s">
        <v>21</v>
      </c>
      <c r="CO45" s="204"/>
      <c r="CP45" s="218" t="s">
        <v>64</v>
      </c>
      <c r="CQ45" s="220" t="s">
        <v>65</v>
      </c>
      <c r="CR45" s="222" t="s">
        <v>66</v>
      </c>
      <c r="CS45" s="224" t="s">
        <v>67</v>
      </c>
      <c r="CU45" s="65"/>
      <c r="CV45" s="66" t="s">
        <v>19</v>
      </c>
      <c r="CW45" s="66" t="s">
        <v>20</v>
      </c>
      <c r="CX45" s="67" t="s">
        <v>20</v>
      </c>
      <c r="CY45" s="67" t="s">
        <v>21</v>
      </c>
      <c r="CZ45" s="204"/>
      <c r="DA45" s="218" t="s">
        <v>64</v>
      </c>
      <c r="DB45" s="220" t="s">
        <v>65</v>
      </c>
      <c r="DC45" s="222" t="s">
        <v>66</v>
      </c>
      <c r="DD45" s="224" t="s">
        <v>67</v>
      </c>
      <c r="DG45" s="65"/>
      <c r="DH45" s="66" t="s">
        <v>19</v>
      </c>
      <c r="DI45" s="66" t="s">
        <v>20</v>
      </c>
      <c r="DJ45" s="67" t="s">
        <v>20</v>
      </c>
      <c r="DK45" s="67" t="s">
        <v>21</v>
      </c>
      <c r="DL45" s="204"/>
      <c r="DM45" s="218" t="s">
        <v>64</v>
      </c>
      <c r="DN45" s="220" t="s">
        <v>65</v>
      </c>
      <c r="DO45" s="222" t="s">
        <v>66</v>
      </c>
      <c r="DP45" s="224" t="s">
        <v>67</v>
      </c>
      <c r="DR45" s="65"/>
      <c r="DS45" s="66" t="s">
        <v>19</v>
      </c>
      <c r="DT45" s="66" t="s">
        <v>20</v>
      </c>
      <c r="DU45" s="67" t="s">
        <v>20</v>
      </c>
      <c r="DV45" s="67" t="s">
        <v>21</v>
      </c>
      <c r="DW45" s="204"/>
      <c r="DX45" s="218" t="s">
        <v>64</v>
      </c>
      <c r="DY45" s="220" t="s">
        <v>65</v>
      </c>
      <c r="DZ45" s="222" t="s">
        <v>66</v>
      </c>
      <c r="EA45" s="224" t="s">
        <v>67</v>
      </c>
      <c r="EC45" s="65"/>
      <c r="ED45" s="66" t="s">
        <v>19</v>
      </c>
      <c r="EE45" s="68" t="s">
        <v>20</v>
      </c>
      <c r="EF45" s="67" t="s">
        <v>20</v>
      </c>
      <c r="EG45" s="67" t="s">
        <v>21</v>
      </c>
      <c r="EH45" s="204"/>
      <c r="EI45" s="218" t="s">
        <v>64</v>
      </c>
      <c r="EJ45" s="220" t="s">
        <v>65</v>
      </c>
      <c r="EK45" s="222" t="s">
        <v>66</v>
      </c>
      <c r="EL45" s="224" t="s">
        <v>67</v>
      </c>
      <c r="EN45" s="65"/>
      <c r="EO45" s="66" t="s">
        <v>19</v>
      </c>
      <c r="EP45" s="66" t="s">
        <v>20</v>
      </c>
      <c r="EQ45" s="67" t="s">
        <v>20</v>
      </c>
      <c r="ER45" s="67" t="s">
        <v>21</v>
      </c>
      <c r="ES45" s="204"/>
      <c r="ET45" s="218" t="s">
        <v>64</v>
      </c>
      <c r="EU45" s="220" t="s">
        <v>65</v>
      </c>
      <c r="EV45" s="222" t="s">
        <v>66</v>
      </c>
      <c r="EW45" s="224" t="s">
        <v>67</v>
      </c>
      <c r="EY45" s="65"/>
      <c r="EZ45" s="70" t="s">
        <v>19</v>
      </c>
      <c r="FA45" s="70" t="s">
        <v>20</v>
      </c>
      <c r="FB45" s="71" t="s">
        <v>20</v>
      </c>
      <c r="FC45" s="71" t="s">
        <v>21</v>
      </c>
      <c r="FD45" s="204"/>
      <c r="FE45" s="218" t="s">
        <v>64</v>
      </c>
      <c r="FF45" s="220" t="s">
        <v>65</v>
      </c>
      <c r="FG45" s="222" t="s">
        <v>66</v>
      </c>
      <c r="FH45" s="224" t="s">
        <v>67</v>
      </c>
    </row>
    <row r="46" spans="2:164" x14ac:dyDescent="0.25">
      <c r="B46" s="72">
        <v>45870</v>
      </c>
      <c r="C46" s="73">
        <v>10314.48</v>
      </c>
      <c r="D46" s="74"/>
      <c r="E46" s="75"/>
      <c r="F46" s="74">
        <v>41.3</v>
      </c>
      <c r="G46" s="204"/>
      <c r="H46" s="88"/>
      <c r="I46" s="15"/>
      <c r="J46" s="15"/>
      <c r="K46" s="225">
        <f t="shared" ref="K46:K76" si="80">SUM(F46:J46)</f>
        <v>41.3</v>
      </c>
      <c r="M46" s="72">
        <v>45870</v>
      </c>
      <c r="N46" s="73">
        <v>3149.38</v>
      </c>
      <c r="O46" s="75"/>
      <c r="P46" s="74">
        <v>23.28</v>
      </c>
      <c r="Q46" s="204"/>
      <c r="R46" s="214"/>
      <c r="S46" s="15"/>
      <c r="T46" s="15"/>
      <c r="U46" s="225">
        <f t="shared" ref="U46:U76" si="81">SUM(P46:T46)</f>
        <v>23.28</v>
      </c>
      <c r="W46" s="72">
        <v>45870</v>
      </c>
      <c r="X46" s="73">
        <v>2018.45</v>
      </c>
      <c r="Y46" s="73">
        <v>0</v>
      </c>
      <c r="Z46" s="75"/>
      <c r="AA46" s="73"/>
      <c r="AB46" s="204"/>
      <c r="AC46" s="88"/>
      <c r="AD46" s="329"/>
      <c r="AE46" s="15"/>
      <c r="AF46" s="225">
        <f t="shared" ref="AF46:AF73" si="82">SUM(AA46:AE46)</f>
        <v>0</v>
      </c>
      <c r="AI46" s="72">
        <v>45870</v>
      </c>
      <c r="AJ46" s="73">
        <v>1648.81</v>
      </c>
      <c r="AK46" s="75"/>
      <c r="AL46" s="74"/>
      <c r="AM46" s="204"/>
      <c r="AN46" s="214"/>
      <c r="AO46" s="15"/>
      <c r="AP46" s="15"/>
      <c r="AQ46" s="225">
        <f t="shared" ref="AQ46:AQ73" si="83">SUM(AL46:AP46)</f>
        <v>0</v>
      </c>
      <c r="AS46" s="72">
        <v>45870</v>
      </c>
      <c r="AT46" s="73">
        <v>3820.53</v>
      </c>
      <c r="AU46" s="75"/>
      <c r="AV46" s="76"/>
      <c r="AW46" s="204"/>
      <c r="AX46" s="214"/>
      <c r="AY46" s="15"/>
      <c r="AZ46" s="15"/>
      <c r="BA46" s="225">
        <f t="shared" ref="BA46:BA73" si="84">SUM(AV46:AZ46)</f>
        <v>0</v>
      </c>
      <c r="BC46" s="72">
        <v>45870</v>
      </c>
      <c r="BD46" s="73">
        <v>2895.45</v>
      </c>
      <c r="BE46" s="75"/>
      <c r="BF46" s="76">
        <v>21.35</v>
      </c>
      <c r="BG46" s="204"/>
      <c r="BH46" s="88"/>
      <c r="BI46" s="15"/>
      <c r="BJ46" s="15"/>
      <c r="BK46" s="225">
        <f t="shared" ref="BK46:BK73" si="85">SUM(BF46:BJ46)</f>
        <v>21.35</v>
      </c>
      <c r="BM46" s="72">
        <v>45870</v>
      </c>
      <c r="BN46" s="73">
        <v>10832.32</v>
      </c>
      <c r="BO46" s="73">
        <v>2226.5100000000002</v>
      </c>
      <c r="BP46" s="73">
        <v>7607.31</v>
      </c>
      <c r="BQ46" s="75"/>
      <c r="BR46" s="75"/>
      <c r="BS46" s="204"/>
      <c r="BT46" s="88">
        <v>413.19999999999993</v>
      </c>
      <c r="BU46" s="329">
        <v>512.29999999999995</v>
      </c>
      <c r="BV46" s="15"/>
      <c r="BW46" s="225">
        <f t="shared" ref="BW46:BW76" si="86">SUM(BR46:BV46)</f>
        <v>925.49999999999989</v>
      </c>
      <c r="BY46" s="72">
        <v>45870</v>
      </c>
      <c r="BZ46" s="77">
        <v>1715.31</v>
      </c>
      <c r="CA46" s="78">
        <v>514.41</v>
      </c>
      <c r="CB46" s="75"/>
      <c r="CC46" s="74"/>
      <c r="CD46" s="204"/>
      <c r="CE46" s="214"/>
      <c r="CF46" s="329"/>
      <c r="CG46" s="15"/>
      <c r="CH46" s="225">
        <f t="shared" ref="CH46:CH76" si="87">SUM(CC46:CG46)</f>
        <v>0</v>
      </c>
      <c r="CJ46" s="72">
        <v>45870</v>
      </c>
      <c r="CK46" s="73">
        <v>3738.01</v>
      </c>
      <c r="CL46" s="73">
        <v>498.94</v>
      </c>
      <c r="CM46" s="75"/>
      <c r="CN46" s="74">
        <v>0</v>
      </c>
      <c r="CO46" s="204"/>
      <c r="CP46" s="88">
        <v>0</v>
      </c>
      <c r="CQ46" s="329">
        <v>4.3877500000000111</v>
      </c>
      <c r="CR46" s="15"/>
      <c r="CS46" s="225">
        <f t="shared" ref="CS46:CS76" si="88">SUM(CN46:CR46)</f>
        <v>4.3877500000000111</v>
      </c>
      <c r="CU46" s="72">
        <v>45870</v>
      </c>
      <c r="CV46" s="73">
        <v>8703.2000000000007</v>
      </c>
      <c r="CW46" s="79">
        <v>1169.71</v>
      </c>
      <c r="CX46" s="75"/>
      <c r="CY46" s="74">
        <v>369.49</v>
      </c>
      <c r="CZ46" s="204"/>
      <c r="DA46" s="88"/>
      <c r="DB46" s="15"/>
      <c r="DC46" s="15"/>
      <c r="DD46" s="225">
        <f t="shared" ref="DD46:DD76" si="89">SUM(CY46:DC46)</f>
        <v>369.49</v>
      </c>
      <c r="DG46" s="72">
        <v>45870</v>
      </c>
      <c r="DH46" s="73">
        <v>1032.1199999999999</v>
      </c>
      <c r="DI46" s="80">
        <v>366.81</v>
      </c>
      <c r="DJ46" s="80"/>
      <c r="DK46" s="74">
        <v>4</v>
      </c>
      <c r="DL46" s="204"/>
      <c r="DM46" s="88">
        <v>-9.1690560000000119</v>
      </c>
      <c r="DN46" s="15"/>
      <c r="DO46" s="15"/>
      <c r="DP46" s="225">
        <f t="shared" ref="DP46:DP76" si="90">SUM(DK46:DO46)</f>
        <v>-5.1690560000000119</v>
      </c>
      <c r="DR46" s="72">
        <v>45870</v>
      </c>
      <c r="DS46" s="73">
        <v>1168.6600000000001</v>
      </c>
      <c r="DT46" s="80">
        <v>1247.46</v>
      </c>
      <c r="DU46" s="80"/>
      <c r="DV46" s="74">
        <v>10.01</v>
      </c>
      <c r="DW46" s="204"/>
      <c r="DX46" s="214"/>
      <c r="DY46" s="15"/>
      <c r="DZ46" s="15"/>
      <c r="EA46" s="225">
        <f t="shared" ref="EA46:EA76" si="91">SUM(DV46:DZ46)</f>
        <v>10.01</v>
      </c>
      <c r="EC46" s="72">
        <v>45870</v>
      </c>
      <c r="ED46" s="73">
        <v>1139.5999999999999</v>
      </c>
      <c r="EE46" s="80">
        <v>945.95</v>
      </c>
      <c r="EF46" s="80"/>
      <c r="EG46" s="74">
        <v>0</v>
      </c>
      <c r="EH46" s="204"/>
      <c r="EI46" s="88">
        <v>791.93612000000007</v>
      </c>
      <c r="EJ46" s="328"/>
      <c r="EK46" s="337"/>
      <c r="EL46" s="225">
        <f t="shared" ref="EL46:EL76" si="92">SUM(EG46:EK46)</f>
        <v>791.93612000000007</v>
      </c>
      <c r="EN46" s="72">
        <v>45870</v>
      </c>
      <c r="EO46" s="73">
        <v>2723.93</v>
      </c>
      <c r="EP46" s="81">
        <v>60</v>
      </c>
      <c r="EQ46" s="80"/>
      <c r="ER46" s="239">
        <v>470.85</v>
      </c>
      <c r="ES46" s="204"/>
      <c r="ET46" s="88"/>
      <c r="EU46" s="328">
        <v>142.88518999999997</v>
      </c>
      <c r="EV46" s="15"/>
      <c r="EW46" s="225">
        <f t="shared" ref="EW46:EW76" si="93">SUM(ER46:EV46)</f>
        <v>613.73518999999999</v>
      </c>
      <c r="EY46" s="72">
        <v>45870</v>
      </c>
      <c r="EZ46" s="73">
        <v>721.55</v>
      </c>
      <c r="FA46" s="73">
        <v>212.03</v>
      </c>
      <c r="FB46" s="75"/>
      <c r="FC46" s="74"/>
      <c r="FD46" s="204"/>
      <c r="FE46" s="214"/>
      <c r="FF46" s="15"/>
      <c r="FG46" s="15"/>
      <c r="FH46" s="225">
        <f t="shared" ref="FH46:FH76" si="94">SUM(FC46:FG46)</f>
        <v>0</v>
      </c>
    </row>
    <row r="47" spans="2:164" x14ac:dyDescent="0.25">
      <c r="B47" s="72">
        <v>45871</v>
      </c>
      <c r="C47" s="73">
        <v>15248.97</v>
      </c>
      <c r="D47" s="75"/>
      <c r="E47" s="75"/>
      <c r="F47" s="75">
        <v>41.3</v>
      </c>
      <c r="G47" s="204"/>
      <c r="H47" s="88"/>
      <c r="I47" s="28"/>
      <c r="J47" s="28"/>
      <c r="K47" s="226">
        <f t="shared" si="80"/>
        <v>41.3</v>
      </c>
      <c r="M47" s="72">
        <v>45871</v>
      </c>
      <c r="N47" s="73">
        <v>4101.97</v>
      </c>
      <c r="O47" s="75"/>
      <c r="P47" s="74">
        <v>13.88</v>
      </c>
      <c r="Q47" s="204"/>
      <c r="R47" s="215"/>
      <c r="S47" s="28"/>
      <c r="T47" s="28"/>
      <c r="U47" s="226">
        <f t="shared" si="81"/>
        <v>13.88</v>
      </c>
      <c r="W47" s="72">
        <v>45871</v>
      </c>
      <c r="X47" s="73">
        <v>1781.18</v>
      </c>
      <c r="Y47" s="73">
        <v>56.41</v>
      </c>
      <c r="Z47" s="75"/>
      <c r="AA47" s="73"/>
      <c r="AB47" s="204"/>
      <c r="AC47" s="88">
        <v>6.8664400000000043</v>
      </c>
      <c r="AD47" s="329"/>
      <c r="AE47" s="28"/>
      <c r="AF47" s="226">
        <f t="shared" si="82"/>
        <v>6.8664400000000043</v>
      </c>
      <c r="AI47" s="72">
        <v>45871</v>
      </c>
      <c r="AJ47" s="73">
        <v>854.45</v>
      </c>
      <c r="AK47" s="75"/>
      <c r="AL47" s="74"/>
      <c r="AM47" s="204"/>
      <c r="AN47" s="215"/>
      <c r="AO47" s="28"/>
      <c r="AP47" s="28"/>
      <c r="AQ47" s="226">
        <f t="shared" si="83"/>
        <v>0</v>
      </c>
      <c r="AS47" s="72">
        <v>45871</v>
      </c>
      <c r="AT47" s="73">
        <v>4744.2</v>
      </c>
      <c r="AU47" s="75"/>
      <c r="AV47" s="76"/>
      <c r="AW47" s="204"/>
      <c r="AX47" s="215"/>
      <c r="AY47" s="28"/>
      <c r="AZ47" s="28"/>
      <c r="BA47" s="226">
        <f t="shared" si="84"/>
        <v>0</v>
      </c>
      <c r="BC47" s="72">
        <v>45871</v>
      </c>
      <c r="BD47" s="73">
        <v>3497.68</v>
      </c>
      <c r="BE47" s="75"/>
      <c r="BF47" s="76">
        <v>0</v>
      </c>
      <c r="BG47" s="204"/>
      <c r="BH47" s="88"/>
      <c r="BI47" s="28"/>
      <c r="BJ47" s="28"/>
      <c r="BK47" s="226">
        <f t="shared" si="85"/>
        <v>0</v>
      </c>
      <c r="BM47" s="72">
        <v>45871</v>
      </c>
      <c r="BN47" s="73">
        <v>12751.6</v>
      </c>
      <c r="BO47" s="73">
        <v>2387.4499999999998</v>
      </c>
      <c r="BP47" s="73">
        <v>7523.85</v>
      </c>
      <c r="BQ47" s="75"/>
      <c r="BR47" s="75"/>
      <c r="BS47" s="204"/>
      <c r="BT47" s="88">
        <v>84.573627836345565</v>
      </c>
      <c r="BU47" s="329"/>
      <c r="BV47" s="28"/>
      <c r="BW47" s="226">
        <f t="shared" si="86"/>
        <v>84.573627836345565</v>
      </c>
      <c r="BY47" s="72">
        <v>45871</v>
      </c>
      <c r="BZ47" s="77">
        <v>1897.45</v>
      </c>
      <c r="CA47" s="78">
        <v>382.58</v>
      </c>
      <c r="CB47" s="75"/>
      <c r="CC47" s="74"/>
      <c r="CD47" s="204"/>
      <c r="CE47" s="215"/>
      <c r="CF47" s="329"/>
      <c r="CG47" s="28"/>
      <c r="CH47" s="226">
        <f t="shared" si="87"/>
        <v>0</v>
      </c>
      <c r="CJ47" s="72">
        <v>45871</v>
      </c>
      <c r="CK47" s="73">
        <v>5829.14</v>
      </c>
      <c r="CL47" s="73">
        <v>503.84</v>
      </c>
      <c r="CM47" s="75"/>
      <c r="CN47" s="74">
        <v>0</v>
      </c>
      <c r="CO47" s="204"/>
      <c r="CP47" s="88">
        <v>2.426400000000001</v>
      </c>
      <c r="CQ47" s="329"/>
      <c r="CR47" s="28"/>
      <c r="CS47" s="226">
        <f t="shared" si="88"/>
        <v>2.426400000000001</v>
      </c>
      <c r="CU47" s="72">
        <v>45871</v>
      </c>
      <c r="CV47" s="73">
        <v>8746.1200000000008</v>
      </c>
      <c r="CW47" s="80">
        <v>542.33000000000004</v>
      </c>
      <c r="CX47" s="75"/>
      <c r="CY47" s="76">
        <v>148.75</v>
      </c>
      <c r="CZ47" s="204"/>
      <c r="DA47" s="88"/>
      <c r="DB47" s="28"/>
      <c r="DC47" s="28"/>
      <c r="DD47" s="226">
        <f t="shared" si="89"/>
        <v>148.75</v>
      </c>
      <c r="DG47" s="72">
        <v>45871</v>
      </c>
      <c r="DH47" s="73">
        <v>1672.62</v>
      </c>
      <c r="DI47" s="80">
        <v>299.98</v>
      </c>
      <c r="DJ47" s="80"/>
      <c r="DK47" s="74">
        <v>4</v>
      </c>
      <c r="DL47" s="204"/>
      <c r="DM47" s="88">
        <v>9.0885179999999934</v>
      </c>
      <c r="DN47" s="28"/>
      <c r="DO47" s="28"/>
      <c r="DP47" s="226">
        <f t="shared" si="90"/>
        <v>13.088517999999993</v>
      </c>
      <c r="DR47" s="72">
        <v>45871</v>
      </c>
      <c r="DS47" s="73">
        <v>1016.54</v>
      </c>
      <c r="DT47" s="80">
        <v>1097.47</v>
      </c>
      <c r="DU47" s="80"/>
      <c r="DV47" s="74">
        <v>20.75</v>
      </c>
      <c r="DW47" s="204"/>
      <c r="DX47" s="215"/>
      <c r="DY47" s="28"/>
      <c r="DZ47" s="28"/>
      <c r="EA47" s="226">
        <f t="shared" si="91"/>
        <v>20.75</v>
      </c>
      <c r="EC47" s="72">
        <v>45871</v>
      </c>
      <c r="ED47" s="73">
        <v>728.23</v>
      </c>
      <c r="EE47" s="80">
        <v>892.18</v>
      </c>
      <c r="EF47" s="80"/>
      <c r="EG47" s="74">
        <v>0</v>
      </c>
      <c r="EH47" s="204"/>
      <c r="EI47" s="88">
        <v>486.06263999999999</v>
      </c>
      <c r="EJ47" s="328"/>
      <c r="EK47" s="335"/>
      <c r="EL47" s="226">
        <f t="shared" si="92"/>
        <v>486.06263999999999</v>
      </c>
      <c r="EN47" s="72">
        <v>45871</v>
      </c>
      <c r="EO47" s="73">
        <v>3262.11</v>
      </c>
      <c r="EP47" s="81">
        <v>281.41000000000003</v>
      </c>
      <c r="EQ47" s="80"/>
      <c r="ER47" s="239">
        <v>287.27999999999997</v>
      </c>
      <c r="ES47" s="204"/>
      <c r="ET47" s="88"/>
      <c r="EU47" s="328">
        <v>8.0178599999999847</v>
      </c>
      <c r="EV47" s="28"/>
      <c r="EW47" s="226">
        <f t="shared" si="93"/>
        <v>295.29785999999996</v>
      </c>
      <c r="EY47" s="72">
        <v>45871</v>
      </c>
      <c r="EZ47" s="73">
        <v>451.42</v>
      </c>
      <c r="FA47" s="73">
        <v>195</v>
      </c>
      <c r="FB47" s="75"/>
      <c r="FC47" s="74"/>
      <c r="FD47" s="204"/>
      <c r="FE47" s="215"/>
      <c r="FF47" s="28"/>
      <c r="FG47" s="28"/>
      <c r="FH47" s="226">
        <f t="shared" si="94"/>
        <v>0</v>
      </c>
    </row>
    <row r="48" spans="2:164" x14ac:dyDescent="0.25">
      <c r="B48" s="72">
        <v>45872</v>
      </c>
      <c r="C48" s="73">
        <v>7526.7</v>
      </c>
      <c r="D48" s="75"/>
      <c r="E48" s="75"/>
      <c r="F48" s="73">
        <v>0</v>
      </c>
      <c r="G48" s="204"/>
      <c r="H48" s="88"/>
      <c r="I48" s="28"/>
      <c r="J48" s="28"/>
      <c r="K48" s="226">
        <f t="shared" si="80"/>
        <v>0</v>
      </c>
      <c r="M48" s="72">
        <v>45872</v>
      </c>
      <c r="N48" s="73">
        <v>4829.2</v>
      </c>
      <c r="O48" s="75"/>
      <c r="P48" s="74">
        <v>17.73</v>
      </c>
      <c r="Q48" s="204"/>
      <c r="R48" s="215"/>
      <c r="S48" s="28"/>
      <c r="T48" s="28"/>
      <c r="U48" s="226">
        <f t="shared" si="81"/>
        <v>17.73</v>
      </c>
      <c r="W48" s="72">
        <v>45872</v>
      </c>
      <c r="X48" s="73">
        <v>415.27</v>
      </c>
      <c r="Y48" s="73">
        <v>0</v>
      </c>
      <c r="Z48" s="75"/>
      <c r="AA48" s="73"/>
      <c r="AB48" s="204"/>
      <c r="AC48" s="88"/>
      <c r="AD48" s="329"/>
      <c r="AE48" s="28"/>
      <c r="AF48" s="226">
        <f t="shared" si="82"/>
        <v>0</v>
      </c>
      <c r="AI48" s="72">
        <v>45872</v>
      </c>
      <c r="AJ48" s="73">
        <v>1511.34</v>
      </c>
      <c r="AK48" s="75"/>
      <c r="AL48" s="74"/>
      <c r="AM48" s="204"/>
      <c r="AN48" s="215"/>
      <c r="AO48" s="28"/>
      <c r="AP48" s="28"/>
      <c r="AQ48" s="226">
        <f t="shared" si="83"/>
        <v>0</v>
      </c>
      <c r="AS48" s="72">
        <v>45872</v>
      </c>
      <c r="AT48" s="73">
        <v>2899.12</v>
      </c>
      <c r="AU48" s="75"/>
      <c r="AV48" s="76"/>
      <c r="AW48" s="204"/>
      <c r="AX48" s="215"/>
      <c r="AY48" s="28"/>
      <c r="AZ48" s="28"/>
      <c r="BA48" s="226">
        <f t="shared" si="84"/>
        <v>0</v>
      </c>
      <c r="BC48" s="72">
        <v>45872</v>
      </c>
      <c r="BD48" s="73">
        <v>1655.92</v>
      </c>
      <c r="BE48" s="75"/>
      <c r="BF48" s="76">
        <v>2.84</v>
      </c>
      <c r="BG48" s="204"/>
      <c r="BH48" s="88"/>
      <c r="BI48" s="28"/>
      <c r="BJ48" s="28"/>
      <c r="BK48" s="226">
        <f t="shared" si="85"/>
        <v>2.84</v>
      </c>
      <c r="BM48" s="72">
        <v>45872</v>
      </c>
      <c r="BN48" s="73">
        <v>8976.23</v>
      </c>
      <c r="BO48" s="73">
        <v>1908.37</v>
      </c>
      <c r="BP48" s="73">
        <v>4346.45</v>
      </c>
      <c r="BQ48" s="75"/>
      <c r="BR48" s="75"/>
      <c r="BS48" s="204"/>
      <c r="BT48" s="88">
        <v>162.40237183098591</v>
      </c>
      <c r="BU48" s="329">
        <v>76.140499999999975</v>
      </c>
      <c r="BV48" s="28"/>
      <c r="BW48" s="226">
        <f t="shared" si="86"/>
        <v>238.54287183098589</v>
      </c>
      <c r="BY48" s="72">
        <v>45872</v>
      </c>
      <c r="BZ48" s="77">
        <v>2474.79</v>
      </c>
      <c r="CA48" s="78">
        <v>534.83000000000004</v>
      </c>
      <c r="CB48" s="75"/>
      <c r="CC48" s="74"/>
      <c r="CD48" s="204"/>
      <c r="CE48" s="215"/>
      <c r="CF48" s="329">
        <v>67.269649999999956</v>
      </c>
      <c r="CG48" s="28"/>
      <c r="CH48" s="226">
        <f t="shared" si="87"/>
        <v>67.269649999999956</v>
      </c>
      <c r="CJ48" s="72">
        <v>45872</v>
      </c>
      <c r="CK48" s="73">
        <v>2989.16</v>
      </c>
      <c r="CL48" s="73">
        <v>484.71</v>
      </c>
      <c r="CM48" s="75"/>
      <c r="CN48" s="74">
        <v>0</v>
      </c>
      <c r="CO48" s="204"/>
      <c r="CP48" s="88"/>
      <c r="CQ48" s="329"/>
      <c r="CR48" s="28"/>
      <c r="CS48" s="226">
        <f t="shared" si="88"/>
        <v>0</v>
      </c>
      <c r="CU48" s="72">
        <v>45872</v>
      </c>
      <c r="CV48" s="73">
        <v>3760.33</v>
      </c>
      <c r="CW48" s="80">
        <v>426.48</v>
      </c>
      <c r="CX48" s="75"/>
      <c r="CY48" s="74">
        <v>66.349999999999994</v>
      </c>
      <c r="CZ48" s="204"/>
      <c r="DA48" s="88"/>
      <c r="DB48" s="28"/>
      <c r="DC48" s="28"/>
      <c r="DD48" s="226">
        <f t="shared" si="89"/>
        <v>66.349999999999994</v>
      </c>
      <c r="DG48" s="72">
        <v>45872</v>
      </c>
      <c r="DH48" s="73">
        <v>1927.46</v>
      </c>
      <c r="DI48" s="74">
        <v>228.42</v>
      </c>
      <c r="DJ48" s="80"/>
      <c r="DK48" s="74">
        <v>4</v>
      </c>
      <c r="DL48" s="204"/>
      <c r="DM48" s="88"/>
      <c r="DN48" s="28"/>
      <c r="DO48" s="28"/>
      <c r="DP48" s="226">
        <f t="shared" si="90"/>
        <v>4</v>
      </c>
      <c r="DR48" s="72">
        <v>45872</v>
      </c>
      <c r="DS48" s="73">
        <v>597.04</v>
      </c>
      <c r="DT48" s="80">
        <v>880.33</v>
      </c>
      <c r="DU48" s="80"/>
      <c r="DV48" s="74">
        <v>10.199999999999999</v>
      </c>
      <c r="DW48" s="204"/>
      <c r="DX48" s="215"/>
      <c r="DY48" s="28"/>
      <c r="DZ48" s="28"/>
      <c r="EA48" s="226">
        <f t="shared" si="91"/>
        <v>10.199999999999999</v>
      </c>
      <c r="EC48" s="72">
        <v>45872</v>
      </c>
      <c r="ED48" s="73">
        <v>720.84</v>
      </c>
      <c r="EE48" s="80">
        <v>313.54000000000002</v>
      </c>
      <c r="EF48" s="80"/>
      <c r="EG48" s="74">
        <v>0</v>
      </c>
      <c r="EH48" s="204"/>
      <c r="EI48" s="88">
        <v>35.54928000000001</v>
      </c>
      <c r="EJ48" s="328"/>
      <c r="EK48" s="335"/>
      <c r="EL48" s="226">
        <f t="shared" si="92"/>
        <v>35.54928000000001</v>
      </c>
      <c r="EN48" s="72">
        <v>45872</v>
      </c>
      <c r="EO48" s="73">
        <v>3323.12</v>
      </c>
      <c r="EP48" s="81">
        <v>266.05</v>
      </c>
      <c r="EQ48" s="80"/>
      <c r="ER48" s="239">
        <v>133</v>
      </c>
      <c r="ES48" s="204"/>
      <c r="ET48" s="88"/>
      <c r="EU48" s="328"/>
      <c r="EV48" s="28"/>
      <c r="EW48" s="226">
        <f t="shared" si="93"/>
        <v>133</v>
      </c>
      <c r="EY48" s="72">
        <v>45872</v>
      </c>
      <c r="EZ48" s="73">
        <v>348.4</v>
      </c>
      <c r="FA48" s="73">
        <v>126.36</v>
      </c>
      <c r="FB48" s="75"/>
      <c r="FC48" s="74"/>
      <c r="FD48" s="204"/>
      <c r="FE48" s="215"/>
      <c r="FF48" s="28"/>
      <c r="FG48" s="28"/>
      <c r="FH48" s="226">
        <f t="shared" si="94"/>
        <v>0</v>
      </c>
    </row>
    <row r="49" spans="2:164" x14ac:dyDescent="0.25">
      <c r="B49" s="72">
        <v>45873</v>
      </c>
      <c r="C49" s="73">
        <v>10555.3</v>
      </c>
      <c r="D49" s="75"/>
      <c r="E49" s="75"/>
      <c r="F49" s="75">
        <v>49.99</v>
      </c>
      <c r="G49" s="204"/>
      <c r="H49" s="88"/>
      <c r="I49" s="28"/>
      <c r="J49" s="28"/>
      <c r="K49" s="226">
        <f t="shared" si="80"/>
        <v>49.99</v>
      </c>
      <c r="M49" s="72">
        <v>45873</v>
      </c>
      <c r="N49" s="73">
        <v>2615.0100000000002</v>
      </c>
      <c r="O49" s="75"/>
      <c r="P49" s="74">
        <v>5.09</v>
      </c>
      <c r="Q49" s="204"/>
      <c r="R49" s="215"/>
      <c r="S49" s="28"/>
      <c r="T49" s="28"/>
      <c r="U49" s="226">
        <f t="shared" si="81"/>
        <v>5.09</v>
      </c>
      <c r="W49" s="72">
        <v>45873</v>
      </c>
      <c r="X49" s="73">
        <v>1604.29</v>
      </c>
      <c r="Y49" s="73">
        <v>0</v>
      </c>
      <c r="Z49" s="75"/>
      <c r="AA49" s="73"/>
      <c r="AB49" s="204"/>
      <c r="AC49" s="88">
        <v>41.441400000000002</v>
      </c>
      <c r="AD49" s="329">
        <v>29.530369999999976</v>
      </c>
      <c r="AE49" s="28"/>
      <c r="AF49" s="226">
        <f t="shared" si="82"/>
        <v>70.971769999999978</v>
      </c>
      <c r="AI49" s="72">
        <v>45873</v>
      </c>
      <c r="AJ49" s="73">
        <v>1029.43</v>
      </c>
      <c r="AK49" s="75"/>
      <c r="AL49" s="74"/>
      <c r="AM49" s="204"/>
      <c r="AN49" s="215"/>
      <c r="AO49" s="28"/>
      <c r="AP49" s="28"/>
      <c r="AQ49" s="226">
        <f t="shared" si="83"/>
        <v>0</v>
      </c>
      <c r="AS49" s="72">
        <v>45873</v>
      </c>
      <c r="AT49" s="73">
        <v>2596.35</v>
      </c>
      <c r="AU49" s="75"/>
      <c r="AV49" s="76"/>
      <c r="AW49" s="204"/>
      <c r="AX49" s="215"/>
      <c r="AY49" s="28"/>
      <c r="AZ49" s="28"/>
      <c r="BA49" s="226">
        <f t="shared" si="84"/>
        <v>0</v>
      </c>
      <c r="BC49" s="72">
        <v>45873</v>
      </c>
      <c r="BD49" s="73">
        <v>2580.35</v>
      </c>
      <c r="BE49" s="75"/>
      <c r="BF49" s="76">
        <v>11.78</v>
      </c>
      <c r="BG49" s="204"/>
      <c r="BH49" s="88"/>
      <c r="BI49" s="28"/>
      <c r="BJ49" s="28"/>
      <c r="BK49" s="226">
        <f t="shared" si="85"/>
        <v>11.78</v>
      </c>
      <c r="BM49" s="72">
        <v>45873</v>
      </c>
      <c r="BN49" s="73">
        <v>11110.52</v>
      </c>
      <c r="BO49" s="73">
        <v>2146.79</v>
      </c>
      <c r="BP49" s="73">
        <v>6752.57</v>
      </c>
      <c r="BQ49" s="75"/>
      <c r="BR49" s="75"/>
      <c r="BS49" s="204"/>
      <c r="BT49" s="88">
        <v>132.09529577464787</v>
      </c>
      <c r="BU49" s="329">
        <v>718.12999999999988</v>
      </c>
      <c r="BV49" s="28"/>
      <c r="BW49" s="226">
        <f t="shared" si="86"/>
        <v>850.22529577464775</v>
      </c>
      <c r="BY49" s="72">
        <v>45873</v>
      </c>
      <c r="BZ49" s="77">
        <v>681</v>
      </c>
      <c r="CA49" s="78">
        <v>842.04</v>
      </c>
      <c r="CB49" s="74"/>
      <c r="CC49" s="74"/>
      <c r="CD49" s="204"/>
      <c r="CE49" s="215"/>
      <c r="CF49" s="329">
        <v>30.333529999999968</v>
      </c>
      <c r="CG49" s="28"/>
      <c r="CH49" s="226">
        <f t="shared" si="87"/>
        <v>30.333529999999968</v>
      </c>
      <c r="CJ49" s="72">
        <v>45873</v>
      </c>
      <c r="CK49" s="73">
        <v>6585.8</v>
      </c>
      <c r="CL49" s="73">
        <v>861.59</v>
      </c>
      <c r="CM49" s="75"/>
      <c r="CN49" s="74">
        <v>0</v>
      </c>
      <c r="CO49" s="204"/>
      <c r="CP49" s="88">
        <v>41.771150000000006</v>
      </c>
      <c r="CQ49" s="329"/>
      <c r="CR49" s="28"/>
      <c r="CS49" s="226">
        <f t="shared" si="88"/>
        <v>41.771150000000006</v>
      </c>
      <c r="CU49" s="72">
        <v>45873</v>
      </c>
      <c r="CV49" s="73">
        <v>10401.89</v>
      </c>
      <c r="CW49" s="80">
        <v>1120.08</v>
      </c>
      <c r="CX49" s="75"/>
      <c r="CY49" s="74">
        <v>76.55</v>
      </c>
      <c r="CZ49" s="204"/>
      <c r="DA49" s="88"/>
      <c r="DB49" s="28"/>
      <c r="DC49" s="28"/>
      <c r="DD49" s="226">
        <f t="shared" si="89"/>
        <v>76.55</v>
      </c>
      <c r="DG49" s="72">
        <v>45873</v>
      </c>
      <c r="DH49" s="73">
        <v>2092.34</v>
      </c>
      <c r="DI49" s="80">
        <v>270</v>
      </c>
      <c r="DJ49" s="80"/>
      <c r="DK49" s="74">
        <v>4</v>
      </c>
      <c r="DL49" s="204"/>
      <c r="DM49" s="88"/>
      <c r="DN49" s="28"/>
      <c r="DO49" s="28"/>
      <c r="DP49" s="226">
        <f t="shared" si="90"/>
        <v>4</v>
      </c>
      <c r="DR49" s="72">
        <v>45873</v>
      </c>
      <c r="DS49" s="73">
        <v>1509.98</v>
      </c>
      <c r="DT49" s="80">
        <v>1193.8900000000001</v>
      </c>
      <c r="DU49" s="80"/>
      <c r="DV49" s="74">
        <v>101.64</v>
      </c>
      <c r="DW49" s="204"/>
      <c r="DX49" s="215"/>
      <c r="DY49" s="28"/>
      <c r="DZ49" s="28"/>
      <c r="EA49" s="226">
        <f t="shared" si="91"/>
        <v>101.64</v>
      </c>
      <c r="EC49" s="72">
        <v>45873</v>
      </c>
      <c r="ED49" s="73">
        <v>507.93</v>
      </c>
      <c r="EE49" s="80">
        <v>751.75</v>
      </c>
      <c r="EF49" s="80"/>
      <c r="EG49" s="74">
        <v>0</v>
      </c>
      <c r="EH49" s="204"/>
      <c r="EI49" s="88">
        <v>539.37628000000007</v>
      </c>
      <c r="EJ49" s="328">
        <v>68.514700000000005</v>
      </c>
      <c r="EK49" s="335"/>
      <c r="EL49" s="226">
        <f t="shared" si="92"/>
        <v>607.89098000000013</v>
      </c>
      <c r="EN49" s="72">
        <v>45873</v>
      </c>
      <c r="EO49" s="73">
        <v>3031.53</v>
      </c>
      <c r="EP49" s="81">
        <v>183.13</v>
      </c>
      <c r="EQ49" s="80"/>
      <c r="ER49" s="239">
        <v>14.46</v>
      </c>
      <c r="ES49" s="204"/>
      <c r="ET49" s="88"/>
      <c r="EU49" s="328"/>
      <c r="EV49" s="28"/>
      <c r="EW49" s="226">
        <f t="shared" si="93"/>
        <v>14.46</v>
      </c>
      <c r="EY49" s="72">
        <v>45873</v>
      </c>
      <c r="EZ49" s="73">
        <v>1444.48</v>
      </c>
      <c r="FA49" s="73">
        <v>120</v>
      </c>
      <c r="FB49" s="75"/>
      <c r="FC49" s="74"/>
      <c r="FD49" s="204"/>
      <c r="FE49" s="215"/>
      <c r="FF49" s="28"/>
      <c r="FG49" s="28"/>
      <c r="FH49" s="226">
        <f t="shared" si="94"/>
        <v>0</v>
      </c>
    </row>
    <row r="50" spans="2:164" x14ac:dyDescent="0.25">
      <c r="B50" s="72">
        <v>45874</v>
      </c>
      <c r="C50" s="73">
        <v>12564.83</v>
      </c>
      <c r="D50" s="75"/>
      <c r="E50" s="75"/>
      <c r="F50" s="75">
        <v>94.39</v>
      </c>
      <c r="G50" s="204"/>
      <c r="H50" s="88"/>
      <c r="I50" s="28"/>
      <c r="J50" s="28"/>
      <c r="K50" s="226">
        <f t="shared" si="80"/>
        <v>94.39</v>
      </c>
      <c r="M50" s="72">
        <v>45874</v>
      </c>
      <c r="N50" s="73">
        <v>3683.85</v>
      </c>
      <c r="O50" s="75"/>
      <c r="P50" s="74">
        <v>23.93</v>
      </c>
      <c r="Q50" s="204"/>
      <c r="R50" s="215"/>
      <c r="S50" s="28"/>
      <c r="T50" s="28"/>
      <c r="U50" s="226">
        <f t="shared" si="81"/>
        <v>23.93</v>
      </c>
      <c r="W50" s="72">
        <v>45874</v>
      </c>
      <c r="X50" s="73">
        <v>1653.54</v>
      </c>
      <c r="Y50" s="73">
        <v>0</v>
      </c>
      <c r="Z50" s="75"/>
      <c r="AA50" s="73"/>
      <c r="AB50" s="204"/>
      <c r="AC50" s="88"/>
      <c r="AD50" s="329"/>
      <c r="AE50" s="28"/>
      <c r="AF50" s="226">
        <f t="shared" si="82"/>
        <v>0</v>
      </c>
      <c r="AI50" s="72">
        <v>45874</v>
      </c>
      <c r="AJ50" s="73">
        <v>1310.78</v>
      </c>
      <c r="AK50" s="75"/>
      <c r="AL50" s="74"/>
      <c r="AM50" s="204"/>
      <c r="AN50" s="215"/>
      <c r="AO50" s="28"/>
      <c r="AP50" s="28"/>
      <c r="AQ50" s="226">
        <f t="shared" si="83"/>
        <v>0</v>
      </c>
      <c r="AS50" s="72">
        <v>45874</v>
      </c>
      <c r="AT50" s="73">
        <v>4468.8500000000004</v>
      </c>
      <c r="AU50" s="75"/>
      <c r="AV50" s="76"/>
      <c r="AW50" s="204"/>
      <c r="AX50" s="215"/>
      <c r="AY50" s="28"/>
      <c r="AZ50" s="28"/>
      <c r="BA50" s="226">
        <f t="shared" si="84"/>
        <v>0</v>
      </c>
      <c r="BC50" s="72">
        <v>45874</v>
      </c>
      <c r="BD50" s="73">
        <v>3862.8</v>
      </c>
      <c r="BE50" s="75"/>
      <c r="BF50" s="76">
        <v>3.69</v>
      </c>
      <c r="BG50" s="204"/>
      <c r="BH50" s="88">
        <v>27.587199999999996</v>
      </c>
      <c r="BI50" s="28"/>
      <c r="BJ50" s="28"/>
      <c r="BK50" s="226">
        <f t="shared" si="85"/>
        <v>31.277199999999997</v>
      </c>
      <c r="BM50" s="72">
        <v>45874</v>
      </c>
      <c r="BN50" s="73">
        <v>12908.64</v>
      </c>
      <c r="BO50" s="73">
        <v>2166.71</v>
      </c>
      <c r="BP50" s="73">
        <v>7375.73</v>
      </c>
      <c r="BQ50" s="75"/>
      <c r="BR50" s="75"/>
      <c r="BS50" s="204"/>
      <c r="BT50" s="88">
        <v>137.20787862219791</v>
      </c>
      <c r="BU50" s="329"/>
      <c r="BV50" s="28"/>
      <c r="BW50" s="226">
        <f t="shared" si="86"/>
        <v>137.20787862219791</v>
      </c>
      <c r="BY50" s="72">
        <v>45874</v>
      </c>
      <c r="BZ50" s="77">
        <v>1258.78</v>
      </c>
      <c r="CA50" s="78">
        <v>760.63</v>
      </c>
      <c r="CB50" s="75"/>
      <c r="CC50" s="74"/>
      <c r="CD50" s="204"/>
      <c r="CE50" s="215"/>
      <c r="CF50" s="329">
        <v>19.242069999999977</v>
      </c>
      <c r="CG50" s="28"/>
      <c r="CH50" s="226">
        <f t="shared" si="87"/>
        <v>19.242069999999977</v>
      </c>
      <c r="CJ50" s="72">
        <v>45874</v>
      </c>
      <c r="CK50" s="73">
        <v>5767.39</v>
      </c>
      <c r="CL50" s="73">
        <v>393.19</v>
      </c>
      <c r="CM50" s="75"/>
      <c r="CN50" s="74">
        <v>14.3</v>
      </c>
      <c r="CO50" s="204"/>
      <c r="CP50" s="88">
        <v>2.5228800000000007</v>
      </c>
      <c r="CQ50" s="329">
        <v>26.238820000000004</v>
      </c>
      <c r="CR50" s="28"/>
      <c r="CS50" s="226">
        <f t="shared" si="88"/>
        <v>43.061700000000002</v>
      </c>
      <c r="CU50" s="72">
        <v>45874</v>
      </c>
      <c r="CV50" s="73">
        <v>8024.66</v>
      </c>
      <c r="CW50" s="80">
        <v>1045.58</v>
      </c>
      <c r="CX50" s="75"/>
      <c r="CY50" s="74">
        <v>60.55</v>
      </c>
      <c r="CZ50" s="204"/>
      <c r="DA50" s="88">
        <v>85.279999999999347</v>
      </c>
      <c r="DB50" s="28"/>
      <c r="DC50" s="28"/>
      <c r="DD50" s="226">
        <f t="shared" si="89"/>
        <v>145.82999999999936</v>
      </c>
      <c r="DG50" s="72">
        <v>45874</v>
      </c>
      <c r="DH50" s="73">
        <v>964.85</v>
      </c>
      <c r="DI50" s="80">
        <v>313.27</v>
      </c>
      <c r="DJ50" s="80"/>
      <c r="DK50" s="74">
        <v>0</v>
      </c>
      <c r="DL50" s="204"/>
      <c r="DM50" s="88"/>
      <c r="DN50" s="28"/>
      <c r="DO50" s="28"/>
      <c r="DP50" s="226">
        <f t="shared" si="90"/>
        <v>0</v>
      </c>
      <c r="DR50" s="72">
        <v>45874</v>
      </c>
      <c r="DS50" s="73">
        <v>1233.7</v>
      </c>
      <c r="DT50" s="80">
        <v>947.92</v>
      </c>
      <c r="DU50" s="80"/>
      <c r="DV50" s="74">
        <v>28.09</v>
      </c>
      <c r="DW50" s="204"/>
      <c r="DX50" s="215"/>
      <c r="DY50" s="28"/>
      <c r="DZ50" s="28"/>
      <c r="EA50" s="226">
        <f t="shared" si="91"/>
        <v>28.09</v>
      </c>
      <c r="EC50" s="72">
        <v>45874</v>
      </c>
      <c r="ED50" s="73">
        <v>783.01</v>
      </c>
      <c r="EE50" s="80">
        <v>718.23</v>
      </c>
      <c r="EF50" s="80"/>
      <c r="EG50" s="74">
        <v>0</v>
      </c>
      <c r="EH50" s="204"/>
      <c r="EI50" s="88">
        <v>922.34864000000005</v>
      </c>
      <c r="EJ50" s="328"/>
      <c r="EK50" s="335"/>
      <c r="EL50" s="226">
        <f t="shared" si="92"/>
        <v>922.34864000000005</v>
      </c>
      <c r="EN50" s="72">
        <v>45874</v>
      </c>
      <c r="EO50" s="73">
        <v>2952.37</v>
      </c>
      <c r="EP50" s="81">
        <v>232.11</v>
      </c>
      <c r="EQ50" s="80"/>
      <c r="ER50" s="239">
        <v>46.56</v>
      </c>
      <c r="ES50" s="204"/>
      <c r="ET50" s="88"/>
      <c r="EU50" s="328">
        <v>164.24419999999998</v>
      </c>
      <c r="EV50" s="28"/>
      <c r="EW50" s="226">
        <f t="shared" si="93"/>
        <v>210.80419999999998</v>
      </c>
      <c r="EY50" s="72">
        <v>45874</v>
      </c>
      <c r="EZ50" s="73">
        <v>998.2</v>
      </c>
      <c r="FA50" s="73">
        <v>117.86</v>
      </c>
      <c r="FB50" s="75"/>
      <c r="FC50" s="74"/>
      <c r="FD50" s="204"/>
      <c r="FE50" s="215"/>
      <c r="FF50" s="28"/>
      <c r="FG50" s="28"/>
      <c r="FH50" s="226">
        <f t="shared" si="94"/>
        <v>0</v>
      </c>
    </row>
    <row r="51" spans="2:164" x14ac:dyDescent="0.25">
      <c r="B51" s="72">
        <v>45875</v>
      </c>
      <c r="C51" s="73">
        <v>17406.23</v>
      </c>
      <c r="D51" s="75"/>
      <c r="E51" s="75"/>
      <c r="F51" s="75">
        <v>120.73</v>
      </c>
      <c r="G51" s="204"/>
      <c r="H51" s="88"/>
      <c r="I51" s="28"/>
      <c r="J51" s="28"/>
      <c r="K51" s="226">
        <f t="shared" si="80"/>
        <v>120.73</v>
      </c>
      <c r="M51" s="72">
        <v>45875</v>
      </c>
      <c r="N51" s="73">
        <v>3434.26</v>
      </c>
      <c r="O51" s="75"/>
      <c r="P51" s="74">
        <v>8.68</v>
      </c>
      <c r="Q51" s="204"/>
      <c r="R51" s="215"/>
      <c r="S51" s="28"/>
      <c r="T51" s="28"/>
      <c r="U51" s="226">
        <f t="shared" si="81"/>
        <v>8.68</v>
      </c>
      <c r="W51" s="72">
        <v>45875</v>
      </c>
      <c r="X51" s="73">
        <v>865.06</v>
      </c>
      <c r="Y51" s="73">
        <v>0</v>
      </c>
      <c r="Z51" s="75"/>
      <c r="AA51" s="73"/>
      <c r="AB51" s="204"/>
      <c r="AC51" s="88"/>
      <c r="AD51" s="329"/>
      <c r="AE51" s="28"/>
      <c r="AF51" s="226">
        <f t="shared" si="82"/>
        <v>0</v>
      </c>
      <c r="AI51" s="72">
        <v>45875</v>
      </c>
      <c r="AJ51" s="73">
        <v>2010.43</v>
      </c>
      <c r="AK51" s="75"/>
      <c r="AL51" s="74"/>
      <c r="AM51" s="204"/>
      <c r="AN51" s="215"/>
      <c r="AO51" s="28"/>
      <c r="AP51" s="28"/>
      <c r="AQ51" s="226">
        <f t="shared" si="83"/>
        <v>0</v>
      </c>
      <c r="AS51" s="72">
        <v>45875</v>
      </c>
      <c r="AT51" s="73">
        <v>2915.39</v>
      </c>
      <c r="AU51" s="75"/>
      <c r="AV51" s="76"/>
      <c r="AW51" s="204"/>
      <c r="AX51" s="215"/>
      <c r="AY51" s="28"/>
      <c r="AZ51" s="28"/>
      <c r="BA51" s="226">
        <f t="shared" si="84"/>
        <v>0</v>
      </c>
      <c r="BC51" s="72">
        <v>45875</v>
      </c>
      <c r="BD51" s="73">
        <v>2091.8000000000002</v>
      </c>
      <c r="BE51" s="75"/>
      <c r="BF51" s="76">
        <v>8.93</v>
      </c>
      <c r="BG51" s="204"/>
      <c r="BH51" s="88"/>
      <c r="BI51" s="28"/>
      <c r="BJ51" s="28"/>
      <c r="BK51" s="226">
        <f t="shared" si="85"/>
        <v>8.93</v>
      </c>
      <c r="BM51" s="72">
        <v>45875</v>
      </c>
      <c r="BN51" s="73">
        <v>10553.54</v>
      </c>
      <c r="BO51" s="73">
        <v>2266.65</v>
      </c>
      <c r="BP51" s="73">
        <v>5224.38</v>
      </c>
      <c r="BQ51" s="75"/>
      <c r="BR51" s="75"/>
      <c r="BS51" s="204"/>
      <c r="BT51" s="88">
        <v>129.70473454747071</v>
      </c>
      <c r="BU51" s="329"/>
      <c r="BV51" s="28"/>
      <c r="BW51" s="226">
        <f t="shared" si="86"/>
        <v>129.70473454747071</v>
      </c>
      <c r="BY51" s="72">
        <v>45875</v>
      </c>
      <c r="BZ51" s="77">
        <v>815.01</v>
      </c>
      <c r="CA51" s="78">
        <v>664.04</v>
      </c>
      <c r="CB51" s="75"/>
      <c r="CC51" s="74"/>
      <c r="CD51" s="204"/>
      <c r="CE51" s="215"/>
      <c r="CF51" s="329"/>
      <c r="CG51" s="28"/>
      <c r="CH51" s="226">
        <f t="shared" si="87"/>
        <v>0</v>
      </c>
      <c r="CJ51" s="72">
        <v>45875</v>
      </c>
      <c r="CK51" s="73">
        <v>3243.19</v>
      </c>
      <c r="CL51" s="73">
        <v>549.74</v>
      </c>
      <c r="CM51" s="75"/>
      <c r="CN51" s="74">
        <v>1.73</v>
      </c>
      <c r="CO51" s="204"/>
      <c r="CP51" s="88"/>
      <c r="CQ51" s="329">
        <v>10.129999999999995</v>
      </c>
      <c r="CR51" s="28"/>
      <c r="CS51" s="226">
        <f t="shared" si="88"/>
        <v>11.859999999999996</v>
      </c>
      <c r="CU51" s="72">
        <v>45875</v>
      </c>
      <c r="CV51" s="73">
        <v>3181.47</v>
      </c>
      <c r="CW51" s="80">
        <v>237.74</v>
      </c>
      <c r="CX51" s="75"/>
      <c r="CY51" s="74">
        <v>77.58</v>
      </c>
      <c r="CZ51" s="204"/>
      <c r="DA51" s="88">
        <v>159.11999999999878</v>
      </c>
      <c r="DB51" s="28"/>
      <c r="DC51" s="28"/>
      <c r="DD51" s="226">
        <f t="shared" si="89"/>
        <v>236.69999999999879</v>
      </c>
      <c r="DG51" s="72">
        <v>45875</v>
      </c>
      <c r="DH51" s="73">
        <v>2157.27</v>
      </c>
      <c r="DI51" s="81">
        <v>409.98</v>
      </c>
      <c r="DJ51" s="80"/>
      <c r="DK51" s="74">
        <v>12.4</v>
      </c>
      <c r="DL51" s="204"/>
      <c r="DM51" s="88">
        <v>21.518699999999995</v>
      </c>
      <c r="DN51" s="28"/>
      <c r="DO51" s="28"/>
      <c r="DP51" s="226">
        <f t="shared" si="90"/>
        <v>33.918699999999994</v>
      </c>
      <c r="DR51" s="72">
        <v>45875</v>
      </c>
      <c r="DS51" s="73">
        <v>502.27</v>
      </c>
      <c r="DT51" s="81">
        <v>896.51</v>
      </c>
      <c r="DU51" s="80"/>
      <c r="DV51" s="74">
        <v>40.69</v>
      </c>
      <c r="DW51" s="204"/>
      <c r="DX51" s="215"/>
      <c r="DY51" s="28"/>
      <c r="DZ51" s="28"/>
      <c r="EA51" s="226">
        <f t="shared" si="91"/>
        <v>40.69</v>
      </c>
      <c r="EC51" s="72">
        <v>45875</v>
      </c>
      <c r="ED51" s="73">
        <v>1065.1099999999999</v>
      </c>
      <c r="EE51" s="80">
        <v>784.24</v>
      </c>
      <c r="EF51" s="80"/>
      <c r="EG51" s="74">
        <v>0</v>
      </c>
      <c r="EH51" s="204"/>
      <c r="EI51" s="88">
        <v>589.48491999999999</v>
      </c>
      <c r="EJ51" s="328"/>
      <c r="EK51" s="335"/>
      <c r="EL51" s="226">
        <f t="shared" si="92"/>
        <v>589.48491999999999</v>
      </c>
      <c r="EN51" s="72">
        <v>45875</v>
      </c>
      <c r="EO51" s="73">
        <v>3809.02</v>
      </c>
      <c r="EP51" s="81">
        <v>286.27999999999997</v>
      </c>
      <c r="EQ51" s="80"/>
      <c r="ER51" s="239">
        <v>88.24</v>
      </c>
      <c r="ES51" s="204"/>
      <c r="ET51" s="88">
        <v>15.934500000000014</v>
      </c>
      <c r="EU51" s="328"/>
      <c r="EV51" s="28"/>
      <c r="EW51" s="226">
        <f t="shared" si="93"/>
        <v>104.17450000000001</v>
      </c>
      <c r="EY51" s="72">
        <v>45875</v>
      </c>
      <c r="EZ51" s="73">
        <v>994.13</v>
      </c>
      <c r="FA51" s="73">
        <v>175</v>
      </c>
      <c r="FB51" s="75"/>
      <c r="FC51" s="74"/>
      <c r="FD51" s="204"/>
      <c r="FE51" s="215"/>
      <c r="FF51" s="28"/>
      <c r="FG51" s="28"/>
      <c r="FH51" s="226">
        <f t="shared" si="94"/>
        <v>0</v>
      </c>
    </row>
    <row r="52" spans="2:164" x14ac:dyDescent="0.25">
      <c r="B52" s="72">
        <v>45876</v>
      </c>
      <c r="C52" s="73">
        <v>7338.03</v>
      </c>
      <c r="D52" s="75"/>
      <c r="E52" s="75"/>
      <c r="F52" s="75">
        <v>41.3</v>
      </c>
      <c r="G52" s="204"/>
      <c r="H52" s="88"/>
      <c r="I52" s="28"/>
      <c r="J52" s="28"/>
      <c r="K52" s="226">
        <f t="shared" si="80"/>
        <v>41.3</v>
      </c>
      <c r="M52" s="72">
        <v>45876</v>
      </c>
      <c r="N52" s="73">
        <v>2997.41</v>
      </c>
      <c r="O52" s="75"/>
      <c r="P52" s="74">
        <v>14.36</v>
      </c>
      <c r="Q52" s="204"/>
      <c r="R52" s="215"/>
      <c r="S52" s="28"/>
      <c r="T52" s="28"/>
      <c r="U52" s="226">
        <f t="shared" si="81"/>
        <v>14.36</v>
      </c>
      <c r="W52" s="72">
        <v>45876</v>
      </c>
      <c r="X52" s="73">
        <v>715.54</v>
      </c>
      <c r="Y52" s="73">
        <v>63.03</v>
      </c>
      <c r="Z52" s="75"/>
      <c r="AA52" s="73"/>
      <c r="AB52" s="204"/>
      <c r="AC52" s="88">
        <v>56.510999999999996</v>
      </c>
      <c r="AD52" s="329"/>
      <c r="AE52" s="28"/>
      <c r="AF52" s="226">
        <f t="shared" si="82"/>
        <v>56.510999999999996</v>
      </c>
      <c r="AI52" s="72">
        <v>45876</v>
      </c>
      <c r="AJ52" s="73">
        <v>1544.98</v>
      </c>
      <c r="AK52" s="75"/>
      <c r="AL52" s="74"/>
      <c r="AM52" s="204"/>
      <c r="AN52" s="215"/>
      <c r="AO52" s="28"/>
      <c r="AP52" s="28"/>
      <c r="AQ52" s="226">
        <f t="shared" si="83"/>
        <v>0</v>
      </c>
      <c r="AS52" s="72">
        <v>45876</v>
      </c>
      <c r="AT52" s="73">
        <v>1570.84</v>
      </c>
      <c r="AU52" s="75"/>
      <c r="AV52" s="76"/>
      <c r="AW52" s="204"/>
      <c r="AX52" s="215"/>
      <c r="AY52" s="28"/>
      <c r="AZ52" s="28"/>
      <c r="BA52" s="226">
        <f t="shared" si="84"/>
        <v>0</v>
      </c>
      <c r="BC52" s="72">
        <v>45876</v>
      </c>
      <c r="BD52" s="73">
        <v>3128.49</v>
      </c>
      <c r="BE52" s="75"/>
      <c r="BF52" s="76">
        <v>6.56</v>
      </c>
      <c r="BG52" s="204"/>
      <c r="BH52" s="88"/>
      <c r="BI52" s="28"/>
      <c r="BJ52" s="28"/>
      <c r="BK52" s="226">
        <f t="shared" si="85"/>
        <v>6.56</v>
      </c>
      <c r="BM52" s="72">
        <v>45876</v>
      </c>
      <c r="BN52" s="73">
        <v>11608.16</v>
      </c>
      <c r="BO52" s="73">
        <v>1892.78</v>
      </c>
      <c r="BP52" s="73">
        <v>7790.96</v>
      </c>
      <c r="BQ52" s="75"/>
      <c r="BR52" s="75"/>
      <c r="BS52" s="204"/>
      <c r="BT52" s="88">
        <v>69.906395882358424</v>
      </c>
      <c r="BU52" s="329">
        <v>78.869449999999972</v>
      </c>
      <c r="BV52" s="28"/>
      <c r="BW52" s="226">
        <f t="shared" si="86"/>
        <v>148.7758458823584</v>
      </c>
      <c r="BY52" s="72">
        <v>45876</v>
      </c>
      <c r="BZ52" s="77">
        <v>720.36</v>
      </c>
      <c r="CA52" s="78">
        <v>475.92</v>
      </c>
      <c r="CB52" s="75"/>
      <c r="CC52" s="74"/>
      <c r="CD52" s="204"/>
      <c r="CE52" s="215"/>
      <c r="CF52" s="329">
        <v>28.371629999999968</v>
      </c>
      <c r="CG52" s="28"/>
      <c r="CH52" s="226">
        <f t="shared" si="87"/>
        <v>28.371629999999968</v>
      </c>
      <c r="CJ52" s="72">
        <v>45876</v>
      </c>
      <c r="CK52" s="73">
        <v>7123.12</v>
      </c>
      <c r="CL52" s="73">
        <v>481.29</v>
      </c>
      <c r="CM52" s="75"/>
      <c r="CN52" s="74">
        <v>13.47</v>
      </c>
      <c r="CO52" s="204"/>
      <c r="CP52" s="88">
        <v>22.164480000000005</v>
      </c>
      <c r="CQ52" s="329"/>
      <c r="CR52" s="28"/>
      <c r="CS52" s="226">
        <f t="shared" si="88"/>
        <v>35.634480000000003</v>
      </c>
      <c r="CU52" s="72">
        <v>45876</v>
      </c>
      <c r="CV52" s="73">
        <v>9595.2900000000009</v>
      </c>
      <c r="CW52" s="80">
        <v>683.06</v>
      </c>
      <c r="CX52" s="75"/>
      <c r="CY52" s="74">
        <v>198.76</v>
      </c>
      <c r="CZ52" s="204"/>
      <c r="DA52" s="88">
        <v>7.2799999999999443</v>
      </c>
      <c r="DB52" s="28"/>
      <c r="DC52" s="28"/>
      <c r="DD52" s="226">
        <f t="shared" si="89"/>
        <v>206.03999999999994</v>
      </c>
      <c r="DG52" s="72">
        <v>45876</v>
      </c>
      <c r="DH52" s="73">
        <v>1214.1600000000001</v>
      </c>
      <c r="DI52" s="80">
        <v>525.21</v>
      </c>
      <c r="DJ52" s="80"/>
      <c r="DK52" s="74">
        <v>4</v>
      </c>
      <c r="DL52" s="204"/>
      <c r="DM52" s="88"/>
      <c r="DN52" s="28"/>
      <c r="DO52" s="28"/>
      <c r="DP52" s="226">
        <f t="shared" si="90"/>
        <v>4</v>
      </c>
      <c r="DR52" s="72">
        <v>45876</v>
      </c>
      <c r="DS52" s="73">
        <v>2344.35</v>
      </c>
      <c r="DT52" s="80">
        <v>893.06</v>
      </c>
      <c r="DU52" s="80"/>
      <c r="DV52" s="74">
        <v>40.590000000000003</v>
      </c>
      <c r="DW52" s="204"/>
      <c r="DX52" s="215"/>
      <c r="DY52" s="28"/>
      <c r="DZ52" s="28"/>
      <c r="EA52" s="226">
        <f t="shared" si="91"/>
        <v>40.590000000000003</v>
      </c>
      <c r="EC52" s="72">
        <v>45876</v>
      </c>
      <c r="ED52" s="73">
        <v>1098.03</v>
      </c>
      <c r="EE52" s="80">
        <v>917.8</v>
      </c>
      <c r="EF52" s="80"/>
      <c r="EG52" s="74">
        <v>0</v>
      </c>
      <c r="EH52" s="204"/>
      <c r="EI52" s="88">
        <v>796.23252000000002</v>
      </c>
      <c r="EJ52" s="328">
        <v>93.996759999999995</v>
      </c>
      <c r="EK52" s="335"/>
      <c r="EL52" s="226">
        <f t="shared" si="92"/>
        <v>890.22928000000002</v>
      </c>
      <c r="EN52" s="72">
        <v>45876</v>
      </c>
      <c r="EO52" s="73">
        <v>2831.4</v>
      </c>
      <c r="EP52" s="81">
        <v>335.93</v>
      </c>
      <c r="EQ52" s="80"/>
      <c r="ER52" s="239">
        <v>127.96</v>
      </c>
      <c r="ES52" s="204"/>
      <c r="ET52" s="88">
        <v>8.2830000000000013</v>
      </c>
      <c r="EU52" s="328"/>
      <c r="EV52" s="28"/>
      <c r="EW52" s="226">
        <f t="shared" si="93"/>
        <v>136.24299999999999</v>
      </c>
      <c r="EY52" s="72">
        <v>45876</v>
      </c>
      <c r="EZ52" s="73">
        <v>541.1</v>
      </c>
      <c r="FA52" s="73">
        <v>170.18</v>
      </c>
      <c r="FB52" s="75"/>
      <c r="FC52" s="74"/>
      <c r="FD52" s="204"/>
      <c r="FE52" s="215"/>
      <c r="FF52" s="28"/>
      <c r="FG52" s="28"/>
      <c r="FH52" s="226">
        <f t="shared" si="94"/>
        <v>0</v>
      </c>
    </row>
    <row r="53" spans="2:164" x14ac:dyDescent="0.25">
      <c r="B53" s="72">
        <v>45877</v>
      </c>
      <c r="C53" s="73">
        <v>12680.24</v>
      </c>
      <c r="D53" s="75"/>
      <c r="E53" s="75"/>
      <c r="F53" s="75">
        <v>76.709999999999994</v>
      </c>
      <c r="G53" s="204"/>
      <c r="H53" s="88"/>
      <c r="I53" s="28"/>
      <c r="J53" s="28"/>
      <c r="K53" s="226">
        <f t="shared" si="80"/>
        <v>76.709999999999994</v>
      </c>
      <c r="M53" s="72">
        <v>45877</v>
      </c>
      <c r="N53" s="73">
        <v>3121.15</v>
      </c>
      <c r="O53" s="75"/>
      <c r="P53" s="74">
        <v>9.8699999999999992</v>
      </c>
      <c r="Q53" s="204"/>
      <c r="R53" s="215"/>
      <c r="S53" s="28"/>
      <c r="T53" s="28"/>
      <c r="U53" s="226">
        <f t="shared" si="81"/>
        <v>9.8699999999999992</v>
      </c>
      <c r="W53" s="72">
        <v>45877</v>
      </c>
      <c r="X53" s="73">
        <v>1245.0899999999999</v>
      </c>
      <c r="Y53" s="73">
        <v>197.2</v>
      </c>
      <c r="Z53" s="75"/>
      <c r="AA53" s="73"/>
      <c r="AB53" s="204"/>
      <c r="AC53" s="88"/>
      <c r="AD53" s="329"/>
      <c r="AE53" s="28"/>
      <c r="AF53" s="226">
        <f t="shared" si="82"/>
        <v>0</v>
      </c>
      <c r="AI53" s="72">
        <v>45877</v>
      </c>
      <c r="AJ53" s="73">
        <v>1011.91</v>
      </c>
      <c r="AK53" s="75"/>
      <c r="AL53" s="74"/>
      <c r="AM53" s="204"/>
      <c r="AN53" s="215"/>
      <c r="AO53" s="28"/>
      <c r="AP53" s="28"/>
      <c r="AQ53" s="226">
        <f t="shared" si="83"/>
        <v>0</v>
      </c>
      <c r="AS53" s="72">
        <v>45877</v>
      </c>
      <c r="AT53" s="73">
        <v>2869.01</v>
      </c>
      <c r="AU53" s="75"/>
      <c r="AV53" s="76"/>
      <c r="AW53" s="204"/>
      <c r="AX53" s="215"/>
      <c r="AY53" s="28"/>
      <c r="AZ53" s="28"/>
      <c r="BA53" s="226">
        <f t="shared" si="84"/>
        <v>0</v>
      </c>
      <c r="BC53" s="72">
        <v>45877</v>
      </c>
      <c r="BD53" s="73">
        <v>3429.46</v>
      </c>
      <c r="BE53" s="75"/>
      <c r="BF53" s="76">
        <v>0</v>
      </c>
      <c r="BG53" s="204"/>
      <c r="BH53" s="88"/>
      <c r="BI53" s="28"/>
      <c r="BJ53" s="28"/>
      <c r="BK53" s="226">
        <f t="shared" si="85"/>
        <v>0</v>
      </c>
      <c r="BM53" s="72">
        <v>45877</v>
      </c>
      <c r="BN53" s="73">
        <v>14717.13</v>
      </c>
      <c r="BO53" s="73">
        <v>2915.75</v>
      </c>
      <c r="BP53" s="73">
        <v>8809.68</v>
      </c>
      <c r="BQ53" s="75"/>
      <c r="BR53" s="75"/>
      <c r="BS53" s="204"/>
      <c r="BT53" s="88">
        <v>38.098014531548756</v>
      </c>
      <c r="BU53" s="329">
        <v>54.39725</v>
      </c>
      <c r="BV53" s="28"/>
      <c r="BW53" s="226">
        <f t="shared" si="86"/>
        <v>92.495264531548756</v>
      </c>
      <c r="BY53" s="72">
        <v>45877</v>
      </c>
      <c r="BZ53" s="77">
        <v>2492.6999999999998</v>
      </c>
      <c r="CA53" s="78">
        <v>1054.06</v>
      </c>
      <c r="CB53" s="75"/>
      <c r="CC53" s="74"/>
      <c r="CD53" s="204"/>
      <c r="CE53" s="215"/>
      <c r="CF53" s="329">
        <v>24.811970000000017</v>
      </c>
      <c r="CG53" s="28"/>
      <c r="CH53" s="226">
        <f t="shared" si="87"/>
        <v>24.811970000000017</v>
      </c>
      <c r="CJ53" s="72">
        <v>45877</v>
      </c>
      <c r="CK53" s="73">
        <v>5317.76</v>
      </c>
      <c r="CL53" s="73">
        <v>811.61</v>
      </c>
      <c r="CM53" s="75"/>
      <c r="CN53" s="74">
        <v>9.6999999999999993</v>
      </c>
      <c r="CO53" s="204"/>
      <c r="CP53" s="88">
        <v>2.3919999999999995</v>
      </c>
      <c r="CQ53" s="329">
        <v>16.88000000000001</v>
      </c>
      <c r="CR53" s="28"/>
      <c r="CS53" s="226">
        <f t="shared" si="88"/>
        <v>28.972000000000008</v>
      </c>
      <c r="CU53" s="72">
        <v>45877</v>
      </c>
      <c r="CV53" s="73">
        <v>9889.36</v>
      </c>
      <c r="CW53" s="80">
        <v>723.34</v>
      </c>
      <c r="CX53" s="75"/>
      <c r="CY53" s="74">
        <v>212.56</v>
      </c>
      <c r="CZ53" s="204"/>
      <c r="DA53" s="88"/>
      <c r="DB53" s="28"/>
      <c r="DC53" s="28"/>
      <c r="DD53" s="226">
        <f t="shared" si="89"/>
        <v>212.56</v>
      </c>
      <c r="DG53" s="72">
        <v>45877</v>
      </c>
      <c r="DH53" s="73">
        <v>1214.54</v>
      </c>
      <c r="DI53" s="80">
        <v>350.58</v>
      </c>
      <c r="DJ53" s="80"/>
      <c r="DK53" s="74">
        <v>0</v>
      </c>
      <c r="DL53" s="204"/>
      <c r="DM53" s="88">
        <v>6.9676300000000495</v>
      </c>
      <c r="DN53" s="28"/>
      <c r="DO53" s="28"/>
      <c r="DP53" s="226">
        <f t="shared" si="90"/>
        <v>6.9676300000000495</v>
      </c>
      <c r="DR53" s="72">
        <v>45877</v>
      </c>
      <c r="DS53" s="73">
        <v>771.68</v>
      </c>
      <c r="DT53" s="80">
        <v>901.85</v>
      </c>
      <c r="DU53" s="80"/>
      <c r="DV53" s="74">
        <v>23.13</v>
      </c>
      <c r="DW53" s="204"/>
      <c r="DX53" s="215"/>
      <c r="DY53" s="28"/>
      <c r="DZ53" s="28"/>
      <c r="EA53" s="226">
        <f t="shared" si="91"/>
        <v>23.13</v>
      </c>
      <c r="EC53" s="72">
        <v>45877</v>
      </c>
      <c r="ED53" s="73">
        <v>953.37</v>
      </c>
      <c r="EE53" s="80">
        <v>970.58</v>
      </c>
      <c r="EF53" s="80"/>
      <c r="EG53" s="74">
        <v>0</v>
      </c>
      <c r="EH53" s="204"/>
      <c r="EI53" s="88">
        <v>646.15343000000007</v>
      </c>
      <c r="EJ53" s="328">
        <v>92.208049999999986</v>
      </c>
      <c r="EK53" s="335"/>
      <c r="EL53" s="226">
        <f t="shared" si="92"/>
        <v>738.36148000000003</v>
      </c>
      <c r="EN53" s="72">
        <v>45877</v>
      </c>
      <c r="EO53" s="73">
        <v>2533.1799999999998</v>
      </c>
      <c r="EP53" s="81">
        <v>145.84</v>
      </c>
      <c r="EQ53" s="80"/>
      <c r="ER53" s="239">
        <v>24.24</v>
      </c>
      <c r="ES53" s="204"/>
      <c r="ET53" s="88">
        <v>8.8439999999999941</v>
      </c>
      <c r="EU53" s="328">
        <v>7.1553299999999922</v>
      </c>
      <c r="EV53" s="28"/>
      <c r="EW53" s="226">
        <f t="shared" si="93"/>
        <v>40.239329999999981</v>
      </c>
      <c r="EY53" s="72">
        <v>45877</v>
      </c>
      <c r="EZ53" s="73">
        <v>1155.97</v>
      </c>
      <c r="FA53" s="73">
        <v>97.5</v>
      </c>
      <c r="FB53" s="75"/>
      <c r="FC53" s="74"/>
      <c r="FD53" s="204"/>
      <c r="FE53" s="215"/>
      <c r="FF53" s="28"/>
      <c r="FG53" s="28"/>
      <c r="FH53" s="226">
        <f t="shared" si="94"/>
        <v>0</v>
      </c>
    </row>
    <row r="54" spans="2:164" x14ac:dyDescent="0.25">
      <c r="B54" s="72">
        <v>45878</v>
      </c>
      <c r="C54" s="73">
        <v>14356.46</v>
      </c>
      <c r="D54" s="75"/>
      <c r="E54" s="75"/>
      <c r="F54" s="75">
        <v>41.3</v>
      </c>
      <c r="G54" s="204"/>
      <c r="H54" s="88"/>
      <c r="I54" s="28"/>
      <c r="J54" s="28"/>
      <c r="K54" s="226">
        <f t="shared" si="80"/>
        <v>41.3</v>
      </c>
      <c r="M54" s="72">
        <v>45878</v>
      </c>
      <c r="N54" s="74">
        <v>3955.23</v>
      </c>
      <c r="O54" s="75"/>
      <c r="P54" s="74">
        <v>10.74</v>
      </c>
      <c r="Q54" s="204"/>
      <c r="R54" s="215"/>
      <c r="S54" s="28"/>
      <c r="T54" s="28"/>
      <c r="U54" s="226">
        <f t="shared" si="81"/>
        <v>10.74</v>
      </c>
      <c r="W54" s="72">
        <v>45878</v>
      </c>
      <c r="X54" s="73">
        <v>1437.03</v>
      </c>
      <c r="Y54" s="73">
        <v>339.15</v>
      </c>
      <c r="Z54" s="75"/>
      <c r="AA54" s="73"/>
      <c r="AB54" s="204"/>
      <c r="AC54" s="88"/>
      <c r="AD54" s="329">
        <v>31.713860000000025</v>
      </c>
      <c r="AE54" s="28"/>
      <c r="AF54" s="226">
        <f t="shared" si="82"/>
        <v>31.713860000000025</v>
      </c>
      <c r="AI54" s="72">
        <v>45878</v>
      </c>
      <c r="AJ54" s="73">
        <v>1111.3699999999999</v>
      </c>
      <c r="AK54" s="75"/>
      <c r="AL54" s="74"/>
      <c r="AM54" s="204"/>
      <c r="AN54" s="215"/>
      <c r="AO54" s="28"/>
      <c r="AP54" s="28"/>
      <c r="AQ54" s="226">
        <f t="shared" si="83"/>
        <v>0</v>
      </c>
      <c r="AS54" s="72">
        <v>45878</v>
      </c>
      <c r="AT54" s="73">
        <v>3639.35</v>
      </c>
      <c r="AU54" s="75"/>
      <c r="AV54" s="76"/>
      <c r="AW54" s="204"/>
      <c r="AX54" s="215"/>
      <c r="AY54" s="28"/>
      <c r="AZ54" s="28"/>
      <c r="BA54" s="226">
        <f t="shared" si="84"/>
        <v>0</v>
      </c>
      <c r="BC54" s="72">
        <v>45878</v>
      </c>
      <c r="BD54" s="73">
        <v>3356.98</v>
      </c>
      <c r="BE54" s="75"/>
      <c r="BF54" s="76">
        <v>6.47</v>
      </c>
      <c r="BG54" s="204"/>
      <c r="BH54" s="88">
        <v>7.7468999999999539</v>
      </c>
      <c r="BI54" s="28"/>
      <c r="BJ54" s="28"/>
      <c r="BK54" s="226">
        <f t="shared" si="85"/>
        <v>14.216899999999953</v>
      </c>
      <c r="BM54" s="72">
        <v>45878</v>
      </c>
      <c r="BN54" s="73">
        <v>13117.82</v>
      </c>
      <c r="BO54" s="73">
        <v>3828.94</v>
      </c>
      <c r="BP54" s="73">
        <v>7377.09</v>
      </c>
      <c r="BQ54" s="75"/>
      <c r="BR54" s="75"/>
      <c r="BS54" s="204"/>
      <c r="BT54" s="88">
        <v>171.93643380281688</v>
      </c>
      <c r="BU54" s="329">
        <v>530.89999999999986</v>
      </c>
      <c r="BV54" s="28"/>
      <c r="BW54" s="226">
        <f t="shared" si="86"/>
        <v>702.83643380281671</v>
      </c>
      <c r="BY54" s="72">
        <v>45878</v>
      </c>
      <c r="BZ54" s="77">
        <v>1051.95</v>
      </c>
      <c r="CA54" s="78">
        <v>304.13</v>
      </c>
      <c r="CB54" s="75"/>
      <c r="CC54" s="74"/>
      <c r="CD54" s="204"/>
      <c r="CE54" s="215"/>
      <c r="CF54" s="329"/>
      <c r="CG54" s="28"/>
      <c r="CH54" s="226">
        <f t="shared" si="87"/>
        <v>0</v>
      </c>
      <c r="CJ54" s="72">
        <v>45878</v>
      </c>
      <c r="CK54" s="73">
        <v>5808.21</v>
      </c>
      <c r="CL54" s="73">
        <v>919.39</v>
      </c>
      <c r="CM54" s="75"/>
      <c r="CN54" s="74">
        <v>17.059999999999999</v>
      </c>
      <c r="CO54" s="204"/>
      <c r="CP54" s="88">
        <v>8.1142199999999995</v>
      </c>
      <c r="CQ54" s="329"/>
      <c r="CR54" s="28"/>
      <c r="CS54" s="226">
        <f t="shared" si="88"/>
        <v>25.174219999999998</v>
      </c>
      <c r="CU54" s="72">
        <v>45878</v>
      </c>
      <c r="CV54" s="73">
        <v>4095.19</v>
      </c>
      <c r="CW54" s="80">
        <v>680.32</v>
      </c>
      <c r="CX54" s="75"/>
      <c r="CY54" s="76">
        <v>90.03</v>
      </c>
      <c r="CZ54" s="204"/>
      <c r="DA54" s="88"/>
      <c r="DB54" s="28"/>
      <c r="DC54" s="28"/>
      <c r="DD54" s="226">
        <f t="shared" si="89"/>
        <v>90.03</v>
      </c>
      <c r="DG54" s="72">
        <v>45878</v>
      </c>
      <c r="DH54" s="73">
        <v>1367.99</v>
      </c>
      <c r="DI54" s="80">
        <v>210.22</v>
      </c>
      <c r="DJ54" s="80"/>
      <c r="DK54" s="74">
        <v>8.86</v>
      </c>
      <c r="DL54" s="204"/>
      <c r="DM54" s="88"/>
      <c r="DN54" s="28"/>
      <c r="DO54" s="28"/>
      <c r="DP54" s="226">
        <f t="shared" si="90"/>
        <v>8.86</v>
      </c>
      <c r="DR54" s="72">
        <v>45878</v>
      </c>
      <c r="DS54" s="73">
        <v>886.85</v>
      </c>
      <c r="DT54" s="80">
        <v>740.32</v>
      </c>
      <c r="DU54" s="80"/>
      <c r="DV54" s="74">
        <v>14.7</v>
      </c>
      <c r="DW54" s="204"/>
      <c r="DX54" s="215"/>
      <c r="DY54" s="28"/>
      <c r="DZ54" s="28"/>
      <c r="EA54" s="226">
        <f t="shared" si="91"/>
        <v>14.7</v>
      </c>
      <c r="EC54" s="72">
        <v>45878</v>
      </c>
      <c r="ED54" s="73">
        <v>607.77</v>
      </c>
      <c r="EE54" s="80">
        <v>790.47</v>
      </c>
      <c r="EF54" s="80"/>
      <c r="EG54" s="74">
        <v>0</v>
      </c>
      <c r="EH54" s="204"/>
      <c r="EI54" s="88">
        <v>434.81552999999997</v>
      </c>
      <c r="EJ54" s="328">
        <v>106.24976000000001</v>
      </c>
      <c r="EK54" s="335"/>
      <c r="EL54" s="226">
        <f t="shared" si="92"/>
        <v>541.06529</v>
      </c>
      <c r="EN54" s="72">
        <v>45878</v>
      </c>
      <c r="EO54" s="73">
        <v>3385.32</v>
      </c>
      <c r="EP54" s="81">
        <v>243.69</v>
      </c>
      <c r="EQ54" s="80"/>
      <c r="ER54" s="239">
        <v>40.61</v>
      </c>
      <c r="ES54" s="204"/>
      <c r="ET54" s="88"/>
      <c r="EU54" s="328">
        <v>12.274850000000001</v>
      </c>
      <c r="EV54" s="28"/>
      <c r="EW54" s="226">
        <f t="shared" si="93"/>
        <v>52.88485</v>
      </c>
      <c r="EY54" s="72">
        <v>45878</v>
      </c>
      <c r="EZ54" s="73">
        <v>620.5</v>
      </c>
      <c r="FA54" s="73">
        <v>223</v>
      </c>
      <c r="FB54" s="75"/>
      <c r="FC54" s="74"/>
      <c r="FD54" s="204"/>
      <c r="FE54" s="215"/>
      <c r="FF54" s="28"/>
      <c r="FG54" s="28"/>
      <c r="FH54" s="226">
        <f t="shared" si="94"/>
        <v>0</v>
      </c>
    </row>
    <row r="55" spans="2:164" x14ac:dyDescent="0.25">
      <c r="B55" s="72">
        <v>45879</v>
      </c>
      <c r="C55" s="73">
        <v>9246.27</v>
      </c>
      <c r="D55" s="75"/>
      <c r="E55" s="75"/>
      <c r="F55" s="75">
        <v>7.05</v>
      </c>
      <c r="G55" s="204"/>
      <c r="H55" s="88"/>
      <c r="I55" s="28"/>
      <c r="J55" s="28"/>
      <c r="K55" s="226">
        <f t="shared" si="80"/>
        <v>7.05</v>
      </c>
      <c r="M55" s="72">
        <v>45879</v>
      </c>
      <c r="N55" s="73">
        <v>2910.87</v>
      </c>
      <c r="O55" s="75"/>
      <c r="P55" s="74">
        <v>0</v>
      </c>
      <c r="Q55" s="204"/>
      <c r="R55" s="215"/>
      <c r="S55" s="28"/>
      <c r="T55" s="28"/>
      <c r="U55" s="226">
        <f t="shared" si="81"/>
        <v>0</v>
      </c>
      <c r="W55" s="72">
        <v>45879</v>
      </c>
      <c r="X55" s="73">
        <v>877.24</v>
      </c>
      <c r="Y55" s="73">
        <v>10</v>
      </c>
      <c r="Z55" s="75"/>
      <c r="AA55" s="73"/>
      <c r="AB55" s="204"/>
      <c r="AC55" s="88"/>
      <c r="AD55" s="329"/>
      <c r="AE55" s="28"/>
      <c r="AF55" s="226">
        <f t="shared" si="82"/>
        <v>0</v>
      </c>
      <c r="AI55" s="72">
        <v>45879</v>
      </c>
      <c r="AJ55" s="73">
        <v>1457.69</v>
      </c>
      <c r="AK55" s="75"/>
      <c r="AL55" s="74"/>
      <c r="AM55" s="204"/>
      <c r="AN55" s="215"/>
      <c r="AO55" s="28"/>
      <c r="AP55" s="28"/>
      <c r="AQ55" s="226">
        <f t="shared" si="83"/>
        <v>0</v>
      </c>
      <c r="AS55" s="72">
        <v>45879</v>
      </c>
      <c r="AT55" s="73">
        <v>4181.6400000000003</v>
      </c>
      <c r="AU55" s="75"/>
      <c r="AV55" s="76"/>
      <c r="AW55" s="204"/>
      <c r="AX55" s="215"/>
      <c r="AY55" s="28"/>
      <c r="AZ55" s="28"/>
      <c r="BA55" s="226">
        <f t="shared" si="84"/>
        <v>0</v>
      </c>
      <c r="BC55" s="72">
        <v>45879</v>
      </c>
      <c r="BD55" s="73">
        <v>2583.15</v>
      </c>
      <c r="BE55" s="75"/>
      <c r="BF55" s="76">
        <v>2.84</v>
      </c>
      <c r="BG55" s="204"/>
      <c r="BH55" s="88"/>
      <c r="BI55" s="28"/>
      <c r="BJ55" s="28"/>
      <c r="BK55" s="226">
        <f t="shared" si="85"/>
        <v>2.84</v>
      </c>
      <c r="BM55" s="72">
        <v>45879</v>
      </c>
      <c r="BN55" s="73">
        <v>8736.27</v>
      </c>
      <c r="BO55" s="73">
        <v>2315.96</v>
      </c>
      <c r="BP55" s="73">
        <v>4667.12</v>
      </c>
      <c r="BQ55" s="75"/>
      <c r="BR55" s="75"/>
      <c r="BS55" s="204"/>
      <c r="BT55" s="88">
        <v>66.554225352112667</v>
      </c>
      <c r="BU55" s="329"/>
      <c r="BV55" s="28"/>
      <c r="BW55" s="226">
        <f t="shared" si="86"/>
        <v>66.554225352112667</v>
      </c>
      <c r="BY55" s="72">
        <v>45879</v>
      </c>
      <c r="BZ55" s="77">
        <v>1382.16</v>
      </c>
      <c r="CA55" s="78">
        <v>754.64</v>
      </c>
      <c r="CB55" s="75"/>
      <c r="CC55" s="74"/>
      <c r="CD55" s="204"/>
      <c r="CE55" s="215"/>
      <c r="CF55" s="329">
        <v>41.614700000000084</v>
      </c>
      <c r="CG55" s="28"/>
      <c r="CH55" s="226">
        <f t="shared" si="87"/>
        <v>41.614700000000084</v>
      </c>
      <c r="CJ55" s="72">
        <v>45879</v>
      </c>
      <c r="CK55" s="73">
        <v>3058.85</v>
      </c>
      <c r="CL55" s="73">
        <v>644.08000000000004</v>
      </c>
      <c r="CM55" s="75"/>
      <c r="CN55" s="74">
        <v>0</v>
      </c>
      <c r="CO55" s="204"/>
      <c r="CP55" s="88"/>
      <c r="CQ55" s="329">
        <v>16.88000000000001</v>
      </c>
      <c r="CR55" s="28"/>
      <c r="CS55" s="226">
        <f t="shared" si="88"/>
        <v>16.88000000000001</v>
      </c>
      <c r="CU55" s="72">
        <v>45879</v>
      </c>
      <c r="CV55" s="73">
        <v>2602.54</v>
      </c>
      <c r="CW55" s="80">
        <v>521.84</v>
      </c>
      <c r="CX55" s="75"/>
      <c r="CY55" s="76">
        <v>79.510000000000005</v>
      </c>
      <c r="CZ55" s="204"/>
      <c r="DA55" s="88"/>
      <c r="DB55" s="28"/>
      <c r="DC55" s="28"/>
      <c r="DD55" s="226">
        <f t="shared" si="89"/>
        <v>79.510000000000005</v>
      </c>
      <c r="DG55" s="72">
        <v>45879</v>
      </c>
      <c r="DH55" s="73">
        <v>962.28</v>
      </c>
      <c r="DI55" s="80">
        <v>431.62</v>
      </c>
      <c r="DJ55" s="80"/>
      <c r="DK55" s="74">
        <v>4</v>
      </c>
      <c r="DL55" s="204"/>
      <c r="DM55" s="88">
        <v>-7.419840000000022</v>
      </c>
      <c r="DN55" s="28"/>
      <c r="DO55" s="28"/>
      <c r="DP55" s="226">
        <f t="shared" si="90"/>
        <v>-3.419840000000022</v>
      </c>
      <c r="DR55" s="72">
        <v>45879</v>
      </c>
      <c r="DS55" s="73">
        <v>886.71</v>
      </c>
      <c r="DT55" s="80">
        <v>789</v>
      </c>
      <c r="DU55" s="80"/>
      <c r="DV55" s="74">
        <v>10.199999999999999</v>
      </c>
      <c r="DW55" s="204"/>
      <c r="DX55" s="215"/>
      <c r="DY55" s="28"/>
      <c r="DZ55" s="28"/>
      <c r="EA55" s="226">
        <f t="shared" si="91"/>
        <v>10.199999999999999</v>
      </c>
      <c r="EC55" s="72">
        <v>45879</v>
      </c>
      <c r="ED55" s="73">
        <v>954.7</v>
      </c>
      <c r="EE55" s="80">
        <v>644.35</v>
      </c>
      <c r="EF55" s="80"/>
      <c r="EG55" s="74">
        <v>0</v>
      </c>
      <c r="EH55" s="204"/>
      <c r="EI55" s="88">
        <v>82.399680000000018</v>
      </c>
      <c r="EJ55" s="328"/>
      <c r="EK55" s="335"/>
      <c r="EL55" s="226">
        <f t="shared" si="92"/>
        <v>82.399680000000018</v>
      </c>
      <c r="EN55" s="72">
        <v>45879</v>
      </c>
      <c r="EO55" s="73">
        <v>5304.97</v>
      </c>
      <c r="EP55" s="81">
        <v>285.7</v>
      </c>
      <c r="EQ55" s="80"/>
      <c r="ER55" s="239">
        <v>116.31</v>
      </c>
      <c r="ES55" s="204"/>
      <c r="ET55" s="88"/>
      <c r="EU55" s="328">
        <v>33.89397000000001</v>
      </c>
      <c r="EV55" s="28"/>
      <c r="EW55" s="226">
        <f t="shared" si="93"/>
        <v>150.20397000000003</v>
      </c>
      <c r="EY55" s="72">
        <v>45879</v>
      </c>
      <c r="EZ55" s="73">
        <v>551.54999999999995</v>
      </c>
      <c r="FA55" s="73">
        <v>248.04</v>
      </c>
      <c r="FB55" s="75"/>
      <c r="FC55" s="74"/>
      <c r="FD55" s="204"/>
      <c r="FE55" s="215"/>
      <c r="FF55" s="28"/>
      <c r="FG55" s="28"/>
      <c r="FH55" s="226">
        <f t="shared" si="94"/>
        <v>0</v>
      </c>
    </row>
    <row r="56" spans="2:164" x14ac:dyDescent="0.25">
      <c r="B56" s="72">
        <v>45880</v>
      </c>
      <c r="C56" s="73">
        <v>8754.7999999999993</v>
      </c>
      <c r="D56" s="74"/>
      <c r="E56" s="75"/>
      <c r="F56" s="74">
        <v>38.36</v>
      </c>
      <c r="G56" s="204"/>
      <c r="H56" s="88"/>
      <c r="I56" s="28"/>
      <c r="J56" s="28"/>
      <c r="K56" s="226">
        <f t="shared" si="80"/>
        <v>38.36</v>
      </c>
      <c r="M56" s="72">
        <v>45880</v>
      </c>
      <c r="N56" s="73">
        <v>3562</v>
      </c>
      <c r="O56" s="75"/>
      <c r="P56" s="74">
        <v>32.619999999999997</v>
      </c>
      <c r="Q56" s="204"/>
      <c r="R56" s="215"/>
      <c r="S56" s="28"/>
      <c r="T56" s="28"/>
      <c r="U56" s="226">
        <f t="shared" si="81"/>
        <v>32.619999999999997</v>
      </c>
      <c r="W56" s="72">
        <v>45880</v>
      </c>
      <c r="X56" s="73">
        <v>674.61</v>
      </c>
      <c r="Y56" s="73">
        <v>455.5</v>
      </c>
      <c r="Z56" s="75"/>
      <c r="AA56" s="73"/>
      <c r="AB56" s="204"/>
      <c r="AC56" s="88"/>
      <c r="AD56" s="329">
        <v>19.965789999999998</v>
      </c>
      <c r="AE56" s="28"/>
      <c r="AF56" s="226">
        <f t="shared" si="82"/>
        <v>19.965789999999998</v>
      </c>
      <c r="AI56" s="72">
        <v>45880</v>
      </c>
      <c r="AJ56" s="73">
        <v>1437.93</v>
      </c>
      <c r="AK56" s="75"/>
      <c r="AL56" s="74"/>
      <c r="AM56" s="204"/>
      <c r="AN56" s="215"/>
      <c r="AO56" s="28"/>
      <c r="AP56" s="28"/>
      <c r="AQ56" s="226">
        <f t="shared" si="83"/>
        <v>0</v>
      </c>
      <c r="AS56" s="72">
        <v>45880</v>
      </c>
      <c r="AT56" s="73">
        <v>2900.28</v>
      </c>
      <c r="AU56" s="75"/>
      <c r="AV56" s="76"/>
      <c r="AW56" s="204"/>
      <c r="AX56" s="215"/>
      <c r="AY56" s="28"/>
      <c r="AZ56" s="28"/>
      <c r="BA56" s="226">
        <f t="shared" si="84"/>
        <v>0</v>
      </c>
      <c r="BC56" s="72">
        <v>45880</v>
      </c>
      <c r="BD56" s="73">
        <v>2934.95</v>
      </c>
      <c r="BE56" s="75"/>
      <c r="BF56" s="76">
        <v>14.2</v>
      </c>
      <c r="BG56" s="204"/>
      <c r="BH56" s="88"/>
      <c r="BI56" s="28"/>
      <c r="BJ56" s="28"/>
      <c r="BK56" s="226">
        <f t="shared" si="85"/>
        <v>14.2</v>
      </c>
      <c r="BM56" s="72">
        <v>45880</v>
      </c>
      <c r="BN56" s="73">
        <v>12849.9</v>
      </c>
      <c r="BO56" s="73">
        <v>2878.17</v>
      </c>
      <c r="BP56" s="73">
        <v>7347.52</v>
      </c>
      <c r="BQ56" s="75"/>
      <c r="BR56" s="75"/>
      <c r="BS56" s="204"/>
      <c r="BT56" s="88">
        <v>156.21080487975655</v>
      </c>
      <c r="BU56" s="329"/>
      <c r="BV56" s="28"/>
      <c r="BW56" s="226">
        <f t="shared" si="86"/>
        <v>156.21080487975655</v>
      </c>
      <c r="BY56" s="72">
        <v>45880</v>
      </c>
      <c r="BZ56" s="77">
        <v>1841.24</v>
      </c>
      <c r="CA56" s="78">
        <v>534.9</v>
      </c>
      <c r="CB56" s="75"/>
      <c r="CC56" s="74"/>
      <c r="CD56" s="204"/>
      <c r="CE56" s="215"/>
      <c r="CF56" s="329">
        <v>31.15133999999999</v>
      </c>
      <c r="CG56" s="28"/>
      <c r="CH56" s="226">
        <f t="shared" si="87"/>
        <v>31.15133999999999</v>
      </c>
      <c r="CJ56" s="72">
        <v>45880</v>
      </c>
      <c r="CK56" s="73">
        <v>4865.57</v>
      </c>
      <c r="CL56" s="73">
        <v>813.27</v>
      </c>
      <c r="CM56" s="75"/>
      <c r="CN56" s="74">
        <v>8.2899999999999991</v>
      </c>
      <c r="CO56" s="204"/>
      <c r="CP56" s="88">
        <v>0</v>
      </c>
      <c r="CQ56" s="329">
        <v>1.6664099999999991</v>
      </c>
      <c r="CR56" s="28"/>
      <c r="CS56" s="226">
        <f t="shared" si="88"/>
        <v>9.9564099999999982</v>
      </c>
      <c r="CU56" s="72">
        <v>45880</v>
      </c>
      <c r="CV56" s="73">
        <v>9318.02</v>
      </c>
      <c r="CW56" s="80">
        <v>947.72</v>
      </c>
      <c r="CX56" s="75"/>
      <c r="CY56" s="76">
        <v>168.47</v>
      </c>
      <c r="CZ56" s="204"/>
      <c r="DA56" s="88">
        <v>584.81999999999971</v>
      </c>
      <c r="DB56" s="28"/>
      <c r="DC56" s="28"/>
      <c r="DD56" s="226">
        <f t="shared" si="89"/>
        <v>753.28999999999974</v>
      </c>
      <c r="DG56" s="72">
        <v>45880</v>
      </c>
      <c r="DH56" s="73">
        <v>2748.82</v>
      </c>
      <c r="DI56" s="80">
        <v>411.72</v>
      </c>
      <c r="DJ56" s="80"/>
      <c r="DK56" s="74">
        <v>8.4</v>
      </c>
      <c r="DL56" s="204"/>
      <c r="DM56" s="88"/>
      <c r="DN56" s="28"/>
      <c r="DO56" s="28"/>
      <c r="DP56" s="226">
        <f t="shared" si="90"/>
        <v>8.4</v>
      </c>
      <c r="DR56" s="72">
        <v>45880</v>
      </c>
      <c r="DS56" s="73">
        <v>864.34</v>
      </c>
      <c r="DT56" s="80">
        <v>1031.98</v>
      </c>
      <c r="DU56" s="80"/>
      <c r="DV56" s="74">
        <v>52.77</v>
      </c>
      <c r="DW56" s="204"/>
      <c r="DX56" s="215"/>
      <c r="DY56" s="28"/>
      <c r="DZ56" s="28"/>
      <c r="EA56" s="226">
        <f t="shared" si="91"/>
        <v>52.77</v>
      </c>
      <c r="EC56" s="72">
        <v>45880</v>
      </c>
      <c r="ED56" s="73">
        <v>740.41</v>
      </c>
      <c r="EE56" s="80">
        <v>362.14</v>
      </c>
      <c r="EF56" s="80"/>
      <c r="EG56" s="74">
        <v>0</v>
      </c>
      <c r="EH56" s="204"/>
      <c r="EI56" s="88">
        <v>1398.0745900000002</v>
      </c>
      <c r="EJ56" s="328"/>
      <c r="EK56" s="335"/>
      <c r="EL56" s="226">
        <f t="shared" si="92"/>
        <v>1398.0745900000002</v>
      </c>
      <c r="EN56" s="72">
        <v>45880</v>
      </c>
      <c r="EO56" s="73">
        <v>2767.71</v>
      </c>
      <c r="EP56" s="81">
        <v>305.62</v>
      </c>
      <c r="EQ56" s="80"/>
      <c r="ER56" s="239">
        <v>206</v>
      </c>
      <c r="ES56" s="204"/>
      <c r="ET56" s="88"/>
      <c r="EU56" s="328">
        <v>160.08296999999999</v>
      </c>
      <c r="EV56" s="28"/>
      <c r="EW56" s="226">
        <f t="shared" si="93"/>
        <v>366.08296999999999</v>
      </c>
      <c r="EY56" s="72">
        <v>45880</v>
      </c>
      <c r="EZ56" s="73">
        <v>573.58000000000004</v>
      </c>
      <c r="FA56" s="73">
        <v>151.47</v>
      </c>
      <c r="FB56" s="75"/>
      <c r="FC56" s="74"/>
      <c r="FD56" s="204"/>
      <c r="FE56" s="215"/>
      <c r="FF56" s="28"/>
      <c r="FG56" s="28"/>
      <c r="FH56" s="226">
        <f t="shared" si="94"/>
        <v>0</v>
      </c>
    </row>
    <row r="57" spans="2:164" x14ac:dyDescent="0.25">
      <c r="B57" s="72">
        <v>45881</v>
      </c>
      <c r="C57" s="73">
        <v>9127.16</v>
      </c>
      <c r="D57" s="75"/>
      <c r="E57" s="75"/>
      <c r="F57" s="75">
        <v>1.4</v>
      </c>
      <c r="G57" s="204"/>
      <c r="H57" s="88"/>
      <c r="I57" s="28"/>
      <c r="J57" s="28"/>
      <c r="K57" s="226">
        <f t="shared" si="80"/>
        <v>1.4</v>
      </c>
      <c r="M57" s="72">
        <v>45881</v>
      </c>
      <c r="N57" s="73">
        <v>3323.14</v>
      </c>
      <c r="O57" s="75"/>
      <c r="P57" s="74">
        <v>24.21</v>
      </c>
      <c r="Q57" s="204"/>
      <c r="R57" s="215"/>
      <c r="S57" s="28"/>
      <c r="T57" s="28"/>
      <c r="U57" s="226">
        <f t="shared" si="81"/>
        <v>24.21</v>
      </c>
      <c r="W57" s="72">
        <v>45881</v>
      </c>
      <c r="X57" s="73">
        <v>770.54</v>
      </c>
      <c r="Y57" s="73">
        <v>175</v>
      </c>
      <c r="Z57" s="75"/>
      <c r="AA57" s="73"/>
      <c r="AB57" s="204"/>
      <c r="AC57" s="88"/>
      <c r="AD57" s="329"/>
      <c r="AE57" s="28"/>
      <c r="AF57" s="226">
        <f t="shared" si="82"/>
        <v>0</v>
      </c>
      <c r="AI57" s="72">
        <v>45881</v>
      </c>
      <c r="AJ57" s="73">
        <v>727.84</v>
      </c>
      <c r="AK57" s="75"/>
      <c r="AL57" s="74"/>
      <c r="AM57" s="204"/>
      <c r="AN57" s="215"/>
      <c r="AO57" s="28"/>
      <c r="AP57" s="28"/>
      <c r="AQ57" s="226">
        <f t="shared" si="83"/>
        <v>0</v>
      </c>
      <c r="AS57" s="72">
        <v>45881</v>
      </c>
      <c r="AT57" s="73">
        <v>3416.7</v>
      </c>
      <c r="AU57" s="75"/>
      <c r="AV57" s="76"/>
      <c r="AW57" s="204"/>
      <c r="AX57" s="215"/>
      <c r="AY57" s="28"/>
      <c r="AZ57" s="28"/>
      <c r="BA57" s="226">
        <f t="shared" si="84"/>
        <v>0</v>
      </c>
      <c r="BC57" s="72">
        <v>45881</v>
      </c>
      <c r="BD57" s="73">
        <v>3032.76</v>
      </c>
      <c r="BE57" s="75"/>
      <c r="BF57" s="76">
        <v>21.4</v>
      </c>
      <c r="BG57" s="204"/>
      <c r="BH57" s="88"/>
      <c r="BI57" s="28"/>
      <c r="BJ57" s="28"/>
      <c r="BK57" s="226">
        <f t="shared" si="85"/>
        <v>21.4</v>
      </c>
      <c r="BM57" s="72">
        <v>45881</v>
      </c>
      <c r="BN57" s="73">
        <v>11702.35</v>
      </c>
      <c r="BO57" s="73">
        <v>2646.46</v>
      </c>
      <c r="BP57" s="73">
        <v>8569.89</v>
      </c>
      <c r="BQ57" s="75"/>
      <c r="BR57" s="75"/>
      <c r="BS57" s="204"/>
      <c r="BT57" s="88">
        <v>197.20008999999996</v>
      </c>
      <c r="BU57" s="329">
        <v>369.60091999999992</v>
      </c>
      <c r="BV57" s="28"/>
      <c r="BW57" s="226">
        <f t="shared" si="86"/>
        <v>566.80100999999991</v>
      </c>
      <c r="BY57" s="72">
        <v>45881</v>
      </c>
      <c r="BZ57" s="77">
        <v>3464.11</v>
      </c>
      <c r="CA57" s="78">
        <v>395.51</v>
      </c>
      <c r="CB57" s="75"/>
      <c r="CC57" s="74"/>
      <c r="CD57" s="204"/>
      <c r="CE57" s="215"/>
      <c r="CF57" s="329">
        <v>28.061700000000002</v>
      </c>
      <c r="CG57" s="28"/>
      <c r="CH57" s="226">
        <f t="shared" si="87"/>
        <v>28.061700000000002</v>
      </c>
      <c r="CJ57" s="72">
        <v>45881</v>
      </c>
      <c r="CK57" s="73">
        <v>4406.66</v>
      </c>
      <c r="CL57" s="73">
        <v>684.49</v>
      </c>
      <c r="CM57" s="75"/>
      <c r="CN57" s="74">
        <v>8.2100000000000009</v>
      </c>
      <c r="CO57" s="204"/>
      <c r="CP57" s="88">
        <v>4.1727999999999952</v>
      </c>
      <c r="CQ57" s="329"/>
      <c r="CR57" s="28"/>
      <c r="CS57" s="226">
        <f t="shared" si="88"/>
        <v>12.382799999999996</v>
      </c>
      <c r="CU57" s="72">
        <v>45881</v>
      </c>
      <c r="CV57" s="73">
        <v>8390.64</v>
      </c>
      <c r="CW57" s="80">
        <v>969.48</v>
      </c>
      <c r="CX57" s="75"/>
      <c r="CY57" s="76">
        <v>150.53</v>
      </c>
      <c r="CZ57" s="204"/>
      <c r="DA57" s="88"/>
      <c r="DB57" s="28"/>
      <c r="DC57" s="28"/>
      <c r="DD57" s="226">
        <f t="shared" si="89"/>
        <v>150.53</v>
      </c>
      <c r="DG57" s="72">
        <v>45881</v>
      </c>
      <c r="DH57" s="73">
        <v>864.27</v>
      </c>
      <c r="DI57" s="80">
        <v>281</v>
      </c>
      <c r="DJ57" s="80"/>
      <c r="DK57" s="74">
        <v>8</v>
      </c>
      <c r="DL57" s="204"/>
      <c r="DM57" s="88"/>
      <c r="DN57" s="28"/>
      <c r="DO57" s="28"/>
      <c r="DP57" s="226">
        <f t="shared" si="90"/>
        <v>8</v>
      </c>
      <c r="DR57" s="72">
        <v>45881</v>
      </c>
      <c r="DS57" s="73">
        <v>854.8</v>
      </c>
      <c r="DT57" s="80">
        <v>651.53</v>
      </c>
      <c r="DU57" s="80"/>
      <c r="DV57" s="74">
        <v>10.199999999999999</v>
      </c>
      <c r="DW57" s="204"/>
      <c r="DX57" s="215"/>
      <c r="DY57" s="28"/>
      <c r="DZ57" s="28"/>
      <c r="EA57" s="226">
        <f t="shared" si="91"/>
        <v>10.199999999999999</v>
      </c>
      <c r="EC57" s="72">
        <v>45881</v>
      </c>
      <c r="ED57" s="73">
        <v>1080.02</v>
      </c>
      <c r="EE57" s="80">
        <v>727.15</v>
      </c>
      <c r="EF57" s="80"/>
      <c r="EG57" s="74">
        <v>0</v>
      </c>
      <c r="EH57" s="204"/>
      <c r="EI57" s="88">
        <v>1101.6070700000002</v>
      </c>
      <c r="EJ57" s="328"/>
      <c r="EK57" s="335"/>
      <c r="EL57" s="226">
        <f t="shared" si="92"/>
        <v>1101.6070700000002</v>
      </c>
      <c r="EN57" s="72">
        <v>45881</v>
      </c>
      <c r="EO57" s="73">
        <v>7709.58</v>
      </c>
      <c r="EP57" s="81">
        <v>224.21</v>
      </c>
      <c r="EQ57" s="80"/>
      <c r="ER57" s="239">
        <v>122.69</v>
      </c>
      <c r="ES57" s="204"/>
      <c r="ET57" s="88">
        <v>45.226399999999984</v>
      </c>
      <c r="EU57" s="328">
        <v>512.30496999999946</v>
      </c>
      <c r="EV57" s="28"/>
      <c r="EW57" s="226">
        <f t="shared" si="93"/>
        <v>680.22136999999941</v>
      </c>
      <c r="EY57" s="72">
        <v>45881</v>
      </c>
      <c r="EZ57" s="73">
        <v>574.01</v>
      </c>
      <c r="FA57" s="73">
        <v>396</v>
      </c>
      <c r="FB57" s="75"/>
      <c r="FC57" s="74"/>
      <c r="FD57" s="204"/>
      <c r="FE57" s="215"/>
      <c r="FF57" s="28"/>
      <c r="FG57" s="28"/>
      <c r="FH57" s="226">
        <f t="shared" si="94"/>
        <v>0</v>
      </c>
    </row>
    <row r="58" spans="2:164" x14ac:dyDescent="0.25">
      <c r="B58" s="72">
        <v>45882</v>
      </c>
      <c r="C58" s="73">
        <v>13951.39</v>
      </c>
      <c r="D58" s="75"/>
      <c r="E58" s="75"/>
      <c r="F58" s="75">
        <v>8.24</v>
      </c>
      <c r="G58" s="204"/>
      <c r="H58" s="88">
        <v>128.99999999999997</v>
      </c>
      <c r="I58" s="28"/>
      <c r="J58" s="28"/>
      <c r="K58" s="226">
        <f t="shared" si="80"/>
        <v>137.23999999999998</v>
      </c>
      <c r="M58" s="72">
        <v>45882</v>
      </c>
      <c r="N58" s="73">
        <v>3126.89</v>
      </c>
      <c r="O58" s="75"/>
      <c r="P58" s="74">
        <v>40.840000000000003</v>
      </c>
      <c r="Q58" s="204"/>
      <c r="R58" s="215"/>
      <c r="S58" s="28"/>
      <c r="T58" s="28"/>
      <c r="U58" s="226">
        <f t="shared" si="81"/>
        <v>40.840000000000003</v>
      </c>
      <c r="W58" s="72">
        <v>45882</v>
      </c>
      <c r="X58" s="73">
        <v>2180.59</v>
      </c>
      <c r="Y58" s="73">
        <v>289.05</v>
      </c>
      <c r="Z58" s="75"/>
      <c r="AA58" s="73"/>
      <c r="AB58" s="204"/>
      <c r="AC58" s="88"/>
      <c r="AD58" s="329"/>
      <c r="AE58" s="28"/>
      <c r="AF58" s="226">
        <f t="shared" si="82"/>
        <v>0</v>
      </c>
      <c r="AI58" s="72">
        <v>45882</v>
      </c>
      <c r="AJ58" s="73">
        <v>1506.92</v>
      </c>
      <c r="AK58" s="75"/>
      <c r="AL58" s="74"/>
      <c r="AM58" s="204"/>
      <c r="AN58" s="215"/>
      <c r="AO58" s="28"/>
      <c r="AP58" s="28"/>
      <c r="AQ58" s="226">
        <f t="shared" si="83"/>
        <v>0</v>
      </c>
      <c r="AS58" s="72">
        <v>45882</v>
      </c>
      <c r="AT58" s="73">
        <v>3408.84</v>
      </c>
      <c r="AU58" s="75"/>
      <c r="AV58" s="76"/>
      <c r="AW58" s="204"/>
      <c r="AX58" s="215"/>
      <c r="AY58" s="28"/>
      <c r="AZ58" s="28"/>
      <c r="BA58" s="226">
        <f t="shared" si="84"/>
        <v>0</v>
      </c>
      <c r="BC58" s="72">
        <v>45882</v>
      </c>
      <c r="BD58" s="73">
        <v>3343.37</v>
      </c>
      <c r="BE58" s="75"/>
      <c r="BF58" s="76">
        <v>4.92</v>
      </c>
      <c r="BG58" s="204"/>
      <c r="BH58" s="88"/>
      <c r="BI58" s="28"/>
      <c r="BJ58" s="28"/>
      <c r="BK58" s="226">
        <f t="shared" si="85"/>
        <v>4.92</v>
      </c>
      <c r="BM58" s="72">
        <v>45882</v>
      </c>
      <c r="BN58" s="73">
        <v>14234.95</v>
      </c>
      <c r="BO58" s="73">
        <v>2879.78</v>
      </c>
      <c r="BP58" s="73">
        <v>8030.34</v>
      </c>
      <c r="BQ58" s="75"/>
      <c r="BR58" s="75"/>
      <c r="BS58" s="204"/>
      <c r="BT58" s="88">
        <v>128.59433802816898</v>
      </c>
      <c r="BU58" s="329">
        <v>519.59999999999991</v>
      </c>
      <c r="BV58" s="28"/>
      <c r="BW58" s="226">
        <f t="shared" si="86"/>
        <v>648.19433802816889</v>
      </c>
      <c r="BY58" s="72">
        <v>45882</v>
      </c>
      <c r="BZ58" s="77">
        <v>3450.75</v>
      </c>
      <c r="CA58" s="78">
        <v>595.54999999999995</v>
      </c>
      <c r="CB58" s="75"/>
      <c r="CC58" s="74"/>
      <c r="CD58" s="204"/>
      <c r="CE58" s="215"/>
      <c r="CF58" s="329"/>
      <c r="CG58" s="28"/>
      <c r="CH58" s="226">
        <f t="shared" si="87"/>
        <v>0</v>
      </c>
      <c r="CJ58" s="72">
        <v>45882</v>
      </c>
      <c r="CK58" s="73">
        <v>5283.1</v>
      </c>
      <c r="CL58" s="73">
        <v>584.09</v>
      </c>
      <c r="CM58" s="75"/>
      <c r="CN58" s="74">
        <v>26.49</v>
      </c>
      <c r="CO58" s="204"/>
      <c r="CP58" s="88">
        <v>0</v>
      </c>
      <c r="CQ58" s="329">
        <v>68.386099999999999</v>
      </c>
      <c r="CR58" s="28"/>
      <c r="CS58" s="226">
        <f t="shared" si="88"/>
        <v>94.876099999999994</v>
      </c>
      <c r="CU58" s="72">
        <v>45882</v>
      </c>
      <c r="CV58" s="73">
        <v>6988.49</v>
      </c>
      <c r="CW58" s="80">
        <v>1113.97</v>
      </c>
      <c r="CX58" s="75"/>
      <c r="CY58" s="76">
        <v>101.58</v>
      </c>
      <c r="CZ58" s="204"/>
      <c r="DA58" s="88">
        <v>974.70000000000107</v>
      </c>
      <c r="DB58" s="28"/>
      <c r="DC58" s="28"/>
      <c r="DD58" s="226">
        <f t="shared" si="89"/>
        <v>1076.2800000000011</v>
      </c>
      <c r="DG58" s="72">
        <v>45882</v>
      </c>
      <c r="DH58" s="73">
        <v>1291.23</v>
      </c>
      <c r="DI58" s="80">
        <v>341.11</v>
      </c>
      <c r="DJ58" s="80"/>
      <c r="DK58" s="74">
        <v>4</v>
      </c>
      <c r="DL58" s="204"/>
      <c r="DM58" s="88">
        <v>6.0799999999999983</v>
      </c>
      <c r="DN58" s="28"/>
      <c r="DO58" s="28"/>
      <c r="DP58" s="226">
        <f t="shared" si="90"/>
        <v>10.079999999999998</v>
      </c>
      <c r="DR58" s="72">
        <v>45882</v>
      </c>
      <c r="DS58" s="73">
        <v>1049.8800000000001</v>
      </c>
      <c r="DT58" s="80">
        <v>1288.96</v>
      </c>
      <c r="DU58" s="80"/>
      <c r="DV58" s="74">
        <v>28.41</v>
      </c>
      <c r="DW58" s="204"/>
      <c r="DX58" s="215"/>
      <c r="DY58" s="28"/>
      <c r="DZ58" s="28"/>
      <c r="EA58" s="226">
        <f t="shared" si="91"/>
        <v>28.41</v>
      </c>
      <c r="EC58" s="72">
        <v>45882</v>
      </c>
      <c r="ED58" s="73">
        <v>975.7</v>
      </c>
      <c r="EE58" s="80">
        <v>1073.17</v>
      </c>
      <c r="EF58" s="80"/>
      <c r="EG58" s="74">
        <v>0</v>
      </c>
      <c r="EH58" s="204"/>
      <c r="EI58" s="88">
        <v>1197.0068100000003</v>
      </c>
      <c r="EJ58" s="328"/>
      <c r="EK58" s="335"/>
      <c r="EL58" s="226">
        <f t="shared" si="92"/>
        <v>1197.0068100000003</v>
      </c>
      <c r="EN58" s="72">
        <v>45882</v>
      </c>
      <c r="EO58" s="73">
        <v>3044.16</v>
      </c>
      <c r="EP58" s="81">
        <v>240.07</v>
      </c>
      <c r="EQ58" s="80"/>
      <c r="ER58" s="239">
        <v>138.22999999999999</v>
      </c>
      <c r="ES58" s="204"/>
      <c r="ET58" s="88"/>
      <c r="EU58" s="328">
        <v>207.07556999999997</v>
      </c>
      <c r="EV58" s="28"/>
      <c r="EW58" s="226">
        <f t="shared" si="93"/>
        <v>345.30556999999999</v>
      </c>
      <c r="EY58" s="72">
        <v>45882</v>
      </c>
      <c r="EZ58" s="73">
        <v>712.42</v>
      </c>
      <c r="FA58" s="73">
        <v>141.97999999999999</v>
      </c>
      <c r="FB58" s="75"/>
      <c r="FC58" s="74"/>
      <c r="FD58" s="204"/>
      <c r="FE58" s="215"/>
      <c r="FF58" s="28"/>
      <c r="FG58" s="28"/>
      <c r="FH58" s="226">
        <f t="shared" si="94"/>
        <v>0</v>
      </c>
    </row>
    <row r="59" spans="2:164" x14ac:dyDescent="0.25">
      <c r="B59" s="72">
        <v>45883</v>
      </c>
      <c r="C59" s="73">
        <v>6779.17</v>
      </c>
      <c r="D59" s="75"/>
      <c r="E59" s="75"/>
      <c r="F59" s="73">
        <v>0</v>
      </c>
      <c r="G59" s="204"/>
      <c r="H59" s="88"/>
      <c r="I59" s="28"/>
      <c r="J59" s="28"/>
      <c r="K59" s="226">
        <f t="shared" si="80"/>
        <v>0</v>
      </c>
      <c r="M59" s="72">
        <v>45883</v>
      </c>
      <c r="N59" s="73">
        <v>2783.66</v>
      </c>
      <c r="O59" s="75"/>
      <c r="P59" s="74">
        <v>46.68</v>
      </c>
      <c r="Q59" s="204"/>
      <c r="R59" s="215"/>
      <c r="S59" s="28"/>
      <c r="T59" s="28"/>
      <c r="U59" s="226">
        <f t="shared" si="81"/>
        <v>46.68</v>
      </c>
      <c r="W59" s="72">
        <v>45883</v>
      </c>
      <c r="X59" s="73">
        <v>1971.61</v>
      </c>
      <c r="Y59" s="73">
        <v>93.04</v>
      </c>
      <c r="Z59" s="75"/>
      <c r="AA59" s="73"/>
      <c r="AB59" s="204"/>
      <c r="AC59" s="88">
        <v>9.0099999999999909</v>
      </c>
      <c r="AD59" s="329">
        <v>16.301690000000001</v>
      </c>
      <c r="AE59" s="28"/>
      <c r="AF59" s="226">
        <f t="shared" si="82"/>
        <v>25.311689999999992</v>
      </c>
      <c r="AI59" s="72">
        <v>45883</v>
      </c>
      <c r="AJ59" s="73">
        <v>1491.14</v>
      </c>
      <c r="AK59" s="75"/>
      <c r="AL59" s="74"/>
      <c r="AM59" s="204"/>
      <c r="AN59" s="215"/>
      <c r="AO59" s="28"/>
      <c r="AP59" s="28"/>
      <c r="AQ59" s="226">
        <f t="shared" si="83"/>
        <v>0</v>
      </c>
      <c r="AS59" s="72">
        <v>45883</v>
      </c>
      <c r="AT59" s="73">
        <v>3528.43</v>
      </c>
      <c r="AU59" s="75"/>
      <c r="AV59" s="76"/>
      <c r="AW59" s="204"/>
      <c r="AX59" s="215"/>
      <c r="AY59" s="28"/>
      <c r="AZ59" s="28"/>
      <c r="BA59" s="226">
        <f t="shared" si="84"/>
        <v>0</v>
      </c>
      <c r="BC59" s="72">
        <v>45883</v>
      </c>
      <c r="BD59" s="73">
        <v>3276.5</v>
      </c>
      <c r="BE59" s="75"/>
      <c r="BF59" s="76">
        <v>14.33</v>
      </c>
      <c r="BG59" s="204"/>
      <c r="BH59" s="88">
        <v>27.438199999999966</v>
      </c>
      <c r="BI59" s="28"/>
      <c r="BJ59" s="28"/>
      <c r="BK59" s="226">
        <f t="shared" si="85"/>
        <v>41.768199999999965</v>
      </c>
      <c r="BM59" s="72">
        <v>45883</v>
      </c>
      <c r="BN59" s="73">
        <v>12431.7</v>
      </c>
      <c r="BO59" s="73">
        <v>2239.86</v>
      </c>
      <c r="BP59" s="73">
        <v>10139.19</v>
      </c>
      <c r="BQ59" s="75"/>
      <c r="BR59" s="75"/>
      <c r="BS59" s="204"/>
      <c r="BT59" s="88">
        <v>176.23748617459037</v>
      </c>
      <c r="BU59" s="329">
        <v>77.661900000000003</v>
      </c>
      <c r="BV59" s="28"/>
      <c r="BW59" s="226">
        <f t="shared" si="86"/>
        <v>253.89938617459038</v>
      </c>
      <c r="BY59" s="72">
        <v>45883</v>
      </c>
      <c r="BZ59" s="77">
        <v>2192.5300000000002</v>
      </c>
      <c r="CA59" s="78">
        <v>737.05</v>
      </c>
      <c r="CB59" s="75"/>
      <c r="CC59" s="74"/>
      <c r="CD59" s="204"/>
      <c r="CE59" s="215"/>
      <c r="CF59" s="329"/>
      <c r="CG59" s="28"/>
      <c r="CH59" s="226">
        <f t="shared" si="87"/>
        <v>0</v>
      </c>
      <c r="CJ59" s="72">
        <v>45883</v>
      </c>
      <c r="CK59" s="73">
        <v>4987.99</v>
      </c>
      <c r="CL59" s="73">
        <v>530.98</v>
      </c>
      <c r="CM59" s="75"/>
      <c r="CN59" s="74">
        <v>5.37</v>
      </c>
      <c r="CO59" s="204"/>
      <c r="CP59" s="88">
        <v>58.957239999999999</v>
      </c>
      <c r="CQ59" s="329">
        <v>15.870000000000005</v>
      </c>
      <c r="CR59" s="28"/>
      <c r="CS59" s="226">
        <f t="shared" si="88"/>
        <v>80.197240000000008</v>
      </c>
      <c r="CU59" s="72">
        <v>45883</v>
      </c>
      <c r="CV59" s="73">
        <v>15226.18</v>
      </c>
      <c r="CW59" s="80">
        <v>692.43</v>
      </c>
      <c r="CX59" s="75"/>
      <c r="CY59" s="76">
        <v>192.19</v>
      </c>
      <c r="CZ59" s="204"/>
      <c r="DA59" s="88">
        <v>854.51509999999871</v>
      </c>
      <c r="DB59" s="28"/>
      <c r="DC59" s="28"/>
      <c r="DD59" s="226">
        <f t="shared" si="89"/>
        <v>1046.7050999999988</v>
      </c>
      <c r="DG59" s="72">
        <v>45883</v>
      </c>
      <c r="DH59" s="73">
        <v>1332.31</v>
      </c>
      <c r="DI59" s="80">
        <v>337</v>
      </c>
      <c r="DJ59" s="80"/>
      <c r="DK59" s="74">
        <v>65.17</v>
      </c>
      <c r="DL59" s="204"/>
      <c r="DM59" s="88">
        <v>0.83999999999997499</v>
      </c>
      <c r="DN59" s="28"/>
      <c r="DO59" s="28"/>
      <c r="DP59" s="226">
        <f t="shared" si="90"/>
        <v>66.009999999999977</v>
      </c>
      <c r="DR59" s="72">
        <v>45883</v>
      </c>
      <c r="DS59" s="73">
        <v>876.24</v>
      </c>
      <c r="DT59" s="80">
        <v>1064.8</v>
      </c>
      <c r="DU59" s="80"/>
      <c r="DV59" s="74">
        <v>7.77</v>
      </c>
      <c r="DW59" s="204"/>
      <c r="DX59" s="215"/>
      <c r="DY59" s="28"/>
      <c r="DZ59" s="28"/>
      <c r="EA59" s="226">
        <f t="shared" si="91"/>
        <v>7.77</v>
      </c>
      <c r="EC59" s="72">
        <v>45883</v>
      </c>
      <c r="ED59" s="73">
        <v>1382.72</v>
      </c>
      <c r="EE59" s="80">
        <v>915.99</v>
      </c>
      <c r="EF59" s="80"/>
      <c r="EG59" s="74">
        <v>0</v>
      </c>
      <c r="EH59" s="204"/>
      <c r="EI59" s="88">
        <v>663.81677000000013</v>
      </c>
      <c r="EJ59" s="328"/>
      <c r="EK59" s="335"/>
      <c r="EL59" s="226">
        <f t="shared" si="92"/>
        <v>663.81677000000013</v>
      </c>
      <c r="EN59" s="72">
        <v>45883</v>
      </c>
      <c r="EO59" s="73">
        <v>3170.09</v>
      </c>
      <c r="EP59" s="81">
        <v>171.71</v>
      </c>
      <c r="EQ59" s="80"/>
      <c r="ER59" s="239">
        <v>145.32</v>
      </c>
      <c r="ES59" s="204"/>
      <c r="ET59" s="88">
        <v>11.220419999999997</v>
      </c>
      <c r="EU59" s="328"/>
      <c r="EV59" s="28"/>
      <c r="EW59" s="226">
        <f t="shared" si="93"/>
        <v>156.54041999999998</v>
      </c>
      <c r="EY59" s="72">
        <v>45883</v>
      </c>
      <c r="EZ59" s="73">
        <v>1130.25</v>
      </c>
      <c r="FA59" s="73">
        <v>152.86000000000001</v>
      </c>
      <c r="FB59" s="75"/>
      <c r="FC59" s="74"/>
      <c r="FD59" s="204"/>
      <c r="FE59" s="215"/>
      <c r="FF59" s="28"/>
      <c r="FG59" s="28"/>
      <c r="FH59" s="226">
        <f t="shared" si="94"/>
        <v>0</v>
      </c>
    </row>
    <row r="60" spans="2:164" x14ac:dyDescent="0.25">
      <c r="B60" s="72">
        <v>45884</v>
      </c>
      <c r="C60" s="73">
        <v>11920.84</v>
      </c>
      <c r="D60" s="74"/>
      <c r="E60" s="75"/>
      <c r="F60" s="74">
        <v>35.4</v>
      </c>
      <c r="G60" s="204"/>
      <c r="H60" s="215"/>
      <c r="I60" s="28"/>
      <c r="J60" s="28"/>
      <c r="K60" s="226">
        <f t="shared" si="80"/>
        <v>35.4</v>
      </c>
      <c r="M60" s="72">
        <v>45884</v>
      </c>
      <c r="N60" s="73">
        <v>3594.39</v>
      </c>
      <c r="O60" s="75"/>
      <c r="P60" s="74">
        <v>67.900000000000006</v>
      </c>
      <c r="Q60" s="204"/>
      <c r="R60" s="215"/>
      <c r="S60" s="28"/>
      <c r="T60" s="28"/>
      <c r="U60" s="226">
        <f t="shared" si="81"/>
        <v>67.900000000000006</v>
      </c>
      <c r="W60" s="72">
        <v>45884</v>
      </c>
      <c r="X60" s="73">
        <v>2622.3</v>
      </c>
      <c r="Y60" s="73">
        <v>239.5</v>
      </c>
      <c r="Z60" s="75"/>
      <c r="AA60" s="73"/>
      <c r="AB60" s="204"/>
      <c r="AC60" s="88">
        <v>46.72132999999998</v>
      </c>
      <c r="AD60" s="329">
        <v>30.778390000000002</v>
      </c>
      <c r="AE60" s="28"/>
      <c r="AF60" s="226">
        <f t="shared" si="82"/>
        <v>77.499719999999982</v>
      </c>
      <c r="AI60" s="72">
        <v>45884</v>
      </c>
      <c r="AJ60" s="73">
        <v>1218.8699999999999</v>
      </c>
      <c r="AK60" s="75"/>
      <c r="AL60" s="74"/>
      <c r="AM60" s="204"/>
      <c r="AN60" s="215"/>
      <c r="AO60" s="28"/>
      <c r="AP60" s="28"/>
      <c r="AQ60" s="226">
        <f t="shared" si="83"/>
        <v>0</v>
      </c>
      <c r="AS60" s="72">
        <v>45884</v>
      </c>
      <c r="AT60" s="73">
        <v>3516.64</v>
      </c>
      <c r="AU60" s="75"/>
      <c r="AV60" s="76"/>
      <c r="AW60" s="204"/>
      <c r="AX60" s="215"/>
      <c r="AY60" s="28"/>
      <c r="AZ60" s="28"/>
      <c r="BA60" s="226">
        <f t="shared" si="84"/>
        <v>0</v>
      </c>
      <c r="BC60" s="72">
        <v>45884</v>
      </c>
      <c r="BD60" s="73">
        <v>1562.57</v>
      </c>
      <c r="BE60" s="75"/>
      <c r="BF60" s="76">
        <v>5.65</v>
      </c>
      <c r="BG60" s="204"/>
      <c r="BH60" s="88"/>
      <c r="BI60" s="28"/>
      <c r="BJ60" s="28"/>
      <c r="BK60" s="226">
        <f t="shared" si="85"/>
        <v>5.65</v>
      </c>
      <c r="BM60" s="72">
        <v>45884</v>
      </c>
      <c r="BN60" s="73">
        <v>12752.99</v>
      </c>
      <c r="BO60" s="73">
        <v>3468.89</v>
      </c>
      <c r="BP60" s="73">
        <v>9505.4500000000007</v>
      </c>
      <c r="BQ60" s="75"/>
      <c r="BR60" s="75"/>
      <c r="BS60" s="204"/>
      <c r="BT60" s="88">
        <v>139.47097421203438</v>
      </c>
      <c r="BU60" s="329"/>
      <c r="BV60" s="28"/>
      <c r="BW60" s="226">
        <f t="shared" si="86"/>
        <v>139.47097421203438</v>
      </c>
      <c r="BY60" s="72">
        <v>45884</v>
      </c>
      <c r="BZ60" s="77">
        <v>1374.21</v>
      </c>
      <c r="CA60" s="78">
        <v>512.13</v>
      </c>
      <c r="CB60" s="75"/>
      <c r="CC60" s="74"/>
      <c r="CD60" s="204"/>
      <c r="CE60" s="215"/>
      <c r="CF60" s="329"/>
      <c r="CG60" s="28"/>
      <c r="CH60" s="226">
        <f t="shared" si="87"/>
        <v>0</v>
      </c>
      <c r="CJ60" s="72">
        <v>45884</v>
      </c>
      <c r="CK60" s="73">
        <v>3804.52</v>
      </c>
      <c r="CL60" s="73">
        <v>544.16999999999996</v>
      </c>
      <c r="CM60" s="75"/>
      <c r="CN60" s="74">
        <v>0</v>
      </c>
      <c r="CO60" s="204"/>
      <c r="CP60" s="88">
        <v>25.781800000000061</v>
      </c>
      <c r="CQ60" s="329"/>
      <c r="CR60" s="28"/>
      <c r="CS60" s="226">
        <f t="shared" si="88"/>
        <v>25.781800000000061</v>
      </c>
      <c r="CU60" s="72">
        <v>45884</v>
      </c>
      <c r="CV60" s="73">
        <v>10664.43</v>
      </c>
      <c r="CW60" s="80">
        <v>813.69</v>
      </c>
      <c r="CX60" s="75"/>
      <c r="CY60" s="76">
        <v>244.24</v>
      </c>
      <c r="CZ60" s="204"/>
      <c r="DA60" s="88">
        <v>718.67999999999938</v>
      </c>
      <c r="DB60" s="28"/>
      <c r="DC60" s="28"/>
      <c r="DD60" s="226">
        <f t="shared" si="89"/>
        <v>962.91999999999939</v>
      </c>
      <c r="DG60" s="72">
        <v>45884</v>
      </c>
      <c r="DH60" s="73">
        <v>1694.1</v>
      </c>
      <c r="DI60" s="80">
        <v>625.86</v>
      </c>
      <c r="DJ60" s="80"/>
      <c r="DK60" s="74">
        <v>4</v>
      </c>
      <c r="DL60" s="204"/>
      <c r="DM60" s="88">
        <v>21.863219999999984</v>
      </c>
      <c r="DN60" s="28"/>
      <c r="DO60" s="28"/>
      <c r="DP60" s="226">
        <f t="shared" si="90"/>
        <v>25.863219999999984</v>
      </c>
      <c r="DR60" s="72">
        <v>45884</v>
      </c>
      <c r="DS60" s="73">
        <v>1151.22</v>
      </c>
      <c r="DT60" s="80">
        <v>1105.92</v>
      </c>
      <c r="DU60" s="80"/>
      <c r="DV60" s="74">
        <v>17.21</v>
      </c>
      <c r="DW60" s="204"/>
      <c r="DX60" s="215"/>
      <c r="DY60" s="28"/>
      <c r="DZ60" s="28"/>
      <c r="EA60" s="226">
        <f t="shared" si="91"/>
        <v>17.21</v>
      </c>
      <c r="EC60" s="72">
        <v>45884</v>
      </c>
      <c r="ED60" s="73">
        <v>1558.56</v>
      </c>
      <c r="EE60" s="80">
        <v>1266.6099999999999</v>
      </c>
      <c r="EF60" s="80"/>
      <c r="EG60" s="74">
        <v>0</v>
      </c>
      <c r="EH60" s="204"/>
      <c r="EI60" s="88">
        <v>966.60994000000039</v>
      </c>
      <c r="EJ60" s="328">
        <v>1125.6300000000001</v>
      </c>
      <c r="EK60" s="335"/>
      <c r="EL60" s="226">
        <f t="shared" si="92"/>
        <v>2092.2399400000004</v>
      </c>
      <c r="EN60" s="72">
        <v>45884</v>
      </c>
      <c r="EO60" s="73">
        <v>5422.57</v>
      </c>
      <c r="EP60" s="81">
        <v>183.52</v>
      </c>
      <c r="EQ60" s="80"/>
      <c r="ER60" s="239">
        <v>224.04</v>
      </c>
      <c r="ES60" s="204"/>
      <c r="ET60" s="88">
        <v>174.50046999999992</v>
      </c>
      <c r="EU60" s="328">
        <v>23.667019999999951</v>
      </c>
      <c r="EV60" s="28"/>
      <c r="EW60" s="226">
        <f t="shared" si="93"/>
        <v>422.20748999999989</v>
      </c>
      <c r="EY60" s="72">
        <v>45884</v>
      </c>
      <c r="EZ60" s="73">
        <v>445.27</v>
      </c>
      <c r="FA60" s="73">
        <v>152</v>
      </c>
      <c r="FB60" s="75"/>
      <c r="FC60" s="74"/>
      <c r="FD60" s="204"/>
      <c r="FE60" s="215"/>
      <c r="FF60" s="28"/>
      <c r="FG60" s="28"/>
      <c r="FH60" s="226">
        <f t="shared" si="94"/>
        <v>0</v>
      </c>
    </row>
    <row r="61" spans="2:164" x14ac:dyDescent="0.25">
      <c r="B61" s="72">
        <v>45885</v>
      </c>
      <c r="C61" s="73">
        <v>12740.23</v>
      </c>
      <c r="D61" s="75"/>
      <c r="E61" s="75"/>
      <c r="F61" s="75">
        <v>10.11</v>
      </c>
      <c r="G61" s="204"/>
      <c r="H61" s="215"/>
      <c r="I61" s="28"/>
      <c r="J61" s="28"/>
      <c r="K61" s="226">
        <f t="shared" si="80"/>
        <v>10.11</v>
      </c>
      <c r="M61" s="72">
        <v>45885</v>
      </c>
      <c r="N61" s="73">
        <v>3784.76</v>
      </c>
      <c r="O61" s="75"/>
      <c r="P61" s="74">
        <v>7.75</v>
      </c>
      <c r="Q61" s="204"/>
      <c r="R61" s="215"/>
      <c r="S61" s="28"/>
      <c r="T61" s="28"/>
      <c r="U61" s="226">
        <f t="shared" si="81"/>
        <v>7.75</v>
      </c>
      <c r="W61" s="72">
        <v>45885</v>
      </c>
      <c r="X61" s="73">
        <v>1374.28</v>
      </c>
      <c r="Y61" s="73">
        <v>173.47</v>
      </c>
      <c r="Z61" s="75"/>
      <c r="AA61" s="73"/>
      <c r="AB61" s="204"/>
      <c r="AC61" s="88"/>
      <c r="AD61" s="329"/>
      <c r="AE61" s="28"/>
      <c r="AF61" s="226">
        <f t="shared" si="82"/>
        <v>0</v>
      </c>
      <c r="AI61" s="72">
        <v>45885</v>
      </c>
      <c r="AJ61" s="73">
        <v>2205.19</v>
      </c>
      <c r="AK61" s="75"/>
      <c r="AL61" s="74"/>
      <c r="AM61" s="204"/>
      <c r="AN61" s="215"/>
      <c r="AO61" s="28"/>
      <c r="AP61" s="28"/>
      <c r="AQ61" s="226">
        <f t="shared" si="83"/>
        <v>0</v>
      </c>
      <c r="AS61" s="72">
        <v>45885</v>
      </c>
      <c r="AT61" s="73">
        <v>3224.32</v>
      </c>
      <c r="AU61" s="75"/>
      <c r="AV61" s="76"/>
      <c r="AW61" s="204"/>
      <c r="AX61" s="215"/>
      <c r="AY61" s="28"/>
      <c r="AZ61" s="28"/>
      <c r="BA61" s="226">
        <f t="shared" si="84"/>
        <v>0</v>
      </c>
      <c r="BC61" s="72">
        <v>45885</v>
      </c>
      <c r="BD61" s="73">
        <v>3623.27</v>
      </c>
      <c r="BE61" s="75"/>
      <c r="BF61" s="76">
        <v>0</v>
      </c>
      <c r="BG61" s="204"/>
      <c r="BH61" s="88"/>
      <c r="BI61" s="28"/>
      <c r="BJ61" s="28"/>
      <c r="BK61" s="226">
        <f t="shared" si="85"/>
        <v>0</v>
      </c>
      <c r="BM61" s="72">
        <v>45885</v>
      </c>
      <c r="BN61" s="73">
        <v>13994.71</v>
      </c>
      <c r="BO61" s="73">
        <v>3268.58</v>
      </c>
      <c r="BP61" s="73">
        <v>8396.56</v>
      </c>
      <c r="BQ61" s="75"/>
      <c r="BR61" s="75"/>
      <c r="BS61" s="204"/>
      <c r="BT61" s="88">
        <v>212.01819888703099</v>
      </c>
      <c r="BU61" s="329"/>
      <c r="BV61" s="28"/>
      <c r="BW61" s="226">
        <f t="shared" si="86"/>
        <v>212.01819888703099</v>
      </c>
      <c r="BY61" s="72">
        <v>45885</v>
      </c>
      <c r="BZ61" s="77">
        <v>375.65</v>
      </c>
      <c r="CA61" s="78">
        <v>235.74</v>
      </c>
      <c r="CB61" s="75"/>
      <c r="CC61" s="74"/>
      <c r="CD61" s="204"/>
      <c r="CE61" s="215"/>
      <c r="CF61" s="329"/>
      <c r="CG61" s="28"/>
      <c r="CH61" s="226">
        <f t="shared" si="87"/>
        <v>0</v>
      </c>
      <c r="CJ61" s="72">
        <v>45885</v>
      </c>
      <c r="CK61" s="73">
        <v>3833.4</v>
      </c>
      <c r="CL61" s="73">
        <v>694.79</v>
      </c>
      <c r="CM61" s="75"/>
      <c r="CN61" s="74">
        <v>0</v>
      </c>
      <c r="CO61" s="204"/>
      <c r="CP61" s="88">
        <v>24.680600000000023</v>
      </c>
      <c r="CQ61" s="329"/>
      <c r="CR61" s="28"/>
      <c r="CS61" s="226">
        <f t="shared" si="88"/>
        <v>24.680600000000023</v>
      </c>
      <c r="CU61" s="72">
        <v>45885</v>
      </c>
      <c r="CV61" s="73">
        <v>10231.5</v>
      </c>
      <c r="CW61" s="80">
        <v>707.02</v>
      </c>
      <c r="CX61" s="75"/>
      <c r="CY61" s="76">
        <v>166.19</v>
      </c>
      <c r="CZ61" s="204"/>
      <c r="DA61" s="88">
        <v>966.14999999999884</v>
      </c>
      <c r="DB61" s="28"/>
      <c r="DC61" s="28"/>
      <c r="DD61" s="226">
        <f t="shared" si="89"/>
        <v>1132.3399999999988</v>
      </c>
      <c r="DG61" s="72">
        <v>45885</v>
      </c>
      <c r="DH61" s="73">
        <v>792.06</v>
      </c>
      <c r="DI61" s="81">
        <v>358.5</v>
      </c>
      <c r="DJ61" s="80"/>
      <c r="DK61" s="74">
        <v>0</v>
      </c>
      <c r="DL61" s="204"/>
      <c r="DM61" s="88"/>
      <c r="DN61" s="28"/>
      <c r="DO61" s="28"/>
      <c r="DP61" s="226">
        <f t="shared" si="90"/>
        <v>0</v>
      </c>
      <c r="DR61" s="72">
        <v>45885</v>
      </c>
      <c r="DS61" s="73">
        <v>1272.46</v>
      </c>
      <c r="DT61" s="81">
        <v>1280.81</v>
      </c>
      <c r="DU61" s="80"/>
      <c r="DV61" s="74">
        <v>6.9</v>
      </c>
      <c r="DW61" s="204"/>
      <c r="DX61" s="215"/>
      <c r="DY61" s="28"/>
      <c r="DZ61" s="28"/>
      <c r="EA61" s="226">
        <f t="shared" si="91"/>
        <v>6.9</v>
      </c>
      <c r="EC61" s="72">
        <v>45885</v>
      </c>
      <c r="ED61" s="73">
        <v>854.47</v>
      </c>
      <c r="EE61" s="80">
        <v>566.32000000000005</v>
      </c>
      <c r="EF61" s="80"/>
      <c r="EG61" s="74">
        <v>0</v>
      </c>
      <c r="EH61" s="204"/>
      <c r="EI61" s="88">
        <v>863.54099000000019</v>
      </c>
      <c r="EJ61" s="328">
        <v>202.5</v>
      </c>
      <c r="EK61" s="335"/>
      <c r="EL61" s="226">
        <f t="shared" si="92"/>
        <v>1066.0409900000002</v>
      </c>
      <c r="EN61" s="72">
        <v>45885</v>
      </c>
      <c r="EO61" s="73">
        <v>3574.49</v>
      </c>
      <c r="EP61" s="81">
        <v>421.13</v>
      </c>
      <c r="EQ61" s="80"/>
      <c r="ER61" s="239">
        <v>93.98</v>
      </c>
      <c r="ES61" s="204"/>
      <c r="ET61" s="88">
        <v>26.785439999999994</v>
      </c>
      <c r="EU61" s="328"/>
      <c r="EV61" s="28"/>
      <c r="EW61" s="226">
        <f t="shared" si="93"/>
        <v>120.76544</v>
      </c>
      <c r="EY61" s="72">
        <v>45885</v>
      </c>
      <c r="EZ61" s="73">
        <v>852.8</v>
      </c>
      <c r="FA61" s="73">
        <v>294.88</v>
      </c>
      <c r="FB61" s="75"/>
      <c r="FC61" s="74"/>
      <c r="FD61" s="204"/>
      <c r="FE61" s="215"/>
      <c r="FF61" s="28"/>
      <c r="FG61" s="28"/>
      <c r="FH61" s="226">
        <f t="shared" si="94"/>
        <v>0</v>
      </c>
    </row>
    <row r="62" spans="2:164" x14ac:dyDescent="0.25">
      <c r="B62" s="72">
        <v>45886</v>
      </c>
      <c r="C62" s="73">
        <v>9354.5400000000009</v>
      </c>
      <c r="D62" s="75"/>
      <c r="E62" s="75"/>
      <c r="F62" s="75">
        <v>35.4</v>
      </c>
      <c r="G62" s="204"/>
      <c r="H62" s="215"/>
      <c r="I62" s="28"/>
      <c r="J62" s="28"/>
      <c r="K62" s="226">
        <f t="shared" si="80"/>
        <v>35.4</v>
      </c>
      <c r="M62" s="72">
        <v>45886</v>
      </c>
      <c r="N62" s="73">
        <v>3893.98</v>
      </c>
      <c r="O62" s="75"/>
      <c r="P62" s="74">
        <v>18.87</v>
      </c>
      <c r="Q62" s="204"/>
      <c r="R62" s="215"/>
      <c r="S62" s="28"/>
      <c r="T62" s="28"/>
      <c r="U62" s="226">
        <f t="shared" si="81"/>
        <v>18.87</v>
      </c>
      <c r="W62" s="72">
        <v>45886</v>
      </c>
      <c r="X62" s="73">
        <v>1583.27</v>
      </c>
      <c r="Y62" s="73">
        <v>201.83</v>
      </c>
      <c r="Z62" s="75"/>
      <c r="AA62" s="73"/>
      <c r="AB62" s="204"/>
      <c r="AC62" s="88"/>
      <c r="AD62" s="329"/>
      <c r="AE62" s="28"/>
      <c r="AF62" s="226">
        <f t="shared" si="82"/>
        <v>0</v>
      </c>
      <c r="AI62" s="72">
        <v>45886</v>
      </c>
      <c r="AJ62" s="73">
        <v>991.93</v>
      </c>
      <c r="AK62" s="75"/>
      <c r="AL62" s="74"/>
      <c r="AM62" s="204"/>
      <c r="AN62" s="215"/>
      <c r="AO62" s="28"/>
      <c r="AP62" s="28"/>
      <c r="AQ62" s="226">
        <f t="shared" si="83"/>
        <v>0</v>
      </c>
      <c r="AS62" s="72">
        <v>45886</v>
      </c>
      <c r="AT62" s="73">
        <v>3519.21</v>
      </c>
      <c r="AU62" s="75"/>
      <c r="AV62" s="76"/>
      <c r="AW62" s="204"/>
      <c r="AX62" s="215"/>
      <c r="AY62" s="28"/>
      <c r="AZ62" s="28"/>
      <c r="BA62" s="226">
        <f t="shared" si="84"/>
        <v>0</v>
      </c>
      <c r="BC62" s="72">
        <v>45886</v>
      </c>
      <c r="BD62" s="73">
        <v>2617.5300000000002</v>
      </c>
      <c r="BE62" s="75"/>
      <c r="BF62" s="76">
        <v>0</v>
      </c>
      <c r="BG62" s="204"/>
      <c r="BH62" s="88"/>
      <c r="BI62" s="28"/>
      <c r="BJ62" s="28"/>
      <c r="BK62" s="226">
        <f t="shared" si="85"/>
        <v>0</v>
      </c>
      <c r="BM62" s="72">
        <v>45886</v>
      </c>
      <c r="BN62" s="73">
        <v>11463.83</v>
      </c>
      <c r="BO62" s="73">
        <v>3172.58</v>
      </c>
      <c r="BP62" s="73">
        <v>5262.44</v>
      </c>
      <c r="BQ62" s="75"/>
      <c r="BR62" s="75"/>
      <c r="BS62" s="204"/>
      <c r="BT62" s="88">
        <v>147.87461318051575</v>
      </c>
      <c r="BU62" s="329"/>
      <c r="BV62" s="28"/>
      <c r="BW62" s="226">
        <f t="shared" si="86"/>
        <v>147.87461318051575</v>
      </c>
      <c r="BY62" s="72">
        <v>45886</v>
      </c>
      <c r="BZ62" s="77">
        <v>1347.47</v>
      </c>
      <c r="CA62" s="78">
        <v>694.8</v>
      </c>
      <c r="CB62" s="75"/>
      <c r="CC62" s="74"/>
      <c r="CD62" s="204"/>
      <c r="CE62" s="215"/>
      <c r="CF62" s="329">
        <v>169.0293700000002</v>
      </c>
      <c r="CG62" s="28"/>
      <c r="CH62" s="226">
        <f t="shared" si="87"/>
        <v>169.0293700000002</v>
      </c>
      <c r="CJ62" s="72">
        <v>45886</v>
      </c>
      <c r="CK62" s="73">
        <v>5136.37</v>
      </c>
      <c r="CL62" s="73">
        <v>664.13</v>
      </c>
      <c r="CM62" s="75"/>
      <c r="CN62" s="74">
        <v>15.68</v>
      </c>
      <c r="CO62" s="204"/>
      <c r="CP62" s="88"/>
      <c r="CQ62" s="329"/>
      <c r="CR62" s="28"/>
      <c r="CS62" s="226">
        <f t="shared" si="88"/>
        <v>15.68</v>
      </c>
      <c r="CU62" s="72">
        <v>45886</v>
      </c>
      <c r="CV62" s="73">
        <v>8072.14</v>
      </c>
      <c r="CW62" s="80">
        <v>888.38</v>
      </c>
      <c r="CX62" s="75"/>
      <c r="CY62" s="76">
        <v>147.12</v>
      </c>
      <c r="CZ62" s="204"/>
      <c r="DA62" s="88">
        <v>1728.9000000000037</v>
      </c>
      <c r="DB62" s="28"/>
      <c r="DC62" s="28"/>
      <c r="DD62" s="226">
        <f t="shared" si="89"/>
        <v>1876.0200000000036</v>
      </c>
      <c r="DG62" s="72">
        <v>45886</v>
      </c>
      <c r="DH62" s="73">
        <v>1825.84</v>
      </c>
      <c r="DI62" s="80">
        <v>471.88</v>
      </c>
      <c r="DJ62" s="80"/>
      <c r="DK62" s="74">
        <v>4</v>
      </c>
      <c r="DL62" s="204"/>
      <c r="DM62" s="88">
        <v>1.0555299999999761</v>
      </c>
      <c r="DN62" s="28"/>
      <c r="DO62" s="28"/>
      <c r="DP62" s="226">
        <f t="shared" si="90"/>
        <v>5.0555299999999761</v>
      </c>
      <c r="DR62" s="72">
        <v>45886</v>
      </c>
      <c r="DS62" s="73">
        <v>912.45</v>
      </c>
      <c r="DT62" s="80">
        <v>1132.8599999999999</v>
      </c>
      <c r="DU62" s="80"/>
      <c r="DV62" s="74">
        <v>0</v>
      </c>
      <c r="DW62" s="204"/>
      <c r="DX62" s="215"/>
      <c r="DY62" s="28"/>
      <c r="DZ62" s="28"/>
      <c r="EA62" s="226">
        <f t="shared" si="91"/>
        <v>0</v>
      </c>
      <c r="EC62" s="72">
        <v>45886</v>
      </c>
      <c r="ED62" s="73">
        <v>781.55</v>
      </c>
      <c r="EE62" s="80">
        <v>715.86</v>
      </c>
      <c r="EF62" s="80"/>
      <c r="EG62" s="74">
        <v>0</v>
      </c>
      <c r="EH62" s="204"/>
      <c r="EI62" s="88">
        <v>304.39335000000005</v>
      </c>
      <c r="EJ62" s="328"/>
      <c r="EK62" s="335"/>
      <c r="EL62" s="226">
        <f t="shared" si="92"/>
        <v>304.39335000000005</v>
      </c>
      <c r="EN62" s="72">
        <v>45886</v>
      </c>
      <c r="EO62" s="73">
        <v>3094.86</v>
      </c>
      <c r="EP62" s="81">
        <v>249.76</v>
      </c>
      <c r="EQ62" s="80"/>
      <c r="ER62" s="239">
        <v>9.34</v>
      </c>
      <c r="ES62" s="204"/>
      <c r="ET62" s="88">
        <v>7.259999999999998</v>
      </c>
      <c r="EU62" s="328">
        <v>81.796680000000038</v>
      </c>
      <c r="EV62" s="28"/>
      <c r="EW62" s="226">
        <f t="shared" si="93"/>
        <v>98.396680000000032</v>
      </c>
      <c r="EY62" s="72">
        <v>45886</v>
      </c>
      <c r="EZ62" s="73">
        <v>411</v>
      </c>
      <c r="FA62" s="73">
        <v>148.97999999999999</v>
      </c>
      <c r="FB62" s="75"/>
      <c r="FC62" s="74"/>
      <c r="FD62" s="204"/>
      <c r="FE62" s="215"/>
      <c r="FF62" s="28"/>
      <c r="FG62" s="28"/>
      <c r="FH62" s="226">
        <f t="shared" si="94"/>
        <v>0</v>
      </c>
    </row>
    <row r="63" spans="2:164" x14ac:dyDescent="0.25">
      <c r="B63" s="72">
        <v>45887</v>
      </c>
      <c r="C63" s="73">
        <v>14320.04</v>
      </c>
      <c r="D63" s="75"/>
      <c r="E63" s="75"/>
      <c r="F63" s="75">
        <v>91.6</v>
      </c>
      <c r="G63" s="204"/>
      <c r="H63" s="215"/>
      <c r="I63" s="28"/>
      <c r="J63" s="28"/>
      <c r="K63" s="226">
        <f t="shared" si="80"/>
        <v>91.6</v>
      </c>
      <c r="M63" s="72">
        <v>45887</v>
      </c>
      <c r="N63" s="73">
        <v>3130.09</v>
      </c>
      <c r="O63" s="75"/>
      <c r="P63" s="74">
        <v>22.16</v>
      </c>
      <c r="Q63" s="204"/>
      <c r="R63" s="215"/>
      <c r="S63" s="28"/>
      <c r="T63" s="28"/>
      <c r="U63" s="226">
        <f t="shared" si="81"/>
        <v>22.16</v>
      </c>
      <c r="W63" s="72">
        <v>45887</v>
      </c>
      <c r="X63" s="73">
        <v>1397.23</v>
      </c>
      <c r="Y63" s="73">
        <v>217.29</v>
      </c>
      <c r="Z63" s="75"/>
      <c r="AA63" s="73"/>
      <c r="AB63" s="204"/>
      <c r="AC63" s="88"/>
      <c r="AD63" s="329"/>
      <c r="AE63" s="28"/>
      <c r="AF63" s="226">
        <f t="shared" si="82"/>
        <v>0</v>
      </c>
      <c r="AI63" s="72">
        <v>45887</v>
      </c>
      <c r="AJ63" s="73">
        <v>2294.46</v>
      </c>
      <c r="AK63" s="75"/>
      <c r="AL63" s="74"/>
      <c r="AM63" s="204"/>
      <c r="AN63" s="215"/>
      <c r="AO63" s="28"/>
      <c r="AP63" s="28"/>
      <c r="AQ63" s="226">
        <f t="shared" si="83"/>
        <v>0</v>
      </c>
      <c r="AS63" s="72">
        <v>45887</v>
      </c>
      <c r="AT63" s="73">
        <v>3288.94</v>
      </c>
      <c r="AU63" s="75"/>
      <c r="AV63" s="76"/>
      <c r="AW63" s="204"/>
      <c r="AX63" s="215"/>
      <c r="AY63" s="28"/>
      <c r="AZ63" s="28"/>
      <c r="BA63" s="226">
        <f t="shared" si="84"/>
        <v>0</v>
      </c>
      <c r="BC63" s="72">
        <v>45887</v>
      </c>
      <c r="BD63" s="73">
        <v>3137.23</v>
      </c>
      <c r="BE63" s="75"/>
      <c r="BF63" s="76">
        <v>8.58</v>
      </c>
      <c r="BG63" s="204"/>
      <c r="BH63" s="88">
        <v>17.579119999999989</v>
      </c>
      <c r="BI63" s="28"/>
      <c r="BJ63" s="28"/>
      <c r="BK63" s="226">
        <f t="shared" si="85"/>
        <v>26.159119999999987</v>
      </c>
      <c r="BM63" s="72">
        <v>45887</v>
      </c>
      <c r="BN63" s="73">
        <v>11123.22</v>
      </c>
      <c r="BO63" s="73">
        <v>3120.65</v>
      </c>
      <c r="BP63" s="73">
        <v>8084.78</v>
      </c>
      <c r="BQ63" s="75"/>
      <c r="BR63" s="75"/>
      <c r="BS63" s="204"/>
      <c r="BT63" s="88">
        <v>195.66038392936008</v>
      </c>
      <c r="BU63" s="329">
        <v>616.41150000000005</v>
      </c>
      <c r="BV63" s="28"/>
      <c r="BW63" s="226">
        <f t="shared" si="86"/>
        <v>812.07188392936018</v>
      </c>
      <c r="BY63" s="72">
        <v>45887</v>
      </c>
      <c r="BZ63" s="77">
        <v>2275.38</v>
      </c>
      <c r="CA63" s="78">
        <v>570.80999999999995</v>
      </c>
      <c r="CB63" s="75"/>
      <c r="CC63" s="74"/>
      <c r="CD63" s="204"/>
      <c r="CE63" s="215"/>
      <c r="CF63" s="329">
        <v>33.303449999999998</v>
      </c>
      <c r="CG63" s="28"/>
      <c r="CH63" s="226">
        <f t="shared" si="87"/>
        <v>33.303449999999998</v>
      </c>
      <c r="CJ63" s="72">
        <v>45887</v>
      </c>
      <c r="CK63" s="73">
        <v>4827.95</v>
      </c>
      <c r="CL63" s="73">
        <v>732.57</v>
      </c>
      <c r="CM63" s="75"/>
      <c r="CN63" s="74">
        <v>0</v>
      </c>
      <c r="CO63" s="204"/>
      <c r="CP63" s="88">
        <v>99.618750000000176</v>
      </c>
      <c r="CQ63" s="329"/>
      <c r="CR63" s="28"/>
      <c r="CS63" s="226">
        <f t="shared" si="88"/>
        <v>99.618750000000176</v>
      </c>
      <c r="CU63" s="72">
        <v>45887</v>
      </c>
      <c r="CV63" s="73">
        <v>6020.09</v>
      </c>
      <c r="CW63" s="80">
        <v>791.67</v>
      </c>
      <c r="CX63" s="75"/>
      <c r="CY63" s="76">
        <v>221.59</v>
      </c>
      <c r="CZ63" s="204"/>
      <c r="DA63" s="88"/>
      <c r="DB63" s="28"/>
      <c r="DC63" s="28"/>
      <c r="DD63" s="226">
        <f t="shared" si="89"/>
        <v>221.59</v>
      </c>
      <c r="DG63" s="72">
        <v>45887</v>
      </c>
      <c r="DH63" s="73">
        <v>2263.89</v>
      </c>
      <c r="DI63" s="80">
        <v>360.45</v>
      </c>
      <c r="DJ63" s="80"/>
      <c r="DK63" s="74">
        <v>16.600000000000001</v>
      </c>
      <c r="DL63" s="204"/>
      <c r="DM63" s="88">
        <v>21.788269999999841</v>
      </c>
      <c r="DN63" s="28"/>
      <c r="DO63" s="28"/>
      <c r="DP63" s="226">
        <f t="shared" si="90"/>
        <v>38.388269999999842</v>
      </c>
      <c r="DR63" s="72">
        <v>45887</v>
      </c>
      <c r="DS63" s="73">
        <v>1103.3399999999999</v>
      </c>
      <c r="DT63" s="80">
        <v>1239.94</v>
      </c>
      <c r="DU63" s="80"/>
      <c r="DV63" s="74">
        <v>37.909999999999997</v>
      </c>
      <c r="DW63" s="204"/>
      <c r="DX63" s="215"/>
      <c r="DY63" s="28"/>
      <c r="DZ63" s="28"/>
      <c r="EA63" s="226">
        <f t="shared" si="91"/>
        <v>37.909999999999997</v>
      </c>
      <c r="EC63" s="72">
        <v>45887</v>
      </c>
      <c r="ED63" s="73">
        <v>1250.45</v>
      </c>
      <c r="EE63" s="80">
        <v>762.65</v>
      </c>
      <c r="EF63" s="80"/>
      <c r="EG63" s="74">
        <v>0</v>
      </c>
      <c r="EH63" s="204"/>
      <c r="EI63" s="88">
        <v>1419.8107200000004</v>
      </c>
      <c r="EJ63" s="328"/>
      <c r="EK63" s="335"/>
      <c r="EL63" s="226">
        <f t="shared" si="92"/>
        <v>1419.8107200000004</v>
      </c>
      <c r="EN63" s="72">
        <v>45887</v>
      </c>
      <c r="EO63" s="73">
        <v>2740.12</v>
      </c>
      <c r="EP63" s="81">
        <v>155.9</v>
      </c>
      <c r="EQ63" s="80"/>
      <c r="ER63" s="239">
        <v>226.42</v>
      </c>
      <c r="ES63" s="204"/>
      <c r="ET63" s="88">
        <v>20.131799999999998</v>
      </c>
      <c r="EU63" s="328"/>
      <c r="EV63" s="28"/>
      <c r="EW63" s="226">
        <f t="shared" si="93"/>
        <v>246.55179999999999</v>
      </c>
      <c r="EY63" s="72">
        <v>45887</v>
      </c>
      <c r="EZ63" s="73">
        <v>483.9</v>
      </c>
      <c r="FA63" s="73">
        <v>227</v>
      </c>
      <c r="FB63" s="75"/>
      <c r="FC63" s="74"/>
      <c r="FD63" s="204"/>
      <c r="FE63" s="215"/>
      <c r="FF63" s="28"/>
      <c r="FG63" s="28"/>
      <c r="FH63" s="226">
        <f t="shared" si="94"/>
        <v>0</v>
      </c>
    </row>
    <row r="64" spans="2:164" x14ac:dyDescent="0.25">
      <c r="B64" s="72">
        <v>45888</v>
      </c>
      <c r="C64" s="73">
        <v>7704.45</v>
      </c>
      <c r="D64" s="75"/>
      <c r="E64" s="75"/>
      <c r="F64" s="75">
        <v>38.72</v>
      </c>
      <c r="G64" s="204"/>
      <c r="H64" s="215"/>
      <c r="I64" s="28"/>
      <c r="J64" s="28"/>
      <c r="K64" s="226">
        <f t="shared" si="80"/>
        <v>38.72</v>
      </c>
      <c r="M64" s="72">
        <v>45888</v>
      </c>
      <c r="N64" s="73">
        <v>3502.48</v>
      </c>
      <c r="O64" s="75"/>
      <c r="P64" s="74">
        <v>54.92</v>
      </c>
      <c r="Q64" s="204"/>
      <c r="R64" s="215"/>
      <c r="S64" s="28"/>
      <c r="T64" s="28"/>
      <c r="U64" s="226">
        <f t="shared" si="81"/>
        <v>54.92</v>
      </c>
      <c r="W64" s="72">
        <v>45888</v>
      </c>
      <c r="X64" s="73">
        <v>2351.83</v>
      </c>
      <c r="Y64" s="73">
        <v>201.11</v>
      </c>
      <c r="Z64" s="75"/>
      <c r="AA64" s="73"/>
      <c r="AB64" s="204"/>
      <c r="AC64" s="88"/>
      <c r="AD64" s="329"/>
      <c r="AE64" s="28"/>
      <c r="AF64" s="226">
        <f t="shared" si="82"/>
        <v>0</v>
      </c>
      <c r="AI64" s="72">
        <v>45888</v>
      </c>
      <c r="AJ64" s="73">
        <v>1172.7</v>
      </c>
      <c r="AK64" s="75"/>
      <c r="AL64" s="74"/>
      <c r="AM64" s="204"/>
      <c r="AN64" s="215"/>
      <c r="AO64" s="28"/>
      <c r="AP64" s="28"/>
      <c r="AQ64" s="226">
        <f t="shared" si="83"/>
        <v>0</v>
      </c>
      <c r="AS64" s="72">
        <v>45888</v>
      </c>
      <c r="AT64" s="73">
        <v>2443</v>
      </c>
      <c r="AU64" s="75"/>
      <c r="AV64" s="76"/>
      <c r="AW64" s="204"/>
      <c r="AX64" s="215"/>
      <c r="AY64" s="28"/>
      <c r="AZ64" s="28"/>
      <c r="BA64" s="226">
        <f t="shared" si="84"/>
        <v>0</v>
      </c>
      <c r="BC64" s="72">
        <v>45888</v>
      </c>
      <c r="BD64" s="73">
        <v>3147.73</v>
      </c>
      <c r="BE64" s="75"/>
      <c r="BF64" s="76">
        <v>9.7799999999999994</v>
      </c>
      <c r="BG64" s="204"/>
      <c r="BH64" s="88">
        <v>31.989349999999995</v>
      </c>
      <c r="BI64" s="28"/>
      <c r="BJ64" s="28"/>
      <c r="BK64" s="226">
        <f t="shared" si="85"/>
        <v>41.769349999999996</v>
      </c>
      <c r="BM64" s="72">
        <v>45888</v>
      </c>
      <c r="BN64" s="73">
        <v>13072.99</v>
      </c>
      <c r="BO64" s="73">
        <v>2905.37</v>
      </c>
      <c r="BP64" s="73">
        <v>8310.98</v>
      </c>
      <c r="BQ64" s="75"/>
      <c r="BR64" s="75"/>
      <c r="BS64" s="204"/>
      <c r="BT64" s="88">
        <v>59.455493591362789</v>
      </c>
      <c r="BU64" s="329">
        <v>168.26176999999998</v>
      </c>
      <c r="BV64" s="28"/>
      <c r="BW64" s="226">
        <f t="shared" si="86"/>
        <v>227.71726359136278</v>
      </c>
      <c r="BY64" s="72">
        <v>45888</v>
      </c>
      <c r="BZ64" s="77">
        <v>687.54</v>
      </c>
      <c r="CA64" s="82">
        <v>442.34</v>
      </c>
      <c r="CB64" s="75"/>
      <c r="CC64" s="74"/>
      <c r="CD64" s="204"/>
      <c r="CE64" s="215"/>
      <c r="CF64" s="329"/>
      <c r="CG64" s="28"/>
      <c r="CH64" s="226">
        <f t="shared" si="87"/>
        <v>0</v>
      </c>
      <c r="CJ64" s="72">
        <v>45888</v>
      </c>
      <c r="CK64" s="73">
        <v>6026.2</v>
      </c>
      <c r="CL64" s="73">
        <v>796.21</v>
      </c>
      <c r="CM64" s="75"/>
      <c r="CN64" s="74">
        <v>30.08</v>
      </c>
      <c r="CO64" s="204"/>
      <c r="CP64" s="88">
        <v>33.355300000000014</v>
      </c>
      <c r="CQ64" s="329"/>
      <c r="CR64" s="28"/>
      <c r="CS64" s="226">
        <f t="shared" si="88"/>
        <v>63.435300000000012</v>
      </c>
      <c r="CU64" s="72">
        <v>45888</v>
      </c>
      <c r="CV64" s="73">
        <v>6471.43</v>
      </c>
      <c r="CW64" s="80">
        <v>1138.3399999999999</v>
      </c>
      <c r="CX64" s="75"/>
      <c r="CY64" s="76">
        <v>145.76</v>
      </c>
      <c r="CZ64" s="204"/>
      <c r="DA64" s="88">
        <v>488.16000000000059</v>
      </c>
      <c r="DB64" s="28"/>
      <c r="DC64" s="28"/>
      <c r="DD64" s="226">
        <f t="shared" si="89"/>
        <v>633.92000000000053</v>
      </c>
      <c r="DG64" s="72">
        <v>45888</v>
      </c>
      <c r="DH64" s="73">
        <v>1902.21</v>
      </c>
      <c r="DI64" s="80">
        <v>919.03</v>
      </c>
      <c r="DJ64" s="80"/>
      <c r="DK64" s="74">
        <v>0</v>
      </c>
      <c r="DL64" s="204"/>
      <c r="DM64" s="88">
        <v>4.6164300000000082</v>
      </c>
      <c r="DN64" s="28"/>
      <c r="DO64" s="28"/>
      <c r="DP64" s="226">
        <f t="shared" si="90"/>
        <v>4.6164300000000082</v>
      </c>
      <c r="DR64" s="72">
        <v>45888</v>
      </c>
      <c r="DS64" s="73">
        <v>929.78</v>
      </c>
      <c r="DT64" s="80">
        <v>745.05</v>
      </c>
      <c r="DU64" s="80"/>
      <c r="DV64" s="74">
        <v>15.17</v>
      </c>
      <c r="DW64" s="204"/>
      <c r="DX64" s="215"/>
      <c r="DY64" s="28"/>
      <c r="DZ64" s="28"/>
      <c r="EA64" s="226">
        <f t="shared" si="91"/>
        <v>15.17</v>
      </c>
      <c r="EC64" s="72">
        <v>45888</v>
      </c>
      <c r="ED64" s="73">
        <v>712.24</v>
      </c>
      <c r="EE64" s="80">
        <v>343.31</v>
      </c>
      <c r="EF64" s="80"/>
      <c r="EG64" s="74">
        <v>0</v>
      </c>
      <c r="EH64" s="204"/>
      <c r="EI64" s="88">
        <v>742.87120000000027</v>
      </c>
      <c r="EJ64" s="328"/>
      <c r="EK64" s="335"/>
      <c r="EL64" s="226">
        <f t="shared" si="92"/>
        <v>742.87120000000027</v>
      </c>
      <c r="EN64" s="72">
        <v>45888</v>
      </c>
      <c r="EO64" s="73">
        <v>2834.98</v>
      </c>
      <c r="EP64" s="81">
        <v>155.4</v>
      </c>
      <c r="EQ64" s="80"/>
      <c r="ER64" s="239">
        <v>92.25</v>
      </c>
      <c r="ES64" s="204"/>
      <c r="ET64" s="88">
        <v>25.250299999999982</v>
      </c>
      <c r="EU64" s="328">
        <v>36.551320000000032</v>
      </c>
      <c r="EV64" s="28"/>
      <c r="EW64" s="226">
        <f t="shared" si="93"/>
        <v>154.05162000000001</v>
      </c>
      <c r="EY64" s="72">
        <v>45888</v>
      </c>
      <c r="EZ64" s="73">
        <v>543.65</v>
      </c>
      <c r="FA64" s="73">
        <v>290.08</v>
      </c>
      <c r="FB64" s="75"/>
      <c r="FC64" s="74"/>
      <c r="FD64" s="204"/>
      <c r="FE64" s="215"/>
      <c r="FF64" s="28"/>
      <c r="FG64" s="28"/>
      <c r="FH64" s="226">
        <f t="shared" si="94"/>
        <v>0</v>
      </c>
    </row>
    <row r="65" spans="2:164" x14ac:dyDescent="0.25">
      <c r="B65" s="72">
        <v>45889</v>
      </c>
      <c r="C65" s="73">
        <v>12213.6</v>
      </c>
      <c r="D65" s="74"/>
      <c r="E65" s="75"/>
      <c r="F65" s="74">
        <v>86.44</v>
      </c>
      <c r="G65" s="204"/>
      <c r="H65" s="215"/>
      <c r="I65" s="28"/>
      <c r="J65" s="28"/>
      <c r="K65" s="226">
        <f t="shared" si="80"/>
        <v>86.44</v>
      </c>
      <c r="M65" s="72">
        <v>45889</v>
      </c>
      <c r="N65" s="73">
        <v>2932.04</v>
      </c>
      <c r="O65" s="75"/>
      <c r="P65" s="74">
        <v>8.42</v>
      </c>
      <c r="Q65" s="204"/>
      <c r="R65" s="215"/>
      <c r="S65" s="28"/>
      <c r="T65" s="28"/>
      <c r="U65" s="226">
        <f t="shared" si="81"/>
        <v>8.42</v>
      </c>
      <c r="W65" s="72">
        <v>45889</v>
      </c>
      <c r="X65" s="73">
        <v>1600.09</v>
      </c>
      <c r="Y65" s="73">
        <v>68.95</v>
      </c>
      <c r="Z65" s="75"/>
      <c r="AA65" s="73"/>
      <c r="AB65" s="204"/>
      <c r="AC65" s="88"/>
      <c r="AD65" s="329">
        <v>33.525170000000003</v>
      </c>
      <c r="AE65" s="28"/>
      <c r="AF65" s="226">
        <f t="shared" si="82"/>
        <v>33.525170000000003</v>
      </c>
      <c r="AI65" s="72">
        <v>45889</v>
      </c>
      <c r="AJ65" s="73">
        <v>1546.03</v>
      </c>
      <c r="AK65" s="75"/>
      <c r="AL65" s="74"/>
      <c r="AM65" s="204"/>
      <c r="AN65" s="215"/>
      <c r="AO65" s="28"/>
      <c r="AP65" s="28"/>
      <c r="AQ65" s="226">
        <f t="shared" si="83"/>
        <v>0</v>
      </c>
      <c r="AS65" s="72">
        <v>45889</v>
      </c>
      <c r="AT65" s="73">
        <v>4401.84</v>
      </c>
      <c r="AU65" s="75"/>
      <c r="AV65" s="76"/>
      <c r="AW65" s="204"/>
      <c r="AX65" s="215"/>
      <c r="AY65" s="28"/>
      <c r="AZ65" s="28"/>
      <c r="BA65" s="226">
        <f t="shared" si="84"/>
        <v>0</v>
      </c>
      <c r="BC65" s="72">
        <v>45889</v>
      </c>
      <c r="BD65" s="73">
        <v>3201</v>
      </c>
      <c r="BE65" s="75"/>
      <c r="BF65" s="76">
        <v>27.77</v>
      </c>
      <c r="BG65" s="204"/>
      <c r="BH65" s="88"/>
      <c r="BI65" s="28"/>
      <c r="BJ65" s="28"/>
      <c r="BK65" s="226">
        <f t="shared" si="85"/>
        <v>27.77</v>
      </c>
      <c r="BM65" s="72">
        <v>45889</v>
      </c>
      <c r="BN65" s="73">
        <v>13207.67</v>
      </c>
      <c r="BO65" s="73">
        <v>2752.96</v>
      </c>
      <c r="BP65" s="73">
        <v>8207.7800000000007</v>
      </c>
      <c r="BQ65" s="75"/>
      <c r="BR65" s="75"/>
      <c r="BS65" s="204"/>
      <c r="BT65" s="88"/>
      <c r="BU65" s="329">
        <v>386.30149999999998</v>
      </c>
      <c r="BV65" s="28"/>
      <c r="BW65" s="226">
        <f t="shared" si="86"/>
        <v>386.30149999999998</v>
      </c>
      <c r="BY65" s="72">
        <v>45889</v>
      </c>
      <c r="BZ65" s="77">
        <v>2143.2600000000002</v>
      </c>
      <c r="CA65" s="82">
        <v>400.41</v>
      </c>
      <c r="CB65" s="75"/>
      <c r="CC65" s="74"/>
      <c r="CD65" s="204"/>
      <c r="CE65" s="215"/>
      <c r="CF65" s="329"/>
      <c r="CG65" s="28"/>
      <c r="CH65" s="226">
        <f t="shared" si="87"/>
        <v>0</v>
      </c>
      <c r="CJ65" s="72">
        <v>45889</v>
      </c>
      <c r="CK65" s="73">
        <v>4967.97</v>
      </c>
      <c r="CL65" s="73">
        <v>751.76</v>
      </c>
      <c r="CM65" s="75"/>
      <c r="CN65" s="74">
        <v>42.93</v>
      </c>
      <c r="CO65" s="204"/>
      <c r="CP65" s="88">
        <v>18.003550000000022</v>
      </c>
      <c r="CQ65" s="329">
        <v>29.122630000000015</v>
      </c>
      <c r="CR65" s="28"/>
      <c r="CS65" s="226">
        <f t="shared" si="88"/>
        <v>90.05618000000004</v>
      </c>
      <c r="CU65" s="72">
        <v>45889</v>
      </c>
      <c r="CV65" s="73">
        <v>4854.9399999999996</v>
      </c>
      <c r="CW65" s="80">
        <v>624.80999999999995</v>
      </c>
      <c r="CX65" s="75"/>
      <c r="CY65" s="76">
        <v>136.78</v>
      </c>
      <c r="CZ65" s="204"/>
      <c r="DA65" s="88">
        <v>1131.3199999999993</v>
      </c>
      <c r="DB65" s="28"/>
      <c r="DC65" s="28"/>
      <c r="DD65" s="226">
        <f t="shared" si="89"/>
        <v>1268.0999999999992</v>
      </c>
      <c r="DG65" s="72">
        <v>45889</v>
      </c>
      <c r="DH65" s="73">
        <v>978.41</v>
      </c>
      <c r="DI65" s="80">
        <v>298.11</v>
      </c>
      <c r="DJ65" s="80"/>
      <c r="DK65" s="74">
        <v>4</v>
      </c>
      <c r="DL65" s="204"/>
      <c r="DM65" s="88">
        <v>3.4416599999999988</v>
      </c>
      <c r="DN65" s="28"/>
      <c r="DO65" s="28"/>
      <c r="DP65" s="226">
        <f t="shared" si="90"/>
        <v>7.4416599999999988</v>
      </c>
      <c r="DR65" s="72">
        <v>45889</v>
      </c>
      <c r="DS65" s="73">
        <v>1326.61</v>
      </c>
      <c r="DT65" s="80">
        <v>1174.92</v>
      </c>
      <c r="DU65" s="80"/>
      <c r="DV65" s="74">
        <v>28.52</v>
      </c>
      <c r="DW65" s="204"/>
      <c r="DX65" s="215"/>
      <c r="DY65" s="28"/>
      <c r="DZ65" s="28"/>
      <c r="EA65" s="226">
        <f t="shared" si="91"/>
        <v>28.52</v>
      </c>
      <c r="EC65" s="72">
        <v>45889</v>
      </c>
      <c r="ED65" s="73">
        <v>1197.26</v>
      </c>
      <c r="EE65" s="80">
        <v>655.95</v>
      </c>
      <c r="EF65" s="80"/>
      <c r="EG65" s="74">
        <v>0</v>
      </c>
      <c r="EH65" s="204"/>
      <c r="EI65" s="88">
        <v>1125.5113500000002</v>
      </c>
      <c r="EJ65" s="328">
        <v>125.05000000000007</v>
      </c>
      <c r="EK65" s="335">
        <v>20.238976000000008</v>
      </c>
      <c r="EL65" s="226">
        <f t="shared" si="92"/>
        <v>1270.8003260000005</v>
      </c>
      <c r="EN65" s="72">
        <v>45889</v>
      </c>
      <c r="EO65" s="73">
        <v>3083.5</v>
      </c>
      <c r="EP65" s="81">
        <v>414.31</v>
      </c>
      <c r="EQ65" s="80"/>
      <c r="ER65" s="239">
        <v>218.93</v>
      </c>
      <c r="ES65" s="204"/>
      <c r="ET65" s="88">
        <v>24.99133999999998</v>
      </c>
      <c r="EU65" s="328"/>
      <c r="EV65" s="28"/>
      <c r="EW65" s="226">
        <f t="shared" si="93"/>
        <v>243.92133999999999</v>
      </c>
      <c r="EY65" s="72">
        <v>45889</v>
      </c>
      <c r="EZ65" s="73">
        <v>863.23</v>
      </c>
      <c r="FA65" s="73">
        <v>125</v>
      </c>
      <c r="FB65" s="75"/>
      <c r="FC65" s="74"/>
      <c r="FD65" s="204"/>
      <c r="FE65" s="215"/>
      <c r="FF65" s="28"/>
      <c r="FG65" s="28"/>
      <c r="FH65" s="226">
        <f t="shared" si="94"/>
        <v>0</v>
      </c>
    </row>
    <row r="66" spans="2:164" x14ac:dyDescent="0.25">
      <c r="B66" s="72">
        <v>45890</v>
      </c>
      <c r="C66" s="73">
        <v>10453.93</v>
      </c>
      <c r="D66" s="74"/>
      <c r="E66" s="75"/>
      <c r="F66" s="74">
        <v>3.5</v>
      </c>
      <c r="G66" s="204"/>
      <c r="H66" s="215"/>
      <c r="I66" s="28"/>
      <c r="J66" s="28"/>
      <c r="K66" s="226">
        <f t="shared" si="80"/>
        <v>3.5</v>
      </c>
      <c r="M66" s="72">
        <v>45890</v>
      </c>
      <c r="N66" s="73">
        <v>3455.44</v>
      </c>
      <c r="O66" s="75"/>
      <c r="P66" s="74">
        <v>37.369999999999997</v>
      </c>
      <c r="Q66" s="204"/>
      <c r="R66" s="215"/>
      <c r="S66" s="28"/>
      <c r="T66" s="28"/>
      <c r="U66" s="226">
        <f t="shared" si="81"/>
        <v>37.369999999999997</v>
      </c>
      <c r="W66" s="72">
        <v>45890</v>
      </c>
      <c r="X66" s="73">
        <v>1572.02</v>
      </c>
      <c r="Y66" s="73">
        <v>282.01</v>
      </c>
      <c r="Z66" s="75"/>
      <c r="AA66" s="73"/>
      <c r="AB66" s="204"/>
      <c r="AC66" s="88"/>
      <c r="AD66" s="329"/>
      <c r="AE66" s="28"/>
      <c r="AF66" s="226">
        <f t="shared" si="82"/>
        <v>0</v>
      </c>
      <c r="AI66" s="72">
        <v>45890</v>
      </c>
      <c r="AJ66" s="73">
        <v>1036.02</v>
      </c>
      <c r="AK66" s="75"/>
      <c r="AL66" s="74"/>
      <c r="AM66" s="204"/>
      <c r="AN66" s="215"/>
      <c r="AO66" s="28"/>
      <c r="AP66" s="28"/>
      <c r="AQ66" s="226">
        <f t="shared" si="83"/>
        <v>0</v>
      </c>
      <c r="AS66" s="72">
        <v>45890</v>
      </c>
      <c r="AT66" s="73">
        <v>3633.22</v>
      </c>
      <c r="AU66" s="75"/>
      <c r="AV66" s="76"/>
      <c r="AW66" s="204"/>
      <c r="AX66" s="215"/>
      <c r="AY66" s="28"/>
      <c r="AZ66" s="28"/>
      <c r="BA66" s="226">
        <f t="shared" si="84"/>
        <v>0</v>
      </c>
      <c r="BC66" s="72">
        <v>45890</v>
      </c>
      <c r="BD66" s="73">
        <v>2333.87</v>
      </c>
      <c r="BE66" s="75"/>
      <c r="BF66" s="76">
        <v>5.63</v>
      </c>
      <c r="BG66" s="204"/>
      <c r="BH66" s="88"/>
      <c r="BI66" s="28"/>
      <c r="BJ66" s="28"/>
      <c r="BK66" s="226">
        <f t="shared" si="85"/>
        <v>5.63</v>
      </c>
      <c r="BM66" s="72">
        <v>45890</v>
      </c>
      <c r="BN66" s="73">
        <v>11764.92</v>
      </c>
      <c r="BO66" s="73">
        <v>2972.6</v>
      </c>
      <c r="BP66" s="73">
        <v>8395.17</v>
      </c>
      <c r="BQ66" s="75"/>
      <c r="BR66" s="75"/>
      <c r="BS66" s="204"/>
      <c r="BT66" s="88">
        <v>262.71433111059793</v>
      </c>
      <c r="BU66" s="329">
        <v>344.90954999999997</v>
      </c>
      <c r="BV66" s="28"/>
      <c r="BW66" s="226">
        <f t="shared" si="86"/>
        <v>607.62388111059795</v>
      </c>
      <c r="BY66" s="72">
        <v>45890</v>
      </c>
      <c r="BZ66" s="77">
        <v>1393.42</v>
      </c>
      <c r="CA66" s="78">
        <v>564.74</v>
      </c>
      <c r="CB66" s="75"/>
      <c r="CC66" s="74"/>
      <c r="CD66" s="204"/>
      <c r="CE66" s="215"/>
      <c r="CF66" s="329"/>
      <c r="CG66" s="28"/>
      <c r="CH66" s="226">
        <f t="shared" si="87"/>
        <v>0</v>
      </c>
      <c r="CJ66" s="72">
        <v>45890</v>
      </c>
      <c r="CK66" s="73">
        <v>5090.7299999999996</v>
      </c>
      <c r="CL66" s="73">
        <v>813.38</v>
      </c>
      <c r="CM66" s="75"/>
      <c r="CN66" s="74">
        <v>0</v>
      </c>
      <c r="CO66" s="204"/>
      <c r="CP66" s="88">
        <v>37.086300000000087</v>
      </c>
      <c r="CQ66" s="329"/>
      <c r="CR66" s="28"/>
      <c r="CS66" s="226">
        <f t="shared" si="88"/>
        <v>37.086300000000087</v>
      </c>
      <c r="CU66" s="72">
        <v>45890</v>
      </c>
      <c r="CV66" s="73">
        <v>9513.31</v>
      </c>
      <c r="CW66" s="80">
        <v>1125</v>
      </c>
      <c r="CX66" s="75"/>
      <c r="CY66" s="76">
        <v>209.85</v>
      </c>
      <c r="CZ66" s="204"/>
      <c r="DA66" s="88"/>
      <c r="DB66" s="28"/>
      <c r="DC66" s="28"/>
      <c r="DD66" s="226">
        <f t="shared" si="89"/>
        <v>209.85</v>
      </c>
      <c r="DG66" s="72">
        <v>45890</v>
      </c>
      <c r="DH66" s="73">
        <v>1219.8699999999999</v>
      </c>
      <c r="DI66" s="80">
        <v>455.72</v>
      </c>
      <c r="DJ66" s="80"/>
      <c r="DK66" s="74">
        <v>4</v>
      </c>
      <c r="DL66" s="204"/>
      <c r="DM66" s="88"/>
      <c r="DN66" s="28"/>
      <c r="DO66" s="28"/>
      <c r="DP66" s="226">
        <f t="shared" si="90"/>
        <v>4</v>
      </c>
      <c r="DR66" s="72">
        <v>45890</v>
      </c>
      <c r="DS66" s="73">
        <v>787.9</v>
      </c>
      <c r="DT66" s="80">
        <v>1200.5899999999999</v>
      </c>
      <c r="DU66" s="80"/>
      <c r="DV66" s="74">
        <v>21.97</v>
      </c>
      <c r="DW66" s="204"/>
      <c r="DX66" s="215"/>
      <c r="DY66" s="28"/>
      <c r="DZ66" s="28"/>
      <c r="EA66" s="226">
        <f t="shared" si="91"/>
        <v>21.97</v>
      </c>
      <c r="EC66" s="72">
        <v>45890</v>
      </c>
      <c r="ED66" s="73">
        <v>1052.25</v>
      </c>
      <c r="EE66" s="80">
        <v>916.28</v>
      </c>
      <c r="EF66" s="80"/>
      <c r="EG66" s="74">
        <v>0</v>
      </c>
      <c r="EH66" s="204"/>
      <c r="EI66" s="88">
        <v>988.85056000000009</v>
      </c>
      <c r="EJ66" s="328"/>
      <c r="EK66" s="335"/>
      <c r="EL66" s="226">
        <f t="shared" si="92"/>
        <v>988.85056000000009</v>
      </c>
      <c r="EN66" s="72">
        <v>45890</v>
      </c>
      <c r="EO66" s="73">
        <v>3130.28</v>
      </c>
      <c r="EP66" s="81">
        <v>195.39</v>
      </c>
      <c r="EQ66" s="80"/>
      <c r="ER66" s="239">
        <v>39.520000000000003</v>
      </c>
      <c r="ES66" s="204"/>
      <c r="ET66" s="88">
        <v>39.238320000000016</v>
      </c>
      <c r="EU66" s="328">
        <v>342.27837</v>
      </c>
      <c r="EV66" s="28"/>
      <c r="EW66" s="226">
        <f t="shared" si="93"/>
        <v>421.03669000000002</v>
      </c>
      <c r="EY66" s="72">
        <v>45890</v>
      </c>
      <c r="EZ66" s="73">
        <v>1025.04</v>
      </c>
      <c r="FA66" s="74">
        <v>292.89999999999998</v>
      </c>
      <c r="FB66" s="75"/>
      <c r="FC66" s="74"/>
      <c r="FD66" s="204"/>
      <c r="FE66" s="215"/>
      <c r="FF66" s="28"/>
      <c r="FG66" s="28"/>
      <c r="FH66" s="226">
        <f t="shared" si="94"/>
        <v>0</v>
      </c>
    </row>
    <row r="67" spans="2:164" x14ac:dyDescent="0.25">
      <c r="B67" s="72">
        <v>45891</v>
      </c>
      <c r="C67" s="73">
        <v>11038.95</v>
      </c>
      <c r="D67" s="75"/>
      <c r="E67" s="75"/>
      <c r="F67" s="73">
        <v>0</v>
      </c>
      <c r="G67" s="204"/>
      <c r="H67" s="215"/>
      <c r="I67" s="28"/>
      <c r="J67" s="28"/>
      <c r="K67" s="226">
        <f t="shared" si="80"/>
        <v>0</v>
      </c>
      <c r="M67" s="72">
        <v>45891</v>
      </c>
      <c r="N67" s="73">
        <v>3877.61</v>
      </c>
      <c r="O67" s="75"/>
      <c r="P67" s="74">
        <v>22.95</v>
      </c>
      <c r="Q67" s="204"/>
      <c r="R67" s="215"/>
      <c r="S67" s="28"/>
      <c r="T67" s="28"/>
      <c r="U67" s="226">
        <f t="shared" si="81"/>
        <v>22.95</v>
      </c>
      <c r="W67" s="72">
        <v>45891</v>
      </c>
      <c r="X67" s="73">
        <v>1404.18</v>
      </c>
      <c r="Y67" s="73">
        <v>229.74</v>
      </c>
      <c r="Z67" s="75"/>
      <c r="AA67" s="73"/>
      <c r="AB67" s="204"/>
      <c r="AC67" s="88">
        <v>10.497500000000002</v>
      </c>
      <c r="AD67" s="329"/>
      <c r="AE67" s="28"/>
      <c r="AF67" s="226">
        <f t="shared" si="82"/>
        <v>10.497500000000002</v>
      </c>
      <c r="AI67" s="72">
        <v>45891</v>
      </c>
      <c r="AJ67" s="73">
        <v>1856.05</v>
      </c>
      <c r="AK67" s="75"/>
      <c r="AL67" s="74"/>
      <c r="AM67" s="204"/>
      <c r="AN67" s="215"/>
      <c r="AO67" s="28"/>
      <c r="AP67" s="28"/>
      <c r="AQ67" s="226">
        <f t="shared" si="83"/>
        <v>0</v>
      </c>
      <c r="AS67" s="72">
        <v>45891</v>
      </c>
      <c r="AT67" s="73">
        <v>3557.79</v>
      </c>
      <c r="AU67" s="75"/>
      <c r="AV67" s="76"/>
      <c r="AW67" s="204"/>
      <c r="AX67" s="215"/>
      <c r="AY67" s="28"/>
      <c r="AZ67" s="28"/>
      <c r="BA67" s="226">
        <f t="shared" si="84"/>
        <v>0</v>
      </c>
      <c r="BC67" s="72">
        <v>45891</v>
      </c>
      <c r="BD67" s="73">
        <v>4330.55</v>
      </c>
      <c r="BE67" s="75"/>
      <c r="BF67" s="76">
        <v>9.1199999999999992</v>
      </c>
      <c r="BG67" s="204"/>
      <c r="BH67" s="88">
        <v>15.969029999999989</v>
      </c>
      <c r="BI67" s="28"/>
      <c r="BJ67" s="28"/>
      <c r="BK67" s="226">
        <f t="shared" si="85"/>
        <v>25.089029999999987</v>
      </c>
      <c r="BM67" s="72">
        <v>45891</v>
      </c>
      <c r="BN67" s="73">
        <v>16409.060000000001</v>
      </c>
      <c r="BO67" s="73">
        <v>2998.7</v>
      </c>
      <c r="BP67" s="73">
        <v>9847.92</v>
      </c>
      <c r="BQ67" s="75"/>
      <c r="BR67" s="75"/>
      <c r="BS67" s="204"/>
      <c r="BT67" s="88">
        <v>152.14564246762362</v>
      </c>
      <c r="BU67" s="329">
        <v>709.3793300000001</v>
      </c>
      <c r="BV67" s="28"/>
      <c r="BW67" s="226">
        <f t="shared" si="86"/>
        <v>861.52497246762368</v>
      </c>
      <c r="BY67" s="72">
        <v>45891</v>
      </c>
      <c r="BZ67" s="77">
        <v>892.55</v>
      </c>
      <c r="CA67" s="78">
        <v>449.75</v>
      </c>
      <c r="CB67" s="75"/>
      <c r="CC67" s="74"/>
      <c r="CD67" s="204"/>
      <c r="CE67" s="215"/>
      <c r="CF67" s="329">
        <v>27.412419999999983</v>
      </c>
      <c r="CG67" s="28"/>
      <c r="CH67" s="226">
        <f t="shared" si="87"/>
        <v>27.412419999999983</v>
      </c>
      <c r="CJ67" s="72">
        <v>45891</v>
      </c>
      <c r="CK67" s="73">
        <v>3201.56</v>
      </c>
      <c r="CL67" s="73">
        <v>574.29999999999995</v>
      </c>
      <c r="CM67" s="75"/>
      <c r="CN67" s="74">
        <v>0</v>
      </c>
      <c r="CO67" s="204"/>
      <c r="CP67" s="88">
        <v>7.9595999999999947</v>
      </c>
      <c r="CQ67" s="329"/>
      <c r="CR67" s="28"/>
      <c r="CS67" s="226">
        <f t="shared" si="88"/>
        <v>7.9595999999999947</v>
      </c>
      <c r="CU67" s="72">
        <v>45891</v>
      </c>
      <c r="CV67" s="73">
        <v>3140.48</v>
      </c>
      <c r="CW67" s="80">
        <v>648.11</v>
      </c>
      <c r="CX67" s="75"/>
      <c r="CY67" s="74">
        <v>28</v>
      </c>
      <c r="CZ67" s="204"/>
      <c r="DA67" s="88">
        <v>4.9000000000000057</v>
      </c>
      <c r="DB67" s="28"/>
      <c r="DC67" s="28"/>
      <c r="DD67" s="226">
        <f t="shared" si="89"/>
        <v>32.900000000000006</v>
      </c>
      <c r="DG67" s="72">
        <v>45891</v>
      </c>
      <c r="DH67" s="73">
        <v>1845.41</v>
      </c>
      <c r="DI67" s="80">
        <v>576.47</v>
      </c>
      <c r="DJ67" s="80"/>
      <c r="DK67" s="74">
        <v>4</v>
      </c>
      <c r="DL67" s="204"/>
      <c r="DM67" s="88"/>
      <c r="DN67" s="28"/>
      <c r="DO67" s="28"/>
      <c r="DP67" s="226">
        <f t="shared" si="90"/>
        <v>4</v>
      </c>
      <c r="DR67" s="72">
        <v>45891</v>
      </c>
      <c r="DS67" s="73">
        <v>1275.29</v>
      </c>
      <c r="DT67" s="80">
        <v>1015.15</v>
      </c>
      <c r="DU67" s="80"/>
      <c r="DV67" s="74">
        <v>36.17</v>
      </c>
      <c r="DW67" s="204"/>
      <c r="DX67" s="215"/>
      <c r="DY67" s="28"/>
      <c r="DZ67" s="28"/>
      <c r="EA67" s="226">
        <f t="shared" si="91"/>
        <v>36.17</v>
      </c>
      <c r="EC67" s="72">
        <v>45891</v>
      </c>
      <c r="ED67" s="73">
        <v>957.6</v>
      </c>
      <c r="EE67" s="80">
        <v>1197.93</v>
      </c>
      <c r="EF67" s="80"/>
      <c r="EG67" s="74">
        <v>0</v>
      </c>
      <c r="EH67" s="204"/>
      <c r="EI67" s="88">
        <v>918.31491000000028</v>
      </c>
      <c r="EJ67" s="328"/>
      <c r="EK67" s="335"/>
      <c r="EL67" s="226">
        <f t="shared" si="92"/>
        <v>918.31491000000028</v>
      </c>
      <c r="EN67" s="72">
        <v>45891</v>
      </c>
      <c r="EO67" s="73">
        <v>2481.63</v>
      </c>
      <c r="EP67" s="81">
        <v>226.67</v>
      </c>
      <c r="EQ67" s="80"/>
      <c r="ER67" s="239">
        <v>157.77000000000001</v>
      </c>
      <c r="ES67" s="204"/>
      <c r="ET67" s="88">
        <v>79.594849999999951</v>
      </c>
      <c r="EU67" s="328">
        <v>131.90553999999997</v>
      </c>
      <c r="EV67" s="28"/>
      <c r="EW67" s="226">
        <f t="shared" si="93"/>
        <v>369.27038999999991</v>
      </c>
      <c r="EY67" s="72">
        <v>45891</v>
      </c>
      <c r="EZ67" s="73">
        <v>813.24</v>
      </c>
      <c r="FA67" s="73">
        <v>100</v>
      </c>
      <c r="FB67" s="75"/>
      <c r="FC67" s="74"/>
      <c r="FD67" s="204"/>
      <c r="FE67" s="215"/>
      <c r="FF67" s="28"/>
      <c r="FG67" s="28"/>
      <c r="FH67" s="226">
        <f t="shared" si="94"/>
        <v>0</v>
      </c>
    </row>
    <row r="68" spans="2:164" x14ac:dyDescent="0.25">
      <c r="B68" s="72">
        <v>45892</v>
      </c>
      <c r="C68" s="73">
        <v>10703.74</v>
      </c>
      <c r="D68" s="75"/>
      <c r="E68" s="75"/>
      <c r="F68" s="75">
        <v>41.42</v>
      </c>
      <c r="G68" s="204"/>
      <c r="H68" s="215"/>
      <c r="I68" s="28"/>
      <c r="J68" s="28"/>
      <c r="K68" s="226">
        <f t="shared" si="80"/>
        <v>41.42</v>
      </c>
      <c r="M68" s="72">
        <v>45892</v>
      </c>
      <c r="N68" s="73">
        <v>3783.51</v>
      </c>
      <c r="O68" s="75"/>
      <c r="P68" s="74">
        <v>35.15</v>
      </c>
      <c r="Q68" s="204"/>
      <c r="R68" s="215"/>
      <c r="S68" s="28"/>
      <c r="T68" s="28"/>
      <c r="U68" s="226">
        <f t="shared" si="81"/>
        <v>35.15</v>
      </c>
      <c r="W68" s="72">
        <v>45892</v>
      </c>
      <c r="X68" s="73">
        <v>641.51</v>
      </c>
      <c r="Y68" s="73">
        <v>90</v>
      </c>
      <c r="Z68" s="75"/>
      <c r="AA68" s="73"/>
      <c r="AB68" s="204"/>
      <c r="AC68" s="88"/>
      <c r="AD68" s="329"/>
      <c r="AE68" s="28"/>
      <c r="AF68" s="226">
        <f t="shared" si="82"/>
        <v>0</v>
      </c>
      <c r="AI68" s="72">
        <v>45892</v>
      </c>
      <c r="AJ68" s="73">
        <v>1982.87</v>
      </c>
      <c r="AK68" s="75"/>
      <c r="AL68" s="74"/>
      <c r="AM68" s="204"/>
      <c r="AN68" s="215"/>
      <c r="AO68" s="28"/>
      <c r="AP68" s="28"/>
      <c r="AQ68" s="226">
        <f t="shared" si="83"/>
        <v>0</v>
      </c>
      <c r="AS68" s="72">
        <v>45892</v>
      </c>
      <c r="AT68" s="73">
        <v>4478.74</v>
      </c>
      <c r="AU68" s="75"/>
      <c r="AV68" s="76"/>
      <c r="AW68" s="204"/>
      <c r="AX68" s="215"/>
      <c r="AY68" s="28"/>
      <c r="AZ68" s="28"/>
      <c r="BA68" s="226">
        <f t="shared" si="84"/>
        <v>0</v>
      </c>
      <c r="BC68" s="72">
        <v>45892</v>
      </c>
      <c r="BD68" s="73">
        <v>1040.96</v>
      </c>
      <c r="BE68" s="75"/>
      <c r="BF68" s="76">
        <v>2.7</v>
      </c>
      <c r="BG68" s="204"/>
      <c r="BH68" s="88"/>
      <c r="BI68" s="28"/>
      <c r="BJ68" s="28"/>
      <c r="BK68" s="226">
        <f t="shared" si="85"/>
        <v>2.7</v>
      </c>
      <c r="BM68" s="72">
        <v>45892</v>
      </c>
      <c r="BN68" s="73">
        <v>13700.59</v>
      </c>
      <c r="BO68" s="73">
        <v>3423.57</v>
      </c>
      <c r="BP68" s="73">
        <v>8526.4</v>
      </c>
      <c r="BQ68" s="75"/>
      <c r="BR68" s="75"/>
      <c r="BS68" s="204"/>
      <c r="BT68" s="88">
        <v>99.570605732828554</v>
      </c>
      <c r="BU68" s="329"/>
      <c r="BV68" s="28"/>
      <c r="BW68" s="226">
        <f t="shared" si="86"/>
        <v>99.570605732828554</v>
      </c>
      <c r="BY68" s="72">
        <v>45892</v>
      </c>
      <c r="BZ68" s="77">
        <v>1385.38</v>
      </c>
      <c r="CA68" s="82">
        <v>534.54</v>
      </c>
      <c r="CB68" s="75"/>
      <c r="CC68" s="74"/>
      <c r="CD68" s="204"/>
      <c r="CE68" s="215"/>
      <c r="CF68" s="329">
        <v>20.620000000000005</v>
      </c>
      <c r="CG68" s="28"/>
      <c r="CH68" s="226">
        <f t="shared" si="87"/>
        <v>20.620000000000005</v>
      </c>
      <c r="CJ68" s="72">
        <v>45892</v>
      </c>
      <c r="CK68" s="73">
        <v>4733.84</v>
      </c>
      <c r="CL68" s="73">
        <v>545.64</v>
      </c>
      <c r="CM68" s="75"/>
      <c r="CN68" s="74">
        <v>8.6199999999999992</v>
      </c>
      <c r="CO68" s="204"/>
      <c r="CP68" s="88">
        <v>19.092700000000008</v>
      </c>
      <c r="CQ68" s="329"/>
      <c r="CR68" s="28"/>
      <c r="CS68" s="226">
        <f t="shared" si="88"/>
        <v>27.712700000000005</v>
      </c>
      <c r="CU68" s="72">
        <v>45892</v>
      </c>
      <c r="CV68" s="73">
        <v>3696.15</v>
      </c>
      <c r="CW68" s="80">
        <v>462.88</v>
      </c>
      <c r="CX68" s="75"/>
      <c r="CY68" s="74">
        <v>137.36000000000001</v>
      </c>
      <c r="CZ68" s="204"/>
      <c r="DA68" s="88"/>
      <c r="DB68" s="28"/>
      <c r="DC68" s="28"/>
      <c r="DD68" s="226">
        <f t="shared" si="89"/>
        <v>137.36000000000001</v>
      </c>
      <c r="DG68" s="72">
        <v>45892</v>
      </c>
      <c r="DH68" s="73">
        <v>2050.77</v>
      </c>
      <c r="DI68" s="80">
        <v>405.76</v>
      </c>
      <c r="DJ68" s="80"/>
      <c r="DK68" s="74">
        <v>12.4</v>
      </c>
      <c r="DL68" s="204"/>
      <c r="DM68" s="88"/>
      <c r="DN68" s="28"/>
      <c r="DO68" s="28"/>
      <c r="DP68" s="226">
        <f t="shared" si="90"/>
        <v>12.4</v>
      </c>
      <c r="DR68" s="72">
        <v>45892</v>
      </c>
      <c r="DS68" s="73">
        <v>645.04</v>
      </c>
      <c r="DT68" s="80">
        <v>1244.04</v>
      </c>
      <c r="DU68" s="80"/>
      <c r="DV68" s="74">
        <v>3.45</v>
      </c>
      <c r="DW68" s="204"/>
      <c r="DX68" s="215"/>
      <c r="DY68" s="28"/>
      <c r="DZ68" s="28"/>
      <c r="EA68" s="226">
        <f t="shared" si="91"/>
        <v>3.45</v>
      </c>
      <c r="EC68" s="72">
        <v>45892</v>
      </c>
      <c r="ED68" s="73">
        <v>690.47</v>
      </c>
      <c r="EE68" s="80">
        <v>820.88</v>
      </c>
      <c r="EF68" s="80"/>
      <c r="EG68" s="74">
        <v>0</v>
      </c>
      <c r="EH68" s="204"/>
      <c r="EI68" s="88">
        <v>733.18551000000014</v>
      </c>
      <c r="EJ68" s="328"/>
      <c r="EK68" s="335"/>
      <c r="EL68" s="226">
        <f t="shared" si="92"/>
        <v>733.18551000000014</v>
      </c>
      <c r="EN68" s="72">
        <v>45892</v>
      </c>
      <c r="EO68" s="73">
        <v>2643.73</v>
      </c>
      <c r="EP68" s="81">
        <v>309.52</v>
      </c>
      <c r="EQ68" s="80"/>
      <c r="ER68" s="239">
        <v>56.91</v>
      </c>
      <c r="ES68" s="204"/>
      <c r="ET68" s="88">
        <v>30.170999999999992</v>
      </c>
      <c r="EU68" s="328">
        <v>20.810000000000002</v>
      </c>
      <c r="EV68" s="28"/>
      <c r="EW68" s="226">
        <f t="shared" si="93"/>
        <v>107.89099999999999</v>
      </c>
      <c r="EY68" s="72">
        <v>45892</v>
      </c>
      <c r="EZ68" s="73">
        <v>361.59</v>
      </c>
      <c r="FA68" s="73">
        <v>231.03</v>
      </c>
      <c r="FB68" s="75"/>
      <c r="FC68" s="74"/>
      <c r="FD68" s="204"/>
      <c r="FE68" s="215"/>
      <c r="FF68" s="28"/>
      <c r="FG68" s="28"/>
      <c r="FH68" s="226">
        <f t="shared" si="94"/>
        <v>0</v>
      </c>
    </row>
    <row r="69" spans="2:164" x14ac:dyDescent="0.25">
      <c r="B69" s="72">
        <v>45893</v>
      </c>
      <c r="C69" s="73">
        <v>10605.41</v>
      </c>
      <c r="D69" s="75"/>
      <c r="E69" s="75"/>
      <c r="F69" s="75">
        <v>82.97</v>
      </c>
      <c r="G69" s="204"/>
      <c r="H69" s="215"/>
      <c r="I69" s="28"/>
      <c r="J69" s="28"/>
      <c r="K69" s="226">
        <f t="shared" si="80"/>
        <v>82.97</v>
      </c>
      <c r="M69" s="72">
        <v>45893</v>
      </c>
      <c r="N69" s="73">
        <v>3565.31</v>
      </c>
      <c r="O69" s="75"/>
      <c r="P69" s="74">
        <v>22.55</v>
      </c>
      <c r="Q69" s="204"/>
      <c r="R69" s="215"/>
      <c r="S69" s="28"/>
      <c r="T69" s="28"/>
      <c r="U69" s="226">
        <f t="shared" si="81"/>
        <v>22.55</v>
      </c>
      <c r="W69" s="72">
        <v>45893</v>
      </c>
      <c r="X69" s="73">
        <v>1743.74</v>
      </c>
      <c r="Y69" s="73">
        <v>84.96</v>
      </c>
      <c r="Z69" s="75"/>
      <c r="AA69" s="73"/>
      <c r="AB69" s="204"/>
      <c r="AC69" s="88">
        <v>63.323099999999997</v>
      </c>
      <c r="AD69" s="329"/>
      <c r="AE69" s="28"/>
      <c r="AF69" s="226">
        <f t="shared" si="82"/>
        <v>63.323099999999997</v>
      </c>
      <c r="AI69" s="72">
        <v>45893</v>
      </c>
      <c r="AJ69" s="73">
        <v>1364.63</v>
      </c>
      <c r="AK69" s="75"/>
      <c r="AL69" s="74"/>
      <c r="AM69" s="204"/>
      <c r="AN69" s="215"/>
      <c r="AO69" s="28"/>
      <c r="AP69" s="28"/>
      <c r="AQ69" s="226">
        <f t="shared" si="83"/>
        <v>0</v>
      </c>
      <c r="AS69" s="72">
        <v>45893</v>
      </c>
      <c r="AT69" s="73">
        <v>2017.66</v>
      </c>
      <c r="AU69" s="75"/>
      <c r="AV69" s="76"/>
      <c r="AW69" s="204"/>
      <c r="AX69" s="215"/>
      <c r="AY69" s="28"/>
      <c r="AZ69" s="28"/>
      <c r="BA69" s="226">
        <f t="shared" si="84"/>
        <v>0</v>
      </c>
      <c r="BC69" s="72">
        <v>45893</v>
      </c>
      <c r="BD69" s="73">
        <v>2624.97</v>
      </c>
      <c r="BE69" s="75"/>
      <c r="BF69" s="76">
        <v>5.52</v>
      </c>
      <c r="BG69" s="204"/>
      <c r="BH69" s="88"/>
      <c r="BI69" s="28"/>
      <c r="BJ69" s="28"/>
      <c r="BK69" s="226">
        <f t="shared" si="85"/>
        <v>5.52</v>
      </c>
      <c r="BM69" s="72">
        <v>45893</v>
      </c>
      <c r="BN69" s="73">
        <v>11438.97</v>
      </c>
      <c r="BO69" s="73">
        <v>2136.2600000000002</v>
      </c>
      <c r="BP69" s="73">
        <v>5188.2700000000004</v>
      </c>
      <c r="BQ69" s="75"/>
      <c r="BR69" s="75"/>
      <c r="BS69" s="204"/>
      <c r="BT69" s="88"/>
      <c r="BU69" s="329">
        <v>37.660200000000003</v>
      </c>
      <c r="BV69" s="28"/>
      <c r="BW69" s="226">
        <f t="shared" si="86"/>
        <v>37.660200000000003</v>
      </c>
      <c r="BY69" s="72">
        <v>45893</v>
      </c>
      <c r="BZ69" s="77">
        <v>1746.89</v>
      </c>
      <c r="CA69" s="78">
        <v>784.21</v>
      </c>
      <c r="CB69" s="75"/>
      <c r="CC69" s="74"/>
      <c r="CD69" s="204"/>
      <c r="CE69" s="215"/>
      <c r="CF69" s="329"/>
      <c r="CG69" s="28"/>
      <c r="CH69" s="226">
        <f t="shared" si="87"/>
        <v>0</v>
      </c>
      <c r="CJ69" s="72">
        <v>45893</v>
      </c>
      <c r="CK69" s="73">
        <v>3092.15</v>
      </c>
      <c r="CL69" s="73">
        <v>728.91</v>
      </c>
      <c r="CM69" s="75"/>
      <c r="CN69" s="74">
        <v>0</v>
      </c>
      <c r="CO69" s="204"/>
      <c r="CP69" s="88"/>
      <c r="CQ69" s="329"/>
      <c r="CR69" s="28"/>
      <c r="CS69" s="226">
        <f t="shared" si="88"/>
        <v>0</v>
      </c>
      <c r="CU69" s="72">
        <v>45893</v>
      </c>
      <c r="CV69" s="73">
        <v>4980.03</v>
      </c>
      <c r="CW69" s="80">
        <v>830.15</v>
      </c>
      <c r="CX69" s="75"/>
      <c r="CY69" s="74">
        <v>133.38</v>
      </c>
      <c r="CZ69" s="204"/>
      <c r="DA69" s="88"/>
      <c r="DB69" s="28"/>
      <c r="DC69" s="28"/>
      <c r="DD69" s="226">
        <f t="shared" si="89"/>
        <v>133.38</v>
      </c>
      <c r="DG69" s="72">
        <v>45893</v>
      </c>
      <c r="DH69" s="73">
        <v>753.19</v>
      </c>
      <c r="DI69" s="80">
        <v>380.17</v>
      </c>
      <c r="DJ69" s="80"/>
      <c r="DK69" s="74">
        <v>4</v>
      </c>
      <c r="DL69" s="204"/>
      <c r="DM69" s="88"/>
      <c r="DN69" s="28"/>
      <c r="DO69" s="28"/>
      <c r="DP69" s="226">
        <f t="shared" si="90"/>
        <v>4</v>
      </c>
      <c r="DR69" s="72">
        <v>45893</v>
      </c>
      <c r="DS69" s="73">
        <v>1047.26</v>
      </c>
      <c r="DT69" s="80">
        <v>969.99</v>
      </c>
      <c r="DU69" s="80"/>
      <c r="DV69" s="74">
        <v>13.32</v>
      </c>
      <c r="DW69" s="204"/>
      <c r="DX69" s="215"/>
      <c r="DY69" s="28"/>
      <c r="DZ69" s="28"/>
      <c r="EA69" s="226">
        <f t="shared" si="91"/>
        <v>13.32</v>
      </c>
      <c r="EC69" s="72">
        <v>45893</v>
      </c>
      <c r="ED69" s="73">
        <v>856.97</v>
      </c>
      <c r="EE69" s="80">
        <v>557.55999999999995</v>
      </c>
      <c r="EF69" s="80"/>
      <c r="EG69" s="74">
        <v>0</v>
      </c>
      <c r="EH69" s="204"/>
      <c r="EI69" s="88">
        <v>231.40000000000003</v>
      </c>
      <c r="EJ69" s="328"/>
      <c r="EK69" s="335">
        <v>50.358496000000031</v>
      </c>
      <c r="EL69" s="226">
        <f t="shared" si="92"/>
        <v>281.75849600000004</v>
      </c>
      <c r="EN69" s="72">
        <v>45893</v>
      </c>
      <c r="EO69" s="73">
        <v>1843.68</v>
      </c>
      <c r="EP69" s="81">
        <v>138.66</v>
      </c>
      <c r="EQ69" s="80"/>
      <c r="ER69" s="239">
        <v>57.41</v>
      </c>
      <c r="ES69" s="204"/>
      <c r="ET69" s="88"/>
      <c r="EU69" s="328"/>
      <c r="EV69" s="28"/>
      <c r="EW69" s="226">
        <f t="shared" si="93"/>
        <v>57.41</v>
      </c>
      <c r="EY69" s="72">
        <v>45893</v>
      </c>
      <c r="EZ69" s="73">
        <v>427.94</v>
      </c>
      <c r="FA69" s="73">
        <v>285.24</v>
      </c>
      <c r="FB69" s="75"/>
      <c r="FC69" s="74"/>
      <c r="FD69" s="204"/>
      <c r="FE69" s="215"/>
      <c r="FF69" s="28"/>
      <c r="FG69" s="28"/>
      <c r="FH69" s="226">
        <f t="shared" si="94"/>
        <v>0</v>
      </c>
    </row>
    <row r="70" spans="2:164" x14ac:dyDescent="0.25">
      <c r="B70" s="72">
        <v>45894</v>
      </c>
      <c r="C70" s="73">
        <v>8783.58</v>
      </c>
      <c r="D70" s="75"/>
      <c r="E70" s="75"/>
      <c r="F70" s="75">
        <v>41.3</v>
      </c>
      <c r="G70" s="204"/>
      <c r="H70" s="215"/>
      <c r="I70" s="28"/>
      <c r="J70" s="28"/>
      <c r="K70" s="226">
        <f t="shared" si="80"/>
        <v>41.3</v>
      </c>
      <c r="M70" s="72">
        <v>45894</v>
      </c>
      <c r="N70" s="73">
        <v>2852.16</v>
      </c>
      <c r="O70" s="75"/>
      <c r="P70" s="74">
        <v>29.93</v>
      </c>
      <c r="Q70" s="204"/>
      <c r="R70" s="215"/>
      <c r="S70" s="28"/>
      <c r="T70" s="28"/>
      <c r="U70" s="226">
        <f t="shared" si="81"/>
        <v>29.93</v>
      </c>
      <c r="W70" s="72">
        <v>45894</v>
      </c>
      <c r="X70" s="73">
        <v>1465.03</v>
      </c>
      <c r="Y70" s="73">
        <v>274.67</v>
      </c>
      <c r="Z70" s="75"/>
      <c r="AA70" s="73"/>
      <c r="AB70" s="204"/>
      <c r="AC70" s="88"/>
      <c r="AD70" s="329"/>
      <c r="AE70" s="28"/>
      <c r="AF70" s="226">
        <f t="shared" si="82"/>
        <v>0</v>
      </c>
      <c r="AI70" s="72">
        <v>45894</v>
      </c>
      <c r="AJ70" s="73">
        <v>1775.08</v>
      </c>
      <c r="AK70" s="75"/>
      <c r="AL70" s="74"/>
      <c r="AM70" s="204"/>
      <c r="AN70" s="215"/>
      <c r="AO70" s="28"/>
      <c r="AP70" s="28"/>
      <c r="AQ70" s="226">
        <f t="shared" si="83"/>
        <v>0</v>
      </c>
      <c r="AS70" s="72">
        <v>45894</v>
      </c>
      <c r="AT70" s="73">
        <v>2581.5100000000002</v>
      </c>
      <c r="AU70" s="75"/>
      <c r="AV70" s="76"/>
      <c r="AW70" s="204"/>
      <c r="AX70" s="215"/>
      <c r="AY70" s="28"/>
      <c r="AZ70" s="28"/>
      <c r="BA70" s="226">
        <f t="shared" si="84"/>
        <v>0</v>
      </c>
      <c r="BC70" s="72">
        <v>45894</v>
      </c>
      <c r="BD70" s="73">
        <v>4231.1099999999997</v>
      </c>
      <c r="BE70" s="75"/>
      <c r="BF70" s="76">
        <v>16.920000000000002</v>
      </c>
      <c r="BG70" s="204"/>
      <c r="BH70" s="88"/>
      <c r="BI70" s="28"/>
      <c r="BJ70" s="28"/>
      <c r="BK70" s="226">
        <f t="shared" si="85"/>
        <v>16.920000000000002</v>
      </c>
      <c r="BM70" s="72">
        <v>45894</v>
      </c>
      <c r="BN70" s="73">
        <v>14697.8</v>
      </c>
      <c r="BO70" s="73">
        <v>3130.98</v>
      </c>
      <c r="BP70" s="73">
        <v>7548.6</v>
      </c>
      <c r="BQ70" s="75"/>
      <c r="BR70" s="75"/>
      <c r="BS70" s="204"/>
      <c r="BT70" s="88">
        <v>287.07200573065893</v>
      </c>
      <c r="BU70" s="329">
        <v>181.08744999999999</v>
      </c>
      <c r="BV70" s="28"/>
      <c r="BW70" s="226">
        <f t="shared" si="86"/>
        <v>468.15945573065892</v>
      </c>
      <c r="BY70" s="72">
        <v>45894</v>
      </c>
      <c r="BZ70" s="77">
        <v>1174.3499999999999</v>
      </c>
      <c r="CA70" s="78">
        <v>573.04999999999995</v>
      </c>
      <c r="CB70" s="75"/>
      <c r="CC70" s="74"/>
      <c r="CD70" s="204"/>
      <c r="CE70" s="215"/>
      <c r="CF70" s="329">
        <v>174.2140000000004</v>
      </c>
      <c r="CG70" s="28"/>
      <c r="CH70" s="226">
        <f t="shared" si="87"/>
        <v>174.2140000000004</v>
      </c>
      <c r="CJ70" s="72">
        <v>45894</v>
      </c>
      <c r="CK70" s="73">
        <v>7277.48</v>
      </c>
      <c r="CL70" s="73">
        <v>802.42</v>
      </c>
      <c r="CM70" s="75"/>
      <c r="CN70" s="74">
        <v>7.5</v>
      </c>
      <c r="CO70" s="204"/>
      <c r="CP70" s="88">
        <v>48.970300000000066</v>
      </c>
      <c r="CQ70" s="329">
        <v>20.932050000000061</v>
      </c>
      <c r="CR70" s="28"/>
      <c r="CS70" s="226">
        <f t="shared" si="88"/>
        <v>77.402350000000126</v>
      </c>
      <c r="CU70" s="72">
        <v>45894</v>
      </c>
      <c r="CV70" s="73">
        <v>10961.18</v>
      </c>
      <c r="CW70" s="80">
        <v>982.59</v>
      </c>
      <c r="CX70" s="75"/>
      <c r="CY70" s="74">
        <v>222.02</v>
      </c>
      <c r="CZ70" s="204"/>
      <c r="DA70" s="88">
        <v>4.9000000000000057</v>
      </c>
      <c r="DB70" s="28"/>
      <c r="DC70" s="28"/>
      <c r="DD70" s="226">
        <f t="shared" si="89"/>
        <v>226.92000000000002</v>
      </c>
      <c r="DG70" s="72">
        <v>45894</v>
      </c>
      <c r="DH70" s="73">
        <v>916.04</v>
      </c>
      <c r="DI70" s="80">
        <v>343.91</v>
      </c>
      <c r="DJ70" s="80"/>
      <c r="DK70" s="74">
        <v>4</v>
      </c>
      <c r="DL70" s="204"/>
      <c r="DM70" s="88">
        <v>22.073599999999981</v>
      </c>
      <c r="DN70" s="28"/>
      <c r="DO70" s="28"/>
      <c r="DP70" s="226">
        <f t="shared" si="90"/>
        <v>26.073599999999981</v>
      </c>
      <c r="DR70" s="72">
        <v>45894</v>
      </c>
      <c r="DS70" s="73">
        <v>959.01</v>
      </c>
      <c r="DT70" s="80">
        <v>1191.73</v>
      </c>
      <c r="DU70" s="80"/>
      <c r="DV70" s="74">
        <v>51.6</v>
      </c>
      <c r="DW70" s="204"/>
      <c r="DX70" s="215"/>
      <c r="DY70" s="28"/>
      <c r="DZ70" s="28"/>
      <c r="EA70" s="226">
        <f t="shared" si="91"/>
        <v>51.6</v>
      </c>
      <c r="EC70" s="72">
        <v>45894</v>
      </c>
      <c r="ED70" s="73">
        <v>972.75</v>
      </c>
      <c r="EE70" s="80">
        <v>1145.8599999999999</v>
      </c>
      <c r="EF70" s="80"/>
      <c r="EG70" s="74">
        <v>10.94</v>
      </c>
      <c r="EH70" s="204"/>
      <c r="EI70" s="88">
        <v>1289.9024400000005</v>
      </c>
      <c r="EJ70" s="328"/>
      <c r="EK70" s="335"/>
      <c r="EL70" s="226">
        <f t="shared" si="92"/>
        <v>1300.8424400000006</v>
      </c>
      <c r="EN70" s="72">
        <v>45894</v>
      </c>
      <c r="EO70" s="73">
        <v>2956.72</v>
      </c>
      <c r="EP70" s="81">
        <v>528.91999999999996</v>
      </c>
      <c r="EQ70" s="80"/>
      <c r="ER70" s="239">
        <v>95.64</v>
      </c>
      <c r="ES70" s="204"/>
      <c r="ET70" s="88">
        <v>90.456809999999933</v>
      </c>
      <c r="EU70" s="328"/>
      <c r="EV70" s="28"/>
      <c r="EW70" s="226">
        <f t="shared" si="93"/>
        <v>186.09680999999995</v>
      </c>
      <c r="EY70" s="72">
        <v>45894</v>
      </c>
      <c r="EZ70" s="73">
        <v>983.93</v>
      </c>
      <c r="FA70" s="73">
        <v>229.62</v>
      </c>
      <c r="FB70" s="75"/>
      <c r="FC70" s="74"/>
      <c r="FD70" s="204"/>
      <c r="FE70" s="215"/>
      <c r="FF70" s="28"/>
      <c r="FG70" s="28"/>
      <c r="FH70" s="226">
        <f t="shared" si="94"/>
        <v>0</v>
      </c>
    </row>
    <row r="71" spans="2:164" x14ac:dyDescent="0.25">
      <c r="B71" s="72">
        <v>45895</v>
      </c>
      <c r="C71" s="73">
        <v>12676.97</v>
      </c>
      <c r="D71" s="74"/>
      <c r="E71" s="75"/>
      <c r="F71" s="74">
        <v>113.05</v>
      </c>
      <c r="G71" s="204"/>
      <c r="H71" s="215"/>
      <c r="I71" s="28"/>
      <c r="J71" s="28"/>
      <c r="K71" s="226">
        <f t="shared" si="80"/>
        <v>113.05</v>
      </c>
      <c r="M71" s="72">
        <v>45895</v>
      </c>
      <c r="N71" s="73">
        <v>2952.69</v>
      </c>
      <c r="O71" s="75"/>
      <c r="P71" s="74">
        <v>29.84</v>
      </c>
      <c r="Q71" s="204"/>
      <c r="R71" s="215"/>
      <c r="S71" s="28"/>
      <c r="T71" s="28"/>
      <c r="U71" s="226">
        <f t="shared" si="81"/>
        <v>29.84</v>
      </c>
      <c r="W71" s="72">
        <v>45895</v>
      </c>
      <c r="X71" s="73">
        <v>1408.47</v>
      </c>
      <c r="Y71" s="73">
        <v>261.13</v>
      </c>
      <c r="Z71" s="75"/>
      <c r="AA71" s="73"/>
      <c r="AB71" s="204"/>
      <c r="AC71" s="88"/>
      <c r="AD71" s="329"/>
      <c r="AE71" s="28"/>
      <c r="AF71" s="226">
        <f t="shared" si="82"/>
        <v>0</v>
      </c>
      <c r="AI71" s="72">
        <v>45895</v>
      </c>
      <c r="AJ71" s="73">
        <v>1339.72</v>
      </c>
      <c r="AK71" s="75"/>
      <c r="AL71" s="74"/>
      <c r="AM71" s="204"/>
      <c r="AN71" s="215"/>
      <c r="AO71" s="28"/>
      <c r="AP71" s="28"/>
      <c r="AQ71" s="226">
        <f t="shared" si="83"/>
        <v>0</v>
      </c>
      <c r="AS71" s="72">
        <v>45895</v>
      </c>
      <c r="AT71" s="73">
        <v>3731</v>
      </c>
      <c r="AU71" s="75"/>
      <c r="AV71" s="76"/>
      <c r="AW71" s="204"/>
      <c r="AX71" s="215"/>
      <c r="AY71" s="28"/>
      <c r="AZ71" s="28"/>
      <c r="BA71" s="226">
        <f t="shared" si="84"/>
        <v>0</v>
      </c>
      <c r="BC71" s="72">
        <v>45895</v>
      </c>
      <c r="BD71" s="73">
        <v>2375.42</v>
      </c>
      <c r="BE71" s="75"/>
      <c r="BF71" s="76">
        <v>15.94</v>
      </c>
      <c r="BG71" s="204"/>
      <c r="BH71" s="88">
        <v>15.661180000000002</v>
      </c>
      <c r="BI71" s="28"/>
      <c r="BJ71" s="28"/>
      <c r="BK71" s="226">
        <f t="shared" si="85"/>
        <v>31.601179999999999</v>
      </c>
      <c r="BM71" s="72">
        <v>45895</v>
      </c>
      <c r="BN71" s="73">
        <v>14674.84</v>
      </c>
      <c r="BO71" s="73">
        <v>2704.7</v>
      </c>
      <c r="BP71" s="73">
        <v>8364.33</v>
      </c>
      <c r="BQ71" s="75"/>
      <c r="BR71" s="75"/>
      <c r="BS71" s="204"/>
      <c r="BT71" s="88">
        <v>254.44564629529475</v>
      </c>
      <c r="BU71" s="329">
        <v>310.70999999999992</v>
      </c>
      <c r="BV71" s="28"/>
      <c r="BW71" s="226">
        <f t="shared" si="86"/>
        <v>565.15564629529467</v>
      </c>
      <c r="BY71" s="72">
        <v>45895</v>
      </c>
      <c r="BZ71" s="77">
        <v>1693.45</v>
      </c>
      <c r="CA71" s="78">
        <v>278.56</v>
      </c>
      <c r="CB71" s="75"/>
      <c r="CC71" s="74"/>
      <c r="CD71" s="204"/>
      <c r="CE71" s="215"/>
      <c r="CF71" s="329">
        <v>16.776259999999979</v>
      </c>
      <c r="CG71" s="28"/>
      <c r="CH71" s="226">
        <f t="shared" si="87"/>
        <v>16.776259999999979</v>
      </c>
      <c r="CJ71" s="72">
        <v>45895</v>
      </c>
      <c r="CK71" s="73">
        <v>6482.45</v>
      </c>
      <c r="CL71" s="73">
        <v>666.76</v>
      </c>
      <c r="CM71" s="75"/>
      <c r="CN71" s="74">
        <v>21.51</v>
      </c>
      <c r="CO71" s="204"/>
      <c r="CP71" s="88">
        <v>51.189840000000032</v>
      </c>
      <c r="CQ71" s="329">
        <v>18.695080000000019</v>
      </c>
      <c r="CR71" s="28"/>
      <c r="CS71" s="226">
        <f t="shared" si="88"/>
        <v>91.394920000000056</v>
      </c>
      <c r="CU71" s="72">
        <v>45895</v>
      </c>
      <c r="CV71" s="73">
        <v>9964.16</v>
      </c>
      <c r="CW71" s="80">
        <v>984.68</v>
      </c>
      <c r="CX71" s="75"/>
      <c r="CY71" s="74">
        <v>145.05000000000001</v>
      </c>
      <c r="CZ71" s="204"/>
      <c r="DA71" s="88"/>
      <c r="DB71" s="28"/>
      <c r="DC71" s="28"/>
      <c r="DD71" s="226">
        <f t="shared" si="89"/>
        <v>145.05000000000001</v>
      </c>
      <c r="DG71" s="72">
        <v>45895</v>
      </c>
      <c r="DH71" s="73">
        <v>1079.5999999999999</v>
      </c>
      <c r="DI71" s="81">
        <v>328.22</v>
      </c>
      <c r="DJ71" s="80"/>
      <c r="DK71" s="74">
        <v>4</v>
      </c>
      <c r="DL71" s="204"/>
      <c r="DM71" s="88">
        <v>8.7719799999999708</v>
      </c>
      <c r="DN71" s="28"/>
      <c r="DO71" s="28"/>
      <c r="DP71" s="226">
        <f t="shared" si="90"/>
        <v>12.771979999999971</v>
      </c>
      <c r="DR71" s="72">
        <v>45895</v>
      </c>
      <c r="DS71" s="73">
        <v>1291.0899999999999</v>
      </c>
      <c r="DT71" s="81">
        <v>1074.82</v>
      </c>
      <c r="DU71" s="80"/>
      <c r="DV71" s="74">
        <v>28.2</v>
      </c>
      <c r="DW71" s="204"/>
      <c r="DX71" s="215"/>
      <c r="DY71" s="28"/>
      <c r="DZ71" s="28"/>
      <c r="EA71" s="226">
        <f t="shared" si="91"/>
        <v>28.2</v>
      </c>
      <c r="EC71" s="72">
        <v>45895</v>
      </c>
      <c r="ED71" s="73">
        <v>885.7</v>
      </c>
      <c r="EE71" s="80">
        <v>741.87</v>
      </c>
      <c r="EF71" s="80"/>
      <c r="EG71" s="74">
        <v>24.98</v>
      </c>
      <c r="EH71" s="204"/>
      <c r="EI71" s="88">
        <v>1149.2220700000005</v>
      </c>
      <c r="EJ71" s="328"/>
      <c r="EK71" s="335"/>
      <c r="EL71" s="226">
        <f t="shared" si="92"/>
        <v>1174.2020700000005</v>
      </c>
      <c r="EN71" s="72">
        <v>45895</v>
      </c>
      <c r="EO71" s="73">
        <v>3337.59</v>
      </c>
      <c r="EP71" s="81">
        <v>678.07</v>
      </c>
      <c r="EQ71" s="80"/>
      <c r="ER71" s="239">
        <v>858.25</v>
      </c>
      <c r="ES71" s="204"/>
      <c r="ET71" s="88">
        <v>67.452549999999974</v>
      </c>
      <c r="EU71" s="328">
        <v>452.57422999999994</v>
      </c>
      <c r="EV71" s="28"/>
      <c r="EW71" s="226">
        <f t="shared" si="93"/>
        <v>1378.2767799999999</v>
      </c>
      <c r="EY71" s="72">
        <v>45895</v>
      </c>
      <c r="EZ71" s="73">
        <v>748.14</v>
      </c>
      <c r="FA71" s="73">
        <v>257.60000000000002</v>
      </c>
      <c r="FB71" s="75"/>
      <c r="FC71" s="74"/>
      <c r="FD71" s="204"/>
      <c r="FE71" s="215"/>
      <c r="FF71" s="28"/>
      <c r="FG71" s="28"/>
      <c r="FH71" s="226">
        <f t="shared" si="94"/>
        <v>0</v>
      </c>
    </row>
    <row r="72" spans="2:164" x14ac:dyDescent="0.25">
      <c r="B72" s="72">
        <v>45896</v>
      </c>
      <c r="C72" s="73">
        <v>11430.82</v>
      </c>
      <c r="D72" s="75"/>
      <c r="E72" s="75"/>
      <c r="F72" s="75">
        <v>64.900000000000006</v>
      </c>
      <c r="G72" s="204"/>
      <c r="H72" s="215"/>
      <c r="I72" s="28"/>
      <c r="J72" s="28"/>
      <c r="K72" s="226">
        <f t="shared" si="80"/>
        <v>64.900000000000006</v>
      </c>
      <c r="M72" s="72">
        <v>45896</v>
      </c>
      <c r="N72" s="73">
        <v>3216.11</v>
      </c>
      <c r="O72" s="75"/>
      <c r="P72" s="74">
        <v>46.95</v>
      </c>
      <c r="Q72" s="204"/>
      <c r="R72" s="215"/>
      <c r="S72" s="28"/>
      <c r="T72" s="28"/>
      <c r="U72" s="226">
        <f t="shared" si="81"/>
        <v>46.95</v>
      </c>
      <c r="W72" s="72">
        <v>45896</v>
      </c>
      <c r="X72" s="73">
        <v>1462.09</v>
      </c>
      <c r="Y72" s="73">
        <v>193.49</v>
      </c>
      <c r="Z72" s="75"/>
      <c r="AA72" s="73"/>
      <c r="AB72" s="204"/>
      <c r="AC72" s="88">
        <v>43.691269999999975</v>
      </c>
      <c r="AD72" s="329">
        <v>33.196269999999998</v>
      </c>
      <c r="AE72" s="28"/>
      <c r="AF72" s="226">
        <f t="shared" si="82"/>
        <v>76.887539999999973</v>
      </c>
      <c r="AI72" s="72">
        <v>45896</v>
      </c>
      <c r="AJ72" s="73">
        <v>1138.8499999999999</v>
      </c>
      <c r="AK72" s="75"/>
      <c r="AL72" s="74"/>
      <c r="AM72" s="204"/>
      <c r="AN72" s="215"/>
      <c r="AO72" s="28"/>
      <c r="AP72" s="28"/>
      <c r="AQ72" s="226">
        <f t="shared" si="83"/>
        <v>0</v>
      </c>
      <c r="AS72" s="72">
        <v>45896</v>
      </c>
      <c r="AT72" s="73">
        <v>2875.34</v>
      </c>
      <c r="AU72" s="75"/>
      <c r="AV72" s="76"/>
      <c r="AW72" s="204"/>
      <c r="AX72" s="215"/>
      <c r="AY72" s="28"/>
      <c r="AZ72" s="28"/>
      <c r="BA72" s="226">
        <f t="shared" si="84"/>
        <v>0</v>
      </c>
      <c r="BC72" s="72">
        <v>45896</v>
      </c>
      <c r="BD72" s="73">
        <v>3163.37</v>
      </c>
      <c r="BE72" s="75"/>
      <c r="BF72" s="76">
        <v>18.829999999999998</v>
      </c>
      <c r="BG72" s="204"/>
      <c r="BH72" s="88"/>
      <c r="BI72" s="28"/>
      <c r="BJ72" s="28"/>
      <c r="BK72" s="226">
        <f t="shared" si="85"/>
        <v>18.829999999999998</v>
      </c>
      <c r="BM72" s="72">
        <v>45896</v>
      </c>
      <c r="BN72" s="73">
        <v>13259.69</v>
      </c>
      <c r="BO72" s="73">
        <v>3157.94</v>
      </c>
      <c r="BP72" s="73">
        <v>8259.99</v>
      </c>
      <c r="BQ72" s="75"/>
      <c r="BR72" s="75"/>
      <c r="BS72" s="204"/>
      <c r="BT72" s="88">
        <v>35.319588424437299</v>
      </c>
      <c r="BU72" s="329">
        <v>242.16514999999993</v>
      </c>
      <c r="BV72" s="28"/>
      <c r="BW72" s="226">
        <f t="shared" si="86"/>
        <v>277.48473842443724</v>
      </c>
      <c r="BY72" s="72">
        <v>45896</v>
      </c>
      <c r="BZ72" s="77">
        <v>760.8</v>
      </c>
      <c r="CA72" s="82">
        <v>647.14</v>
      </c>
      <c r="CB72" s="75"/>
      <c r="CC72" s="74"/>
      <c r="CD72" s="204"/>
      <c r="CE72" s="215"/>
      <c r="CF72" s="329"/>
      <c r="CG72" s="28"/>
      <c r="CH72" s="226">
        <f t="shared" si="87"/>
        <v>0</v>
      </c>
      <c r="CJ72" s="72">
        <v>45896</v>
      </c>
      <c r="CK72" s="73">
        <v>7019.55</v>
      </c>
      <c r="CL72" s="73">
        <v>803.73</v>
      </c>
      <c r="CM72" s="75"/>
      <c r="CN72" s="74">
        <v>39.409999999999997</v>
      </c>
      <c r="CO72" s="204"/>
      <c r="CP72" s="88">
        <v>44.21493999999997</v>
      </c>
      <c r="CQ72" s="329"/>
      <c r="CR72" s="28"/>
      <c r="CS72" s="226">
        <f t="shared" si="88"/>
        <v>83.624939999999967</v>
      </c>
      <c r="CU72" s="72">
        <v>45896</v>
      </c>
      <c r="CV72" s="73">
        <v>8037.07</v>
      </c>
      <c r="CW72" s="80">
        <v>946.26</v>
      </c>
      <c r="CX72" s="75"/>
      <c r="CY72" s="74">
        <v>58.15</v>
      </c>
      <c r="CZ72" s="204"/>
      <c r="DA72" s="88">
        <v>6.7980000000000018</v>
      </c>
      <c r="DB72" s="28"/>
      <c r="DC72" s="28"/>
      <c r="DD72" s="226">
        <f t="shared" si="89"/>
        <v>64.948000000000008</v>
      </c>
      <c r="DG72" s="72">
        <v>45896</v>
      </c>
      <c r="DH72" s="73">
        <v>861.75</v>
      </c>
      <c r="DI72" s="80">
        <v>422.27</v>
      </c>
      <c r="DJ72" s="80"/>
      <c r="DK72" s="74">
        <v>4</v>
      </c>
      <c r="DL72" s="204"/>
      <c r="DM72" s="88">
        <v>5.2594399999999979</v>
      </c>
      <c r="DN72" s="28"/>
      <c r="DO72" s="28"/>
      <c r="DP72" s="226">
        <f t="shared" si="90"/>
        <v>9.2594399999999979</v>
      </c>
      <c r="DR72" s="72">
        <v>45896</v>
      </c>
      <c r="DS72" s="73">
        <v>1085.8900000000001</v>
      </c>
      <c r="DT72" s="80">
        <v>998.97</v>
      </c>
      <c r="DU72" s="80"/>
      <c r="DV72" s="74">
        <v>11.43</v>
      </c>
      <c r="DW72" s="204"/>
      <c r="DX72" s="215"/>
      <c r="DY72" s="28"/>
      <c r="DZ72" s="28"/>
      <c r="EA72" s="226">
        <f t="shared" si="91"/>
        <v>11.43</v>
      </c>
      <c r="EC72" s="72">
        <v>45896</v>
      </c>
      <c r="ED72" s="73">
        <v>795.59</v>
      </c>
      <c r="EE72" s="80">
        <v>976.09</v>
      </c>
      <c r="EF72" s="80"/>
      <c r="EG72" s="74">
        <v>16.88</v>
      </c>
      <c r="EH72" s="204"/>
      <c r="EI72" s="88">
        <v>1020.0480800000001</v>
      </c>
      <c r="EJ72" s="328"/>
      <c r="EK72" s="335"/>
      <c r="EL72" s="226">
        <f t="shared" si="92"/>
        <v>1036.9280800000001</v>
      </c>
      <c r="EN72" s="72">
        <v>45896</v>
      </c>
      <c r="EO72" s="73">
        <v>4779.1099999999997</v>
      </c>
      <c r="EP72" s="81">
        <v>272.88</v>
      </c>
      <c r="EQ72" s="80"/>
      <c r="ER72" s="239">
        <v>280.39</v>
      </c>
      <c r="ES72" s="204"/>
      <c r="ET72" s="88"/>
      <c r="EU72" s="328">
        <v>475.97645000000011</v>
      </c>
      <c r="EV72" s="28"/>
      <c r="EW72" s="226">
        <f t="shared" si="93"/>
        <v>756.3664500000001</v>
      </c>
      <c r="EY72" s="72">
        <v>45896</v>
      </c>
      <c r="EZ72" s="73">
        <v>792.99</v>
      </c>
      <c r="FA72" s="73">
        <v>348.65</v>
      </c>
      <c r="FB72" s="75"/>
      <c r="FC72" s="74"/>
      <c r="FD72" s="204"/>
      <c r="FE72" s="215"/>
      <c r="FF72" s="28"/>
      <c r="FG72" s="28"/>
      <c r="FH72" s="226">
        <f t="shared" si="94"/>
        <v>0</v>
      </c>
    </row>
    <row r="73" spans="2:164" ht="16.5" customHeight="1" x14ac:dyDescent="0.25">
      <c r="B73" s="72">
        <v>45897</v>
      </c>
      <c r="C73" s="73">
        <v>9912.6299999999992</v>
      </c>
      <c r="D73" s="74"/>
      <c r="E73" s="75"/>
      <c r="F73" s="74">
        <v>49.57</v>
      </c>
      <c r="G73" s="204"/>
      <c r="H73" s="215"/>
      <c r="I73" s="28"/>
      <c r="J73" s="28"/>
      <c r="K73" s="226">
        <f t="shared" si="80"/>
        <v>49.57</v>
      </c>
      <c r="M73" s="72">
        <v>45897</v>
      </c>
      <c r="N73" s="73">
        <v>3182.2</v>
      </c>
      <c r="O73" s="75"/>
      <c r="P73" s="74">
        <v>52.58</v>
      </c>
      <c r="Q73" s="204"/>
      <c r="R73" s="215"/>
      <c r="S73" s="28"/>
      <c r="T73" s="28"/>
      <c r="U73" s="226">
        <f t="shared" si="81"/>
        <v>52.58</v>
      </c>
      <c r="W73" s="72">
        <v>45897</v>
      </c>
      <c r="X73" s="73">
        <v>1581.59</v>
      </c>
      <c r="Y73" s="73">
        <v>273.64</v>
      </c>
      <c r="Z73" s="75"/>
      <c r="AA73" s="73"/>
      <c r="AB73" s="204"/>
      <c r="AC73" s="88"/>
      <c r="AD73" s="329"/>
      <c r="AE73" s="28"/>
      <c r="AF73" s="226">
        <f t="shared" si="82"/>
        <v>0</v>
      </c>
      <c r="AI73" s="72">
        <v>45897</v>
      </c>
      <c r="AJ73" s="73">
        <v>1196.33</v>
      </c>
      <c r="AK73" s="75"/>
      <c r="AL73" s="74"/>
      <c r="AM73" s="204"/>
      <c r="AN73" s="215"/>
      <c r="AO73" s="28"/>
      <c r="AP73" s="28"/>
      <c r="AQ73" s="226">
        <f t="shared" si="83"/>
        <v>0</v>
      </c>
      <c r="AS73" s="72">
        <v>45897</v>
      </c>
      <c r="AT73" s="73">
        <v>3419.88</v>
      </c>
      <c r="AU73" s="75"/>
      <c r="AV73" s="76"/>
      <c r="AW73" s="204"/>
      <c r="AX73" s="215"/>
      <c r="AY73" s="28"/>
      <c r="AZ73" s="28"/>
      <c r="BA73" s="226">
        <f t="shared" si="84"/>
        <v>0</v>
      </c>
      <c r="BC73" s="72">
        <v>45897</v>
      </c>
      <c r="BD73" s="73">
        <v>3395.01</v>
      </c>
      <c r="BE73" s="75"/>
      <c r="BF73" s="76">
        <v>9.0399999999999991</v>
      </c>
      <c r="BG73" s="204"/>
      <c r="BH73" s="88"/>
      <c r="BI73" s="28"/>
      <c r="BJ73" s="28"/>
      <c r="BK73" s="226">
        <f t="shared" si="85"/>
        <v>9.0399999999999991</v>
      </c>
      <c r="BM73" s="72">
        <v>45897</v>
      </c>
      <c r="BN73" s="73">
        <v>16192.31</v>
      </c>
      <c r="BO73" s="73">
        <v>3048.17</v>
      </c>
      <c r="BP73" s="73">
        <v>8638.2999999999993</v>
      </c>
      <c r="BQ73" s="75"/>
      <c r="BR73" s="75"/>
      <c r="BS73" s="204"/>
      <c r="BT73" s="88">
        <v>133.02256334640731</v>
      </c>
      <c r="BU73" s="329">
        <v>710.22158000000013</v>
      </c>
      <c r="BV73" s="28"/>
      <c r="BW73" s="226">
        <f t="shared" si="86"/>
        <v>843.24414334640744</v>
      </c>
      <c r="BY73" s="72">
        <v>45897</v>
      </c>
      <c r="BZ73" s="77">
        <v>1424.96</v>
      </c>
      <c r="CA73" s="78">
        <v>508.99</v>
      </c>
      <c r="CB73" s="75"/>
      <c r="CC73" s="74"/>
      <c r="CD73" s="204"/>
      <c r="CE73" s="215"/>
      <c r="CF73" s="329"/>
      <c r="CG73" s="28"/>
      <c r="CH73" s="226">
        <f t="shared" si="87"/>
        <v>0</v>
      </c>
      <c r="CJ73" s="72">
        <v>45897</v>
      </c>
      <c r="CK73" s="73">
        <v>3985.41</v>
      </c>
      <c r="CL73" s="73">
        <v>718.59</v>
      </c>
      <c r="CM73" s="75"/>
      <c r="CN73" s="74">
        <v>8.61</v>
      </c>
      <c r="CO73" s="204"/>
      <c r="CP73" s="88">
        <v>110.56100000000012</v>
      </c>
      <c r="CQ73" s="329">
        <v>15.085189999999983</v>
      </c>
      <c r="CR73" s="28"/>
      <c r="CS73" s="226">
        <f t="shared" si="88"/>
        <v>134.25619000000012</v>
      </c>
      <c r="CU73" s="72">
        <v>45897</v>
      </c>
      <c r="CV73" s="73">
        <v>6171.16</v>
      </c>
      <c r="CW73" s="80">
        <v>1272.3699999999999</v>
      </c>
      <c r="CX73" s="75"/>
      <c r="CY73" s="74">
        <v>1696.84</v>
      </c>
      <c r="CZ73" s="204"/>
      <c r="DA73" s="88">
        <v>26.432999999999964</v>
      </c>
      <c r="DB73" s="28"/>
      <c r="DC73" s="28"/>
      <c r="DD73" s="226">
        <f t="shared" si="89"/>
        <v>1723.2729999999999</v>
      </c>
      <c r="DG73" s="72">
        <v>45897</v>
      </c>
      <c r="DH73" s="73">
        <v>794.55</v>
      </c>
      <c r="DI73" s="80">
        <v>299.8</v>
      </c>
      <c r="DJ73" s="80"/>
      <c r="DK73" s="74">
        <v>4</v>
      </c>
      <c r="DL73" s="204"/>
      <c r="DM73" s="88"/>
      <c r="DN73" s="28"/>
      <c r="DO73" s="28"/>
      <c r="DP73" s="226">
        <f t="shared" si="90"/>
        <v>4</v>
      </c>
      <c r="DR73" s="72">
        <v>45897</v>
      </c>
      <c r="DS73" s="73">
        <v>1156.8800000000001</v>
      </c>
      <c r="DT73" s="80">
        <v>1114.9100000000001</v>
      </c>
      <c r="DU73" s="80"/>
      <c r="DV73" s="74">
        <v>31.28</v>
      </c>
      <c r="DW73" s="204"/>
      <c r="DX73" s="215"/>
      <c r="DY73" s="28"/>
      <c r="DZ73" s="28"/>
      <c r="EA73" s="226">
        <f t="shared" si="91"/>
        <v>31.28</v>
      </c>
      <c r="EC73" s="72">
        <v>45897</v>
      </c>
      <c r="ED73" s="73">
        <v>1208.8800000000001</v>
      </c>
      <c r="EE73" s="80">
        <v>715.4</v>
      </c>
      <c r="EF73" s="80"/>
      <c r="EG73" s="74">
        <v>21.88</v>
      </c>
      <c r="EH73" s="204"/>
      <c r="EI73" s="88">
        <v>961.68064000000004</v>
      </c>
      <c r="EJ73" s="328"/>
      <c r="EK73" s="335"/>
      <c r="EL73" s="226">
        <f t="shared" si="92"/>
        <v>983.56064000000003</v>
      </c>
      <c r="EN73" s="72">
        <v>45897</v>
      </c>
      <c r="EO73" s="73">
        <v>4051.98</v>
      </c>
      <c r="EP73" s="81">
        <v>229.12</v>
      </c>
      <c r="EQ73" s="80"/>
      <c r="ER73" s="239">
        <v>172.12</v>
      </c>
      <c r="ES73" s="204"/>
      <c r="ET73" s="88"/>
      <c r="EU73" s="328"/>
      <c r="EV73" s="28"/>
      <c r="EW73" s="226">
        <f t="shared" si="93"/>
        <v>172.12</v>
      </c>
      <c r="EY73" s="72">
        <v>45897</v>
      </c>
      <c r="EZ73" s="73">
        <v>555.47</v>
      </c>
      <c r="FA73" s="73">
        <v>192.31</v>
      </c>
      <c r="FB73" s="75"/>
      <c r="FC73" s="74"/>
      <c r="FD73" s="204"/>
      <c r="FE73" s="215"/>
      <c r="FF73" s="28"/>
      <c r="FG73" s="28"/>
      <c r="FH73" s="226">
        <f t="shared" si="94"/>
        <v>0</v>
      </c>
    </row>
    <row r="74" spans="2:164" x14ac:dyDescent="0.25">
      <c r="B74" s="72">
        <v>45898</v>
      </c>
      <c r="C74" s="73">
        <v>12199.75</v>
      </c>
      <c r="D74" s="75"/>
      <c r="E74" s="75"/>
      <c r="F74" s="75">
        <v>59.56</v>
      </c>
      <c r="G74" s="204"/>
      <c r="H74" s="215"/>
      <c r="I74" s="28"/>
      <c r="J74" s="28"/>
      <c r="K74" s="226">
        <f t="shared" si="80"/>
        <v>59.56</v>
      </c>
      <c r="M74" s="72">
        <v>45898</v>
      </c>
      <c r="N74" s="73">
        <v>4419.3</v>
      </c>
      <c r="O74" s="80"/>
      <c r="P74" s="83">
        <v>46.95</v>
      </c>
      <c r="Q74" s="204"/>
      <c r="R74" s="215"/>
      <c r="S74" s="28"/>
      <c r="T74" s="28"/>
      <c r="U74" s="226">
        <f>SUM(P74:T74)</f>
        <v>46.95</v>
      </c>
      <c r="W74" s="72">
        <v>45898</v>
      </c>
      <c r="X74" s="73">
        <v>1359.89</v>
      </c>
      <c r="Y74" s="73">
        <v>298.04000000000002</v>
      </c>
      <c r="Z74" s="75"/>
      <c r="AA74" s="73"/>
      <c r="AB74" s="204"/>
      <c r="AC74" s="88">
        <v>30.933349999999983</v>
      </c>
      <c r="AD74" s="329"/>
      <c r="AE74" s="28"/>
      <c r="AF74" s="226">
        <f>SUM(AA74:AE74)</f>
        <v>30.933349999999983</v>
      </c>
      <c r="AI74" s="72">
        <v>45898</v>
      </c>
      <c r="AJ74" s="73">
        <v>1141.52</v>
      </c>
      <c r="AK74" s="80"/>
      <c r="AL74" s="84"/>
      <c r="AM74" s="204"/>
      <c r="AN74" s="215"/>
      <c r="AO74" s="28"/>
      <c r="AP74" s="28"/>
      <c r="AQ74" s="226">
        <f>SUM(AL74:AP74)</f>
        <v>0</v>
      </c>
      <c r="AS74" s="72">
        <v>45898</v>
      </c>
      <c r="AT74" s="73">
        <v>3044.59</v>
      </c>
      <c r="AU74" s="80"/>
      <c r="AV74" s="83"/>
      <c r="AW74" s="204"/>
      <c r="AX74" s="215"/>
      <c r="AY74" s="28"/>
      <c r="AZ74" s="28"/>
      <c r="BA74" s="226">
        <f>SUM(AV74:AZ74)</f>
        <v>0</v>
      </c>
      <c r="BC74" s="72">
        <v>45898</v>
      </c>
      <c r="BD74" s="73">
        <v>3308.07</v>
      </c>
      <c r="BE74" s="75"/>
      <c r="BF74" s="76">
        <v>9.14</v>
      </c>
      <c r="BG74" s="204"/>
      <c r="BH74" s="88"/>
      <c r="BI74" s="28"/>
      <c r="BJ74" s="28"/>
      <c r="BK74" s="226">
        <f>SUM(BF74:BJ74)</f>
        <v>9.14</v>
      </c>
      <c r="BM74" s="72">
        <v>45898</v>
      </c>
      <c r="BN74" s="73">
        <v>15119.68</v>
      </c>
      <c r="BO74" s="73">
        <v>2508.7800000000002</v>
      </c>
      <c r="BP74" s="73">
        <v>9336.69</v>
      </c>
      <c r="BQ74" s="75"/>
      <c r="BR74" s="75"/>
      <c r="BS74" s="204"/>
      <c r="BT74" s="88">
        <v>260.91843474595572</v>
      </c>
      <c r="BU74" s="329">
        <v>505.12274999999988</v>
      </c>
      <c r="BV74" s="28"/>
      <c r="BW74" s="226">
        <f t="shared" si="86"/>
        <v>766.04118474595566</v>
      </c>
      <c r="BY74" s="72">
        <v>45898</v>
      </c>
      <c r="BZ74" s="77">
        <v>1737.41</v>
      </c>
      <c r="CA74" s="78">
        <v>444.65</v>
      </c>
      <c r="CB74" s="75"/>
      <c r="CC74" s="74"/>
      <c r="CD74" s="204"/>
      <c r="CE74" s="215"/>
      <c r="CF74" s="329"/>
      <c r="CG74" s="28"/>
      <c r="CH74" s="226">
        <f t="shared" si="87"/>
        <v>0</v>
      </c>
      <c r="CJ74" s="72">
        <v>45898</v>
      </c>
      <c r="CK74" s="73">
        <v>3380.01</v>
      </c>
      <c r="CL74" s="73">
        <v>676.66</v>
      </c>
      <c r="CM74" s="75"/>
      <c r="CN74" s="74">
        <v>0</v>
      </c>
      <c r="CO74" s="204"/>
      <c r="CP74" s="88">
        <v>29.769350000000003</v>
      </c>
      <c r="CQ74" s="329"/>
      <c r="CR74" s="28"/>
      <c r="CS74" s="226">
        <f t="shared" si="88"/>
        <v>29.769350000000003</v>
      </c>
      <c r="CU74" s="72">
        <v>45898</v>
      </c>
      <c r="CV74" s="73">
        <v>14773.58</v>
      </c>
      <c r="CW74" s="80">
        <v>707.22</v>
      </c>
      <c r="CX74" s="75"/>
      <c r="CY74" s="74">
        <v>84.06</v>
      </c>
      <c r="CZ74" s="204"/>
      <c r="DA74" s="88"/>
      <c r="DB74" s="28"/>
      <c r="DC74" s="28"/>
      <c r="DD74" s="226">
        <f t="shared" si="89"/>
        <v>84.06</v>
      </c>
      <c r="DG74" s="72">
        <v>45898</v>
      </c>
      <c r="DH74" s="73">
        <v>2215.88</v>
      </c>
      <c r="DI74" s="80">
        <v>457.5</v>
      </c>
      <c r="DJ74" s="80"/>
      <c r="DK74" s="74">
        <v>35.18</v>
      </c>
      <c r="DL74" s="204"/>
      <c r="DM74" s="88"/>
      <c r="DN74" s="28"/>
      <c r="DO74" s="28"/>
      <c r="DP74" s="226">
        <f t="shared" si="90"/>
        <v>35.18</v>
      </c>
      <c r="DR74" s="72">
        <v>45898</v>
      </c>
      <c r="DS74" s="73">
        <v>1889.61</v>
      </c>
      <c r="DT74" s="80">
        <v>1131.8399999999999</v>
      </c>
      <c r="DU74" s="80"/>
      <c r="DV74" s="74">
        <v>32.590000000000003</v>
      </c>
      <c r="DW74" s="204"/>
      <c r="DX74" s="215"/>
      <c r="DY74" s="28"/>
      <c r="DZ74" s="28"/>
      <c r="EA74" s="226">
        <f t="shared" si="91"/>
        <v>32.590000000000003</v>
      </c>
      <c r="EC74" s="72">
        <v>45898</v>
      </c>
      <c r="ED74" s="73">
        <v>817.37</v>
      </c>
      <c r="EE74" s="80">
        <v>890.33</v>
      </c>
      <c r="EF74" s="80"/>
      <c r="EG74" s="74">
        <v>158.63999999999999</v>
      </c>
      <c r="EH74" s="204"/>
      <c r="EI74" s="88">
        <v>1052.6424800000002</v>
      </c>
      <c r="EJ74" s="328">
        <v>27.512540000000001</v>
      </c>
      <c r="EK74" s="335">
        <v>9.6538400000014235E-2</v>
      </c>
      <c r="EL74" s="226">
        <f t="shared" si="92"/>
        <v>1238.8915584000003</v>
      </c>
      <c r="EN74" s="72">
        <v>45898</v>
      </c>
      <c r="EO74" s="73">
        <v>3107.88</v>
      </c>
      <c r="EP74" s="81">
        <v>320.62</v>
      </c>
      <c r="EQ74" s="80"/>
      <c r="ER74" s="239">
        <v>94.53</v>
      </c>
      <c r="ES74" s="204"/>
      <c r="ET74" s="88"/>
      <c r="EU74" s="328"/>
      <c r="EV74" s="28"/>
      <c r="EW74" s="226">
        <f t="shared" si="93"/>
        <v>94.53</v>
      </c>
      <c r="EY74" s="72">
        <v>45898</v>
      </c>
      <c r="EZ74" s="73">
        <v>1065.3800000000001</v>
      </c>
      <c r="FA74" s="73">
        <v>216.11</v>
      </c>
      <c r="FB74" s="75"/>
      <c r="FC74" s="74"/>
      <c r="FD74" s="204"/>
      <c r="FE74" s="215"/>
      <c r="FF74" s="28"/>
      <c r="FG74" s="28"/>
      <c r="FH74" s="226">
        <f t="shared" si="94"/>
        <v>0</v>
      </c>
    </row>
    <row r="75" spans="2:164" ht="18.75" x14ac:dyDescent="0.3">
      <c r="B75" s="72">
        <v>45899</v>
      </c>
      <c r="C75" s="73">
        <v>15941.31</v>
      </c>
      <c r="D75" s="75"/>
      <c r="E75" s="75"/>
      <c r="F75" s="73">
        <v>0</v>
      </c>
      <c r="G75" s="213"/>
      <c r="H75" s="215"/>
      <c r="I75" s="28"/>
      <c r="J75" s="28"/>
      <c r="K75" s="226">
        <f t="shared" si="80"/>
        <v>0</v>
      </c>
      <c r="M75" s="72">
        <v>45899</v>
      </c>
      <c r="N75" s="73">
        <v>3229.31</v>
      </c>
      <c r="O75" s="80"/>
      <c r="P75" s="83">
        <v>0</v>
      </c>
      <c r="Q75" s="213"/>
      <c r="R75" s="215"/>
      <c r="S75" s="28"/>
      <c r="T75" s="28"/>
      <c r="U75" s="226">
        <f t="shared" si="81"/>
        <v>0</v>
      </c>
      <c r="W75" s="72">
        <v>45899</v>
      </c>
      <c r="X75" s="73">
        <v>1259.8499999999999</v>
      </c>
      <c r="Y75" s="73">
        <v>97.99</v>
      </c>
      <c r="Z75" s="75"/>
      <c r="AA75" s="73"/>
      <c r="AB75" s="213"/>
      <c r="AC75" s="88">
        <v>11.274400000000014</v>
      </c>
      <c r="AD75" s="329"/>
      <c r="AE75" s="28"/>
      <c r="AF75" s="226">
        <f t="shared" ref="AF75:AF76" si="95">SUM(AA75:AE75)</f>
        <v>11.274400000000014</v>
      </c>
      <c r="AI75" s="72">
        <v>45899</v>
      </c>
      <c r="AJ75" s="73">
        <v>1672.12</v>
      </c>
      <c r="AK75" s="80"/>
      <c r="AL75" s="84"/>
      <c r="AM75" s="213"/>
      <c r="AN75" s="215"/>
      <c r="AO75" s="28"/>
      <c r="AP75" s="28"/>
      <c r="AQ75" s="226">
        <f t="shared" ref="AQ75:AQ76" si="96">SUM(AL75:AP75)</f>
        <v>0</v>
      </c>
      <c r="AS75" s="72">
        <v>45899</v>
      </c>
      <c r="AT75" s="73">
        <v>4346.38</v>
      </c>
      <c r="AU75" s="80"/>
      <c r="AV75" s="83"/>
      <c r="AW75" s="213"/>
      <c r="AX75" s="215"/>
      <c r="AY75" s="28"/>
      <c r="AZ75" s="28"/>
      <c r="BA75" s="226">
        <f t="shared" ref="BA75:BA76" si="97">SUM(AV75:AZ75)</f>
        <v>0</v>
      </c>
      <c r="BC75" s="72">
        <v>45899</v>
      </c>
      <c r="BD75" s="73">
        <v>3387.07</v>
      </c>
      <c r="BE75" s="75"/>
      <c r="BF75" s="76">
        <v>0</v>
      </c>
      <c r="BG75" s="213"/>
      <c r="BH75" s="88">
        <v>25.045279999999991</v>
      </c>
      <c r="BI75" s="28"/>
      <c r="BJ75" s="28"/>
      <c r="BK75" s="226">
        <f t="shared" ref="BK75:BK76" si="98">SUM(BF75:BJ75)</f>
        <v>25.045279999999991</v>
      </c>
      <c r="BM75" s="72">
        <v>45899</v>
      </c>
      <c r="BN75" s="73">
        <v>12396.85</v>
      </c>
      <c r="BO75" s="73">
        <v>2962.39</v>
      </c>
      <c r="BP75" s="73">
        <v>7233.84</v>
      </c>
      <c r="BQ75" s="75"/>
      <c r="BR75" s="75"/>
      <c r="BS75" s="213"/>
      <c r="BT75" s="88"/>
      <c r="BU75" s="329"/>
      <c r="BV75" s="28"/>
      <c r="BW75" s="226">
        <f t="shared" si="86"/>
        <v>0</v>
      </c>
      <c r="BY75" s="72">
        <v>45899</v>
      </c>
      <c r="BZ75" s="77">
        <v>2214.75</v>
      </c>
      <c r="CA75" s="78">
        <v>858.16</v>
      </c>
      <c r="CB75" s="75"/>
      <c r="CC75" s="74"/>
      <c r="CD75" s="213"/>
      <c r="CE75" s="215"/>
      <c r="CF75" s="329"/>
      <c r="CG75" s="28"/>
      <c r="CH75" s="226">
        <f t="shared" si="87"/>
        <v>0</v>
      </c>
      <c r="CJ75" s="72">
        <v>45899</v>
      </c>
      <c r="CK75" s="73">
        <v>6339.65</v>
      </c>
      <c r="CL75" s="73">
        <v>770.74</v>
      </c>
      <c r="CM75" s="75"/>
      <c r="CN75" s="74">
        <v>41.95</v>
      </c>
      <c r="CO75" s="213"/>
      <c r="CP75" s="88">
        <v>25.4375</v>
      </c>
      <c r="CQ75" s="329"/>
      <c r="CR75" s="28"/>
      <c r="CS75" s="226">
        <f t="shared" si="88"/>
        <v>67.387500000000003</v>
      </c>
      <c r="CU75" s="72">
        <v>45899</v>
      </c>
      <c r="CV75" s="73">
        <v>7306.14</v>
      </c>
      <c r="CW75" s="80">
        <v>747.9</v>
      </c>
      <c r="CX75" s="75"/>
      <c r="CY75" s="74">
        <v>143.25</v>
      </c>
      <c r="CZ75" s="213"/>
      <c r="DA75" s="88">
        <v>3.3425000000000011</v>
      </c>
      <c r="DB75" s="28"/>
      <c r="DC75" s="28"/>
      <c r="DD75" s="226">
        <f t="shared" si="89"/>
        <v>146.5925</v>
      </c>
      <c r="DG75" s="72">
        <v>45899</v>
      </c>
      <c r="DH75" s="73">
        <v>1960.33</v>
      </c>
      <c r="DI75" s="80">
        <v>482.12</v>
      </c>
      <c r="DJ75" s="80"/>
      <c r="DK75" s="74">
        <v>0</v>
      </c>
      <c r="DL75" s="213"/>
      <c r="DM75" s="88"/>
      <c r="DN75" s="28"/>
      <c r="DO75" s="28"/>
      <c r="DP75" s="226">
        <f t="shared" si="90"/>
        <v>0</v>
      </c>
      <c r="DR75" s="72">
        <v>45899</v>
      </c>
      <c r="DS75" s="73">
        <v>1014.93</v>
      </c>
      <c r="DT75" s="80">
        <v>1483.39</v>
      </c>
      <c r="DU75" s="80"/>
      <c r="DV75" s="74">
        <v>4.5</v>
      </c>
      <c r="DW75" s="213"/>
      <c r="DX75" s="215"/>
      <c r="DY75" s="28"/>
      <c r="DZ75" s="28"/>
      <c r="EA75" s="226">
        <f t="shared" si="91"/>
        <v>4.5</v>
      </c>
      <c r="EC75" s="72">
        <v>45899</v>
      </c>
      <c r="ED75" s="73">
        <v>1240.3</v>
      </c>
      <c r="EE75" s="80">
        <v>1007.67</v>
      </c>
      <c r="EF75" s="80"/>
      <c r="EG75" s="74">
        <v>10.91</v>
      </c>
      <c r="EH75" s="213"/>
      <c r="EI75" s="88">
        <v>1350.3046500000009</v>
      </c>
      <c r="EJ75" s="328">
        <v>101.69551999999999</v>
      </c>
      <c r="EK75" s="335"/>
      <c r="EL75" s="226">
        <f t="shared" si="92"/>
        <v>1462.910170000001</v>
      </c>
      <c r="EN75" s="72">
        <v>45899</v>
      </c>
      <c r="EO75" s="73">
        <v>3769.5</v>
      </c>
      <c r="EP75" s="81">
        <v>559.38</v>
      </c>
      <c r="EQ75" s="80"/>
      <c r="ER75" s="239">
        <v>62.96</v>
      </c>
      <c r="ES75" s="213"/>
      <c r="ET75" s="88">
        <v>21.75</v>
      </c>
      <c r="EU75" s="328">
        <v>287.33389000000017</v>
      </c>
      <c r="EV75" s="28"/>
      <c r="EW75" s="226">
        <f t="shared" si="93"/>
        <v>372.04389000000015</v>
      </c>
      <c r="EY75" s="72">
        <v>45899</v>
      </c>
      <c r="EZ75" s="73">
        <v>840.05</v>
      </c>
      <c r="FA75" s="73">
        <v>207.97</v>
      </c>
      <c r="FB75" s="75"/>
      <c r="FC75" s="74"/>
      <c r="FD75" s="213"/>
      <c r="FE75" s="215"/>
      <c r="FF75" s="28"/>
      <c r="FG75" s="28"/>
      <c r="FH75" s="226">
        <f t="shared" si="94"/>
        <v>0</v>
      </c>
    </row>
    <row r="76" spans="2:164" ht="15.75" thickBot="1" x14ac:dyDescent="0.3">
      <c r="B76" s="72">
        <v>45900</v>
      </c>
      <c r="C76" s="73">
        <v>9144.0400000000009</v>
      </c>
      <c r="D76" s="75"/>
      <c r="E76" s="75"/>
      <c r="F76" s="75">
        <v>35.4</v>
      </c>
      <c r="H76" s="216"/>
      <c r="I76" s="45"/>
      <c r="J76" s="45"/>
      <c r="K76" s="227">
        <f t="shared" si="80"/>
        <v>35.4</v>
      </c>
      <c r="M76" s="72">
        <v>45900</v>
      </c>
      <c r="N76" s="73">
        <v>2934.02</v>
      </c>
      <c r="O76" s="80"/>
      <c r="P76" s="83">
        <v>11.63</v>
      </c>
      <c r="R76" s="216"/>
      <c r="S76" s="45"/>
      <c r="T76" s="45"/>
      <c r="U76" s="227">
        <f t="shared" si="81"/>
        <v>11.63</v>
      </c>
      <c r="W76" s="72">
        <v>45900</v>
      </c>
      <c r="X76" s="73">
        <v>684.04</v>
      </c>
      <c r="Y76" s="73">
        <v>150.38999999999999</v>
      </c>
      <c r="Z76" s="75"/>
      <c r="AA76" s="73"/>
      <c r="AC76" s="88"/>
      <c r="AD76" s="329"/>
      <c r="AE76" s="45"/>
      <c r="AF76" s="227">
        <f t="shared" si="95"/>
        <v>0</v>
      </c>
      <c r="AI76" s="72">
        <v>45900</v>
      </c>
      <c r="AJ76" s="73">
        <v>1253.23</v>
      </c>
      <c r="AK76" s="80"/>
      <c r="AL76" s="84"/>
      <c r="AN76" s="216"/>
      <c r="AO76" s="45"/>
      <c r="AP76" s="45"/>
      <c r="AQ76" s="227">
        <f t="shared" si="96"/>
        <v>0</v>
      </c>
      <c r="AS76" s="72">
        <v>45900</v>
      </c>
      <c r="AT76" s="73">
        <v>3357.13</v>
      </c>
      <c r="AU76" s="80"/>
      <c r="AV76" s="83"/>
      <c r="AX76" s="216"/>
      <c r="AY76" s="45"/>
      <c r="AZ76" s="45"/>
      <c r="BA76" s="227">
        <f t="shared" si="97"/>
        <v>0</v>
      </c>
      <c r="BC76" s="72">
        <v>45900</v>
      </c>
      <c r="BD76" s="73">
        <v>2782.92</v>
      </c>
      <c r="BE76" s="75"/>
      <c r="BF76" s="76">
        <v>0</v>
      </c>
      <c r="BH76" s="88"/>
      <c r="BI76" s="45"/>
      <c r="BJ76" s="45"/>
      <c r="BK76" s="227">
        <f t="shared" si="98"/>
        <v>0</v>
      </c>
      <c r="BM76" s="72">
        <v>45900</v>
      </c>
      <c r="BN76" s="73">
        <v>11514.09</v>
      </c>
      <c r="BO76" s="73">
        <v>1803.11</v>
      </c>
      <c r="BP76" s="73">
        <v>5068.2</v>
      </c>
      <c r="BQ76" s="75"/>
      <c r="BR76" s="75"/>
      <c r="BT76" s="88">
        <v>228.89097421203439</v>
      </c>
      <c r="BU76" s="329"/>
      <c r="BV76" s="45"/>
      <c r="BW76" s="227">
        <f t="shared" si="86"/>
        <v>228.89097421203439</v>
      </c>
      <c r="BY76" s="72">
        <v>45900</v>
      </c>
      <c r="BZ76" s="77">
        <v>605.07000000000005</v>
      </c>
      <c r="CA76" s="78">
        <v>159.04</v>
      </c>
      <c r="CB76" s="75"/>
      <c r="CC76" s="74"/>
      <c r="CE76" s="216"/>
      <c r="CF76" s="329"/>
      <c r="CG76" s="45"/>
      <c r="CH76" s="227">
        <f t="shared" si="87"/>
        <v>0</v>
      </c>
      <c r="CJ76" s="72">
        <v>45900</v>
      </c>
      <c r="CK76" s="73">
        <v>3566.14</v>
      </c>
      <c r="CL76" s="73">
        <v>630.55999999999995</v>
      </c>
      <c r="CM76" s="75"/>
      <c r="CN76" s="74">
        <v>0</v>
      </c>
      <c r="CP76" s="88"/>
      <c r="CQ76" s="329"/>
      <c r="CR76" s="45"/>
      <c r="CS76" s="227">
        <f t="shared" si="88"/>
        <v>0</v>
      </c>
      <c r="CU76" s="72">
        <v>45900</v>
      </c>
      <c r="CV76" s="73">
        <v>821.92</v>
      </c>
      <c r="CW76" s="80">
        <v>287.33</v>
      </c>
      <c r="CX76" s="75"/>
      <c r="CY76" s="74">
        <v>241.69</v>
      </c>
      <c r="DA76" s="88">
        <v>1750.2800000000038</v>
      </c>
      <c r="DB76" s="45"/>
      <c r="DC76" s="45"/>
      <c r="DD76" s="227">
        <f t="shared" si="89"/>
        <v>1991.9700000000039</v>
      </c>
      <c r="DG76" s="72">
        <v>45900</v>
      </c>
      <c r="DH76" s="73">
        <v>1810.43</v>
      </c>
      <c r="DI76" s="80">
        <v>191.87</v>
      </c>
      <c r="DJ76" s="80"/>
      <c r="DK76" s="74">
        <v>4</v>
      </c>
      <c r="DM76" s="88"/>
      <c r="DN76" s="45"/>
      <c r="DO76" s="45"/>
      <c r="DP76" s="227">
        <f t="shared" si="90"/>
        <v>4</v>
      </c>
      <c r="DR76" s="72">
        <v>45900</v>
      </c>
      <c r="DS76" s="73">
        <v>988.16</v>
      </c>
      <c r="DT76" s="80">
        <v>1101.42</v>
      </c>
      <c r="DU76" s="80"/>
      <c r="DV76" s="74">
        <v>6</v>
      </c>
      <c r="DX76" s="216"/>
      <c r="DY76" s="45"/>
      <c r="DZ76" s="45"/>
      <c r="EA76" s="227">
        <f t="shared" si="91"/>
        <v>6</v>
      </c>
      <c r="EC76" s="72">
        <v>45900</v>
      </c>
      <c r="ED76" s="73">
        <v>1083.6600000000001</v>
      </c>
      <c r="EE76" s="80">
        <v>782.94</v>
      </c>
      <c r="EF76" s="80"/>
      <c r="EG76" s="74">
        <v>13.52</v>
      </c>
      <c r="EI76" s="88">
        <v>107.11333000000005</v>
      </c>
      <c r="EJ76" s="328"/>
      <c r="EK76" s="336"/>
      <c r="EL76" s="227">
        <f t="shared" si="92"/>
        <v>120.63333000000004</v>
      </c>
      <c r="EN76" s="72">
        <v>45900</v>
      </c>
      <c r="EO76" s="73">
        <v>1819.81</v>
      </c>
      <c r="EP76" s="85">
        <v>232.67</v>
      </c>
      <c r="EQ76" s="80"/>
      <c r="ER76" s="239">
        <v>0</v>
      </c>
      <c r="ET76" s="88">
        <v>94.138349999999946</v>
      </c>
      <c r="EU76" s="328">
        <v>15.265000000000001</v>
      </c>
      <c r="EV76" s="45"/>
      <c r="EW76" s="227">
        <f t="shared" si="93"/>
        <v>109.40334999999995</v>
      </c>
      <c r="EY76" s="72">
        <v>45900</v>
      </c>
      <c r="EZ76" s="73">
        <v>474.1</v>
      </c>
      <c r="FA76" s="73">
        <v>197.42</v>
      </c>
      <c r="FB76" s="75"/>
      <c r="FC76" s="74"/>
      <c r="FE76" s="216"/>
      <c r="FF76" s="45"/>
      <c r="FG76" s="45"/>
      <c r="FH76" s="227">
        <f t="shared" si="94"/>
        <v>0</v>
      </c>
    </row>
    <row r="77" spans="2:164" s="321" customFormat="1" ht="15.75" thickBot="1" x14ac:dyDescent="0.3">
      <c r="C77" s="86">
        <f>SUM(C46:C76)</f>
        <v>346994.86</v>
      </c>
      <c r="D77" s="86">
        <f>SUM(D46:D76)</f>
        <v>0</v>
      </c>
      <c r="F77" s="86">
        <f>SUM(F46:F76)</f>
        <v>1351.41</v>
      </c>
      <c r="G77" s="326"/>
      <c r="H77" s="323">
        <f t="shared" ref="H77" si="99">SUM(H46:H76)</f>
        <v>128.99999999999997</v>
      </c>
      <c r="I77" s="324">
        <f t="shared" ref="I77" si="100">SUM(I46:I76)</f>
        <v>0</v>
      </c>
      <c r="J77" s="324">
        <f t="shared" ref="J77" si="101">SUM(J46:J76)</f>
        <v>0</v>
      </c>
      <c r="K77" s="324">
        <f t="shared" ref="K77" si="102">SUM(K46:K76)</f>
        <v>1480.41</v>
      </c>
      <c r="N77" s="86">
        <f>SUM(N46:N76)</f>
        <v>105899.42000000001</v>
      </c>
      <c r="O77" s="86"/>
      <c r="P77" s="86">
        <f>SUM(P46:P76)</f>
        <v>787.83000000000015</v>
      </c>
      <c r="Q77" s="326"/>
      <c r="R77" s="323">
        <f t="shared" ref="R77" si="103">SUM(R46:R76)</f>
        <v>0</v>
      </c>
      <c r="S77" s="324">
        <f t="shared" ref="S77" si="104">SUM(S46:S76)</f>
        <v>0</v>
      </c>
      <c r="T77" s="324">
        <f t="shared" ref="T77" si="105">SUM(T46:T76)</f>
        <v>0</v>
      </c>
      <c r="U77" s="324">
        <f t="shared" ref="U77" si="106">SUM(U46:U76)</f>
        <v>787.83000000000015</v>
      </c>
      <c r="X77" s="86">
        <f>SUM(X46:X76)</f>
        <v>43721.44999999999</v>
      </c>
      <c r="Y77" s="86">
        <f>SUM(Y46:Y76)</f>
        <v>5016.59</v>
      </c>
      <c r="AA77" s="86">
        <f>SUM(AA46:AA75)</f>
        <v>0</v>
      </c>
      <c r="AB77" s="326"/>
      <c r="AC77" s="323">
        <f t="shared" ref="AC77" si="107">SUM(AC46:AC76)</f>
        <v>320.26978999999994</v>
      </c>
      <c r="AD77" s="324">
        <f t="shared" ref="AD77" si="108">SUM(AD46:AD76)</f>
        <v>195.01154</v>
      </c>
      <c r="AE77" s="324">
        <f t="shared" ref="AE77" si="109">SUM(AE46:AE76)</f>
        <v>0</v>
      </c>
      <c r="AF77" s="324">
        <f t="shared" ref="AF77" si="110">SUM(AF46:AF76)</f>
        <v>515.28133000000003</v>
      </c>
      <c r="AJ77" s="86">
        <f>SUM(AJ46:AJ76)</f>
        <v>43840.62</v>
      </c>
      <c r="AM77" s="326"/>
      <c r="AN77" s="323">
        <f t="shared" ref="AN77" si="111">SUM(AN46:AN76)</f>
        <v>0</v>
      </c>
      <c r="AO77" s="324">
        <f t="shared" ref="AO77" si="112">SUM(AO46:AO76)</f>
        <v>0</v>
      </c>
      <c r="AP77" s="324">
        <f t="shared" ref="AP77" si="113">SUM(AP46:AP76)</f>
        <v>0</v>
      </c>
      <c r="AQ77" s="324">
        <f t="shared" ref="AQ77" si="114">SUM(AQ46:AQ76)</f>
        <v>0</v>
      </c>
      <c r="AT77" s="86">
        <f>SUM(AT46:AT76)</f>
        <v>104396.72</v>
      </c>
      <c r="AV77" s="86">
        <f>SUM(AV46:AV76)</f>
        <v>0</v>
      </c>
      <c r="AW77" s="326"/>
      <c r="AX77" s="323">
        <f t="shared" ref="AX77" si="115">SUM(AX46:AX76)</f>
        <v>0</v>
      </c>
      <c r="AY77" s="324">
        <f t="shared" ref="AY77" si="116">SUM(AY46:AY76)</f>
        <v>0</v>
      </c>
      <c r="AZ77" s="324">
        <f t="shared" ref="AZ77" si="117">SUM(AZ46:AZ76)</f>
        <v>0</v>
      </c>
      <c r="BA77" s="324">
        <f t="shared" ref="BA77" si="118">SUM(BA46:BA76)</f>
        <v>0</v>
      </c>
      <c r="BD77" s="86">
        <f>SUM(BD46:BD76)</f>
        <v>91932.310000000012</v>
      </c>
      <c r="BF77" s="86">
        <f>SUM(BF46:BF76)</f>
        <v>263.93</v>
      </c>
      <c r="BG77" s="326"/>
      <c r="BH77" s="323">
        <f t="shared" ref="BH77" si="119">SUM(BH46:BH76)</f>
        <v>169.01625999999987</v>
      </c>
      <c r="BI77" s="324">
        <f t="shared" ref="BI77" si="120">SUM(BI46:BI76)</f>
        <v>0</v>
      </c>
      <c r="BJ77" s="324">
        <f t="shared" ref="BJ77" si="121">SUM(BJ46:BJ76)</f>
        <v>0</v>
      </c>
      <c r="BK77" s="324">
        <f t="shared" ref="BK77" si="122">SUM(BK46:BK76)</f>
        <v>432.94625999999988</v>
      </c>
      <c r="BN77" s="86">
        <f>SUM(BN46:BN76)</f>
        <v>393315.34</v>
      </c>
      <c r="BO77" s="86">
        <f>SUM(BO46:BO76)</f>
        <v>84236.409999999989</v>
      </c>
      <c r="BP77" s="86">
        <f>SUM(BP46:BP76)</f>
        <v>235737.78</v>
      </c>
      <c r="BQ77" s="86">
        <f>SUM(BQ46:BQ76)</f>
        <v>0</v>
      </c>
      <c r="BR77" s="86">
        <f>SUM(BR46:BR76)</f>
        <v>0</v>
      </c>
      <c r="BS77" s="326"/>
      <c r="BT77" s="323">
        <f t="shared" ref="BT77" si="123">SUM(BT46:BT76)</f>
        <v>4532.5011531291429</v>
      </c>
      <c r="BU77" s="324">
        <f t="shared" ref="BU77" si="124">SUM(BU46:BU76)</f>
        <v>7149.8307999999997</v>
      </c>
      <c r="BV77" s="324">
        <f t="shared" ref="BV77" si="125">SUM(BV46:BV76)</f>
        <v>0</v>
      </c>
      <c r="BW77" s="324">
        <f t="shared" ref="BW77" si="126">SUM(BW46:BW76)</f>
        <v>11682.331953129142</v>
      </c>
      <c r="BZ77" s="86">
        <f>SUM(BZ46:BZ76)</f>
        <v>48670.68</v>
      </c>
      <c r="CA77" s="86">
        <f>SUM(CA46:CA76)</f>
        <v>17209.349999999999</v>
      </c>
      <c r="CC77" s="86"/>
      <c r="CD77" s="326"/>
      <c r="CE77" s="323">
        <f t="shared" ref="CE77" si="127">SUM(CE46:CE76)</f>
        <v>0</v>
      </c>
      <c r="CF77" s="324">
        <f t="shared" ref="CF77" si="128">SUM(CF46:CF76)</f>
        <v>712.21209000000056</v>
      </c>
      <c r="CG77" s="324">
        <f t="shared" ref="CG77" si="129">SUM(CG46:CG76)</f>
        <v>0</v>
      </c>
      <c r="CH77" s="324">
        <f t="shared" ref="CH77" si="130">SUM(CH46:CH76)</f>
        <v>712.21209000000056</v>
      </c>
      <c r="CK77" s="86">
        <f>SUM(CK46:CK76)</f>
        <v>151769.32999999999</v>
      </c>
      <c r="CL77" s="86">
        <f>SUM(CL46:CL76)</f>
        <v>20676.529999999995</v>
      </c>
      <c r="CN77" s="86">
        <f>SUM(CN46:CN76)</f>
        <v>320.91000000000003</v>
      </c>
      <c r="CO77" s="326"/>
      <c r="CP77" s="323">
        <f t="shared" ref="CP77" si="131">SUM(CP46:CP76)</f>
        <v>718.2427000000007</v>
      </c>
      <c r="CQ77" s="324">
        <f t="shared" ref="CQ77" si="132">SUM(CQ46:CQ76)</f>
        <v>244.27403000000012</v>
      </c>
      <c r="CR77" s="324">
        <f t="shared" ref="CR77" si="133">SUM(CR46:CR76)</f>
        <v>0</v>
      </c>
      <c r="CS77" s="324">
        <f t="shared" ref="CS77" si="134">SUM(CS46:CS76)</f>
        <v>1283.4267300000008</v>
      </c>
      <c r="CV77" s="86">
        <f>SUM(CV46:CV76)</f>
        <v>234603.09000000003</v>
      </c>
      <c r="CW77" s="86">
        <f>SUM(CW46:CW76)</f>
        <v>24832.480000000003</v>
      </c>
      <c r="CY77" s="86">
        <f>SUM(CY46:CY76)</f>
        <v>6154.2300000000005</v>
      </c>
      <c r="CZ77" s="326"/>
      <c r="DA77" s="323">
        <f t="shared" ref="DA77" si="135">SUM(DA46:DA76)</f>
        <v>9495.5786000000007</v>
      </c>
      <c r="DB77" s="324">
        <f t="shared" ref="DB77" si="136">SUM(DB46:DB76)</f>
        <v>0</v>
      </c>
      <c r="DC77" s="324">
        <f t="shared" ref="DC77" si="137">SUM(DC46:DC76)</f>
        <v>0</v>
      </c>
      <c r="DD77" s="324">
        <f t="shared" ref="DD77" si="138">SUM(DD46:DD76)</f>
        <v>15649.8086</v>
      </c>
      <c r="DH77" s="86">
        <f>SUM(DH46:DH76)</f>
        <v>45806.590000000004</v>
      </c>
      <c r="DI77" s="86">
        <f>SUM(DI46:DI76)</f>
        <v>12154.559999999998</v>
      </c>
      <c r="DK77" s="86">
        <f>SUM(DK46:DK76)</f>
        <v>239.01</v>
      </c>
      <c r="DL77" s="326"/>
      <c r="DM77" s="323">
        <f t="shared" ref="DM77" si="139">SUM(DM46:DM76)</f>
        <v>116.77608199999975</v>
      </c>
      <c r="DN77" s="324">
        <f t="shared" ref="DN77" si="140">SUM(DN46:DN76)</f>
        <v>0</v>
      </c>
      <c r="DO77" s="324">
        <f t="shared" ref="DO77" si="141">SUM(DO46:DO76)</f>
        <v>0</v>
      </c>
      <c r="DP77" s="324">
        <f t="shared" ref="DP77" si="142">SUM(DP46:DP76)</f>
        <v>355.78608199999974</v>
      </c>
      <c r="DS77" s="257">
        <f>SUM(DS46:DS76)</f>
        <v>33399.96</v>
      </c>
      <c r="DT77" s="86">
        <f>SUM(DT46:DT76)</f>
        <v>32831.430000000008</v>
      </c>
      <c r="DV77" s="257">
        <f>SUM(DV46:DV76)</f>
        <v>745.37</v>
      </c>
      <c r="DW77" s="326"/>
      <c r="DX77" s="323">
        <f t="shared" ref="DX77" si="143">SUM(DX46:DX76)</f>
        <v>0</v>
      </c>
      <c r="DY77" s="324">
        <f t="shared" ref="DY77" si="144">SUM(DY46:DY76)</f>
        <v>0</v>
      </c>
      <c r="DZ77" s="324">
        <f t="shared" ref="DZ77" si="145">SUM(DZ46:DZ76)</f>
        <v>0</v>
      </c>
      <c r="EA77" s="324">
        <f t="shared" ref="EA77" si="146">SUM(EA46:EA76)</f>
        <v>745.37</v>
      </c>
      <c r="ED77" s="86">
        <f>SUM(ED46:ED76)</f>
        <v>29653.51</v>
      </c>
      <c r="EE77" s="86">
        <f>SUM(EE46:EE76)</f>
        <v>24871.050000000003</v>
      </c>
      <c r="EG77" s="86">
        <f>SUM(EG46:EG76)</f>
        <v>257.75</v>
      </c>
      <c r="EH77" s="326"/>
      <c r="EI77" s="323">
        <f t="shared" ref="EI77" si="147">SUM(EI46:EI76)</f>
        <v>24910.266500000005</v>
      </c>
      <c r="EJ77" s="324">
        <f t="shared" ref="EJ77" si="148">SUM(EJ46:EJ76)</f>
        <v>1943.3573300000003</v>
      </c>
      <c r="EK77" s="324">
        <f t="shared" ref="EK77" si="149">SUM(EK46:EK76)</f>
        <v>70.694010400000053</v>
      </c>
      <c r="EL77" s="324">
        <f t="shared" ref="EL77" si="150">SUM(EL46:EL76)</f>
        <v>27182.067840400003</v>
      </c>
      <c r="EN77" s="325"/>
      <c r="EO77" s="86">
        <f>SUM(EO46:EO76)</f>
        <v>104520.92</v>
      </c>
      <c r="EP77" s="86">
        <f>SUM(EP46:EP76)</f>
        <v>8533.67</v>
      </c>
      <c r="ER77" s="86">
        <f>SUM(ER46:ER76)</f>
        <v>4702.2099999999991</v>
      </c>
      <c r="ES77" s="326"/>
      <c r="ET77" s="323">
        <f t="shared" ref="ET77" si="151">SUM(ET46:ET76)</f>
        <v>791.22954999999956</v>
      </c>
      <c r="EU77" s="324">
        <f t="shared" ref="EU77" si="152">SUM(EU46:EU76)</f>
        <v>3116.0934099999995</v>
      </c>
      <c r="EV77" s="324">
        <f t="shared" ref="EV77" si="153">SUM(EV46:EV76)</f>
        <v>0</v>
      </c>
      <c r="EW77" s="324">
        <f t="shared" ref="EW77" si="154">SUM(EW46:EW76)</f>
        <v>8609.5329599999986</v>
      </c>
      <c r="EZ77" s="86">
        <f>SUM(EZ46:EZ76)</f>
        <v>22505.279999999999</v>
      </c>
      <c r="FA77" s="86">
        <f>SUM(FA46:FA76)</f>
        <v>6324.0700000000006</v>
      </c>
      <c r="FC77" s="86">
        <f>SUM(FC46:FC76)</f>
        <v>0</v>
      </c>
      <c r="FD77" s="326"/>
      <c r="FE77" s="323">
        <f t="shared" ref="FE77" si="155">SUM(FE46:FE76)</f>
        <v>0</v>
      </c>
      <c r="FF77" s="324">
        <f t="shared" ref="FF77" si="156">SUM(FF46:FF76)</f>
        <v>0</v>
      </c>
      <c r="FG77" s="324">
        <f t="shared" ref="FG77" si="157">SUM(FG46:FG76)</f>
        <v>0</v>
      </c>
      <c r="FH77" s="324">
        <f t="shared" ref="FH77" si="158">SUM(FH46:FH76)</f>
        <v>0</v>
      </c>
    </row>
    <row r="78" spans="2:164" x14ac:dyDescent="0.25">
      <c r="DS78" s="90"/>
      <c r="EN78" s="87"/>
    </row>
    <row r="79" spans="2:164" x14ac:dyDescent="0.25">
      <c r="DS79" s="90"/>
      <c r="EN79" s="87"/>
    </row>
  </sheetData>
  <mergeCells count="8">
    <mergeCell ref="BC42:BK42"/>
    <mergeCell ref="M42:P42"/>
    <mergeCell ref="AI42:AQ42"/>
    <mergeCell ref="AS42:BA42"/>
    <mergeCell ref="BC2:BK2"/>
    <mergeCell ref="M2:P2"/>
    <mergeCell ref="AI2:AQ2"/>
    <mergeCell ref="AS2:B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X74"/>
  <sheetViews>
    <sheetView topLeftCell="DT1" zoomScaleNormal="100" workbookViewId="0">
      <selection activeCell="EU1" sqref="EU1:EX1048576"/>
    </sheetView>
  </sheetViews>
  <sheetFormatPr baseColWidth="10" defaultColWidth="11" defaultRowHeight="15" x14ac:dyDescent="0.25"/>
  <cols>
    <col min="2" max="2" width="19.140625" customWidth="1"/>
    <col min="3" max="3" width="16.42578125" customWidth="1"/>
    <col min="4" max="4" width="15.140625" customWidth="1"/>
    <col min="5" max="5" width="11.140625" bestFit="1" customWidth="1"/>
    <col min="6" max="6" width="20.28515625" customWidth="1"/>
    <col min="7" max="7" width="1.42578125" customWidth="1"/>
    <col min="8" max="11" width="11.140625" hidden="1" customWidth="1"/>
    <col min="14" max="14" width="15.28515625" customWidth="1"/>
    <col min="15" max="15" width="13.85546875" customWidth="1"/>
    <col min="16" max="16" width="10.85546875" customWidth="1"/>
    <col min="17" max="17" width="11.5703125" customWidth="1"/>
    <col min="18" max="18" width="1.42578125" customWidth="1"/>
    <col min="19" max="22" width="11.140625" hidden="1" customWidth="1"/>
    <col min="25" max="25" width="18.140625" customWidth="1"/>
    <col min="26" max="26" width="15.85546875" customWidth="1"/>
    <col min="27" max="27" width="11.42578125" customWidth="1"/>
    <col min="28" max="28" width="13.7109375" customWidth="1"/>
    <col min="29" max="29" width="1.28515625" customWidth="1"/>
    <col min="30" max="30" width="12.85546875" hidden="1" customWidth="1"/>
    <col min="31" max="32" width="11.140625" hidden="1" customWidth="1"/>
    <col min="33" max="33" width="13" hidden="1" customWidth="1"/>
    <col min="36" max="36" width="18.140625" customWidth="1"/>
    <col min="37" max="37" width="13.140625" customWidth="1"/>
    <col min="38" max="38" width="10.140625" customWidth="1"/>
    <col min="39" max="39" width="10.28515625" customWidth="1"/>
    <col min="40" max="40" width="1.28515625" customWidth="1"/>
    <col min="41" max="44" width="11.140625" hidden="1" customWidth="1"/>
    <col min="47" max="47" width="17.42578125" customWidth="1"/>
    <col min="48" max="48" width="13.85546875" customWidth="1"/>
    <col min="49" max="49" width="10.5703125" customWidth="1"/>
    <col min="50" max="50" width="15.140625" customWidth="1"/>
    <col min="51" max="51" width="1.28515625" customWidth="1"/>
    <col min="52" max="52" width="13" hidden="1" customWidth="1"/>
    <col min="53" max="54" width="11.140625" hidden="1" customWidth="1"/>
    <col min="55" max="55" width="13" hidden="1" customWidth="1"/>
    <col min="58" max="58" width="18.42578125" customWidth="1"/>
    <col min="59" max="59" width="16" customWidth="1"/>
    <col min="60" max="60" width="10.5703125" customWidth="1"/>
    <col min="61" max="61" width="13.42578125" customWidth="1"/>
    <col min="62" max="62" width="1.28515625" customWidth="1"/>
    <col min="63" max="66" width="11.140625" hidden="1" customWidth="1"/>
    <col min="69" max="69" width="15.28515625" customWidth="1"/>
    <col min="70" max="70" width="15.5703125" customWidth="1"/>
    <col min="71" max="71" width="9.5703125" customWidth="1"/>
    <col min="72" max="72" width="10.28515625" customWidth="1"/>
    <col min="73" max="73" width="1.28515625" customWidth="1"/>
    <col min="74" max="77" width="11.140625" hidden="1" customWidth="1"/>
    <col min="80" max="80" width="18.7109375" customWidth="1"/>
    <col min="81" max="81" width="15.7109375" customWidth="1"/>
    <col min="82" max="82" width="11" customWidth="1"/>
    <col min="83" max="83" width="11.28515625" customWidth="1"/>
    <col min="84" max="84" width="1.28515625" customWidth="1"/>
    <col min="85" max="88" width="11.140625" hidden="1" customWidth="1"/>
    <col min="91" max="91" width="17.140625" customWidth="1"/>
    <col min="92" max="92" width="18" customWidth="1"/>
    <col min="93" max="93" width="14.28515625" customWidth="1"/>
    <col min="94" max="94" width="14.7109375" customWidth="1"/>
    <col min="95" max="95" width="1.28515625" customWidth="1"/>
    <col min="96" max="99" width="11.140625" hidden="1" customWidth="1"/>
    <col min="102" max="102" width="15.42578125" customWidth="1"/>
    <col min="103" max="103" width="14.85546875" customWidth="1"/>
    <col min="104" max="104" width="14.7109375" customWidth="1"/>
    <col min="105" max="105" width="14" customWidth="1"/>
    <col min="106" max="106" width="1.28515625" customWidth="1"/>
    <col min="107" max="107" width="11.140625" hidden="1" customWidth="1"/>
    <col min="108" max="108" width="11" hidden="1" customWidth="1"/>
    <col min="109" max="110" width="11.140625" hidden="1" customWidth="1"/>
    <col min="113" max="113" width="15" customWidth="1"/>
    <col min="114" max="114" width="14.5703125" customWidth="1"/>
    <col min="115" max="115" width="10.85546875" customWidth="1"/>
    <col min="116" max="116" width="13.140625" customWidth="1"/>
    <col min="117" max="117" width="1.28515625" customWidth="1"/>
    <col min="118" max="121" width="11.140625" hidden="1" customWidth="1"/>
    <col min="124" max="124" width="18.5703125" customWidth="1"/>
    <col min="125" max="125" width="15" customWidth="1"/>
    <col min="126" max="126" width="10.28515625" customWidth="1"/>
    <col min="127" max="127" width="11.140625" customWidth="1"/>
    <col min="128" max="128" width="1.28515625" customWidth="1"/>
    <col min="129" max="131" width="11.140625" hidden="1" customWidth="1"/>
    <col min="132" max="132" width="12.140625" hidden="1" customWidth="1"/>
    <col min="135" max="135" width="18.28515625" customWidth="1"/>
    <col min="136" max="136" width="16.140625" customWidth="1"/>
    <col min="137" max="137" width="11.140625" bestFit="1" customWidth="1"/>
    <col min="138" max="138" width="13.42578125" customWidth="1"/>
    <col min="139" max="139" width="1.28515625" customWidth="1"/>
    <col min="140" max="142" width="11.140625" hidden="1" customWidth="1"/>
    <col min="143" max="143" width="13.140625" hidden="1" customWidth="1"/>
    <col min="146" max="146" width="15.42578125" customWidth="1"/>
    <col min="147" max="147" width="16.140625" customWidth="1"/>
    <col min="148" max="148" width="10.7109375" customWidth="1"/>
    <col min="149" max="149" width="11.42578125" customWidth="1"/>
    <col min="150" max="150" width="1.28515625" customWidth="1"/>
    <col min="151" max="154" width="11.140625" hidden="1" customWidth="1"/>
  </cols>
  <sheetData>
    <row r="1" spans="1:154" ht="21" x14ac:dyDescent="0.35">
      <c r="B1" s="91" t="s">
        <v>39</v>
      </c>
      <c r="N1" s="91" t="s">
        <v>40</v>
      </c>
      <c r="Y1" s="91" t="s">
        <v>41</v>
      </c>
      <c r="AJ1" s="91" t="s">
        <v>42</v>
      </c>
      <c r="AU1" s="91" t="s">
        <v>43</v>
      </c>
      <c r="BF1" s="91" t="s">
        <v>44</v>
      </c>
      <c r="BQ1" s="91" t="s">
        <v>45</v>
      </c>
      <c r="CB1" s="91" t="s">
        <v>46</v>
      </c>
      <c r="CM1" s="91" t="s">
        <v>47</v>
      </c>
      <c r="CX1" s="91" t="s">
        <v>48</v>
      </c>
      <c r="DI1" s="91" t="s">
        <v>49</v>
      </c>
      <c r="DT1" s="91" t="s">
        <v>50</v>
      </c>
      <c r="EE1" s="91" t="s">
        <v>51</v>
      </c>
      <c r="EP1" s="91" t="s">
        <v>52</v>
      </c>
    </row>
    <row r="2" spans="1:154" ht="15.75" thickBot="1" x14ac:dyDescent="0.3"/>
    <row r="3" spans="1:154" x14ac:dyDescent="0.25">
      <c r="A3" s="92" t="s">
        <v>15</v>
      </c>
      <c r="B3" s="93" t="s">
        <v>16</v>
      </c>
      <c r="C3" s="94" t="s">
        <v>16</v>
      </c>
      <c r="D3" s="94" t="s">
        <v>16</v>
      </c>
      <c r="E3" s="95" t="s">
        <v>17</v>
      </c>
      <c r="F3" s="95" t="s">
        <v>17</v>
      </c>
      <c r="G3" s="212"/>
      <c r="H3" s="232" t="s">
        <v>17</v>
      </c>
      <c r="I3" s="233" t="s">
        <v>17</v>
      </c>
      <c r="J3" s="234" t="s">
        <v>17</v>
      </c>
      <c r="K3" s="223" t="s">
        <v>23</v>
      </c>
      <c r="M3" s="92" t="s">
        <v>15</v>
      </c>
      <c r="N3" s="93" t="s">
        <v>16</v>
      </c>
      <c r="O3" s="94" t="s">
        <v>16</v>
      </c>
      <c r="P3" s="95" t="s">
        <v>17</v>
      </c>
      <c r="Q3" s="96" t="s">
        <v>17</v>
      </c>
      <c r="R3" s="212"/>
      <c r="S3" s="232" t="s">
        <v>17</v>
      </c>
      <c r="T3" s="233" t="s">
        <v>17</v>
      </c>
      <c r="U3" s="234" t="s">
        <v>17</v>
      </c>
      <c r="V3" s="223" t="s">
        <v>23</v>
      </c>
      <c r="X3" s="92" t="s">
        <v>15</v>
      </c>
      <c r="Y3" s="93" t="s">
        <v>16</v>
      </c>
      <c r="Z3" s="94" t="s">
        <v>16</v>
      </c>
      <c r="AA3" s="94" t="s">
        <v>17</v>
      </c>
      <c r="AB3" s="96" t="s">
        <v>17</v>
      </c>
      <c r="AC3" s="212"/>
      <c r="AD3" s="232" t="s">
        <v>17</v>
      </c>
      <c r="AE3" s="233" t="s">
        <v>17</v>
      </c>
      <c r="AF3" s="234" t="s">
        <v>17</v>
      </c>
      <c r="AG3" s="223" t="s">
        <v>23</v>
      </c>
      <c r="AI3" s="92" t="s">
        <v>15</v>
      </c>
      <c r="AJ3" s="93" t="s">
        <v>16</v>
      </c>
      <c r="AK3" s="94" t="s">
        <v>16</v>
      </c>
      <c r="AL3" s="95" t="s">
        <v>17</v>
      </c>
      <c r="AM3" s="96" t="s">
        <v>17</v>
      </c>
      <c r="AN3" s="212"/>
      <c r="AO3" s="232" t="s">
        <v>17</v>
      </c>
      <c r="AP3" s="233" t="s">
        <v>17</v>
      </c>
      <c r="AQ3" s="234" t="s">
        <v>17</v>
      </c>
      <c r="AR3" s="223" t="s">
        <v>23</v>
      </c>
      <c r="AT3" s="92" t="s">
        <v>15</v>
      </c>
      <c r="AU3" s="93" t="s">
        <v>16</v>
      </c>
      <c r="AV3" s="94" t="s">
        <v>16</v>
      </c>
      <c r="AW3" s="95" t="s">
        <v>17</v>
      </c>
      <c r="AX3" s="96" t="s">
        <v>17</v>
      </c>
      <c r="AY3" s="212"/>
      <c r="AZ3" s="232" t="s">
        <v>17</v>
      </c>
      <c r="BA3" s="233" t="s">
        <v>17</v>
      </c>
      <c r="BB3" s="234" t="s">
        <v>17</v>
      </c>
      <c r="BC3" s="223" t="s">
        <v>23</v>
      </c>
      <c r="BE3" s="92" t="s">
        <v>15</v>
      </c>
      <c r="BF3" s="93" t="s">
        <v>16</v>
      </c>
      <c r="BG3" s="94" t="s">
        <v>16</v>
      </c>
      <c r="BH3" s="95" t="s">
        <v>17</v>
      </c>
      <c r="BI3" s="96" t="s">
        <v>17</v>
      </c>
      <c r="BJ3" s="212"/>
      <c r="BK3" s="232" t="s">
        <v>17</v>
      </c>
      <c r="BL3" s="233" t="s">
        <v>17</v>
      </c>
      <c r="BM3" s="234" t="s">
        <v>17</v>
      </c>
      <c r="BN3" s="223" t="s">
        <v>23</v>
      </c>
      <c r="BP3" s="92" t="s">
        <v>15</v>
      </c>
      <c r="BQ3" s="93" t="s">
        <v>16</v>
      </c>
      <c r="BR3" s="94" t="s">
        <v>16</v>
      </c>
      <c r="BS3" s="95" t="s">
        <v>17</v>
      </c>
      <c r="BT3" s="96" t="s">
        <v>17</v>
      </c>
      <c r="BU3" s="212"/>
      <c r="BV3" s="232" t="s">
        <v>17</v>
      </c>
      <c r="BW3" s="233" t="s">
        <v>17</v>
      </c>
      <c r="BX3" s="234" t="s">
        <v>17</v>
      </c>
      <c r="BY3" s="223" t="s">
        <v>23</v>
      </c>
      <c r="CA3" s="92" t="s">
        <v>15</v>
      </c>
      <c r="CB3" s="93" t="s">
        <v>16</v>
      </c>
      <c r="CC3" s="94" t="s">
        <v>16</v>
      </c>
      <c r="CD3" s="95" t="s">
        <v>17</v>
      </c>
      <c r="CE3" s="95" t="s">
        <v>17</v>
      </c>
      <c r="CF3" s="212"/>
      <c r="CG3" s="232" t="s">
        <v>17</v>
      </c>
      <c r="CH3" s="233" t="s">
        <v>17</v>
      </c>
      <c r="CI3" s="234" t="s">
        <v>17</v>
      </c>
      <c r="CJ3" s="223" t="s">
        <v>23</v>
      </c>
      <c r="CL3" s="92" t="s">
        <v>15</v>
      </c>
      <c r="CM3" s="93" t="s">
        <v>16</v>
      </c>
      <c r="CN3" s="94" t="s">
        <v>16</v>
      </c>
      <c r="CO3" s="95" t="s">
        <v>17</v>
      </c>
      <c r="CP3" s="96" t="s">
        <v>17</v>
      </c>
      <c r="CQ3" s="212"/>
      <c r="CR3" s="232" t="s">
        <v>17</v>
      </c>
      <c r="CS3" s="233" t="s">
        <v>17</v>
      </c>
      <c r="CT3" s="234" t="s">
        <v>17</v>
      </c>
      <c r="CU3" s="223" t="s">
        <v>23</v>
      </c>
      <c r="CW3" s="92" t="s">
        <v>15</v>
      </c>
      <c r="CX3" s="93" t="s">
        <v>16</v>
      </c>
      <c r="CY3" s="94" t="s">
        <v>16</v>
      </c>
      <c r="CZ3" s="95" t="s">
        <v>17</v>
      </c>
      <c r="DA3" s="96" t="s">
        <v>17</v>
      </c>
      <c r="DB3" s="212"/>
      <c r="DC3" s="232" t="s">
        <v>17</v>
      </c>
      <c r="DD3" s="233" t="s">
        <v>17</v>
      </c>
      <c r="DE3" s="234" t="s">
        <v>17</v>
      </c>
      <c r="DF3" s="223" t="s">
        <v>23</v>
      </c>
      <c r="DH3" s="92" t="s">
        <v>15</v>
      </c>
      <c r="DI3" s="93" t="s">
        <v>16</v>
      </c>
      <c r="DJ3" s="94" t="s">
        <v>16</v>
      </c>
      <c r="DK3" s="95" t="s">
        <v>17</v>
      </c>
      <c r="DL3" s="96" t="s">
        <v>17</v>
      </c>
      <c r="DM3" s="212"/>
      <c r="DN3" s="232" t="s">
        <v>17</v>
      </c>
      <c r="DO3" s="233" t="s">
        <v>17</v>
      </c>
      <c r="DP3" s="234" t="s">
        <v>17</v>
      </c>
      <c r="DQ3" s="223" t="s">
        <v>23</v>
      </c>
      <c r="DS3" s="92" t="s">
        <v>15</v>
      </c>
      <c r="DT3" s="93" t="s">
        <v>16</v>
      </c>
      <c r="DU3" s="94" t="s">
        <v>16</v>
      </c>
      <c r="DV3" s="95" t="s">
        <v>17</v>
      </c>
      <c r="DW3" s="96" t="s">
        <v>17</v>
      </c>
      <c r="DX3" s="212"/>
      <c r="DY3" s="232" t="s">
        <v>17</v>
      </c>
      <c r="DZ3" s="233" t="s">
        <v>17</v>
      </c>
      <c r="EA3" s="234" t="s">
        <v>17</v>
      </c>
      <c r="EB3" s="223" t="s">
        <v>23</v>
      </c>
      <c r="ED3" s="92" t="s">
        <v>15</v>
      </c>
      <c r="EE3" s="93" t="s">
        <v>16</v>
      </c>
      <c r="EF3" s="94" t="s">
        <v>16</v>
      </c>
      <c r="EG3" s="95" t="s">
        <v>17</v>
      </c>
      <c r="EH3" s="96" t="s">
        <v>17</v>
      </c>
      <c r="EI3" s="212"/>
      <c r="EJ3" s="232" t="s">
        <v>17</v>
      </c>
      <c r="EK3" s="233" t="s">
        <v>17</v>
      </c>
      <c r="EL3" s="234" t="s">
        <v>17</v>
      </c>
      <c r="EM3" s="223" t="s">
        <v>23</v>
      </c>
      <c r="EO3" s="92" t="s">
        <v>15</v>
      </c>
      <c r="EP3" s="93" t="s">
        <v>16</v>
      </c>
      <c r="EQ3" s="94" t="s">
        <v>16</v>
      </c>
      <c r="ER3" s="95" t="s">
        <v>17</v>
      </c>
      <c r="ES3" s="96" t="s">
        <v>17</v>
      </c>
      <c r="ET3" s="212"/>
      <c r="EU3" s="232" t="s">
        <v>17</v>
      </c>
      <c r="EV3" s="233" t="s">
        <v>17</v>
      </c>
      <c r="EW3" s="234" t="s">
        <v>17</v>
      </c>
      <c r="EX3" s="223" t="s">
        <v>23</v>
      </c>
    </row>
    <row r="4" spans="1:154" ht="15.75" thickBot="1" x14ac:dyDescent="0.3">
      <c r="A4" s="97"/>
      <c r="B4" s="98" t="s">
        <v>19</v>
      </c>
      <c r="C4" s="99" t="s">
        <v>20</v>
      </c>
      <c r="D4" s="99" t="s">
        <v>22</v>
      </c>
      <c r="E4" s="100" t="s">
        <v>22</v>
      </c>
      <c r="F4" s="100" t="s">
        <v>63</v>
      </c>
      <c r="G4" s="212"/>
      <c r="H4" s="235" t="s">
        <v>64</v>
      </c>
      <c r="I4" s="236" t="s">
        <v>65</v>
      </c>
      <c r="J4" s="237" t="s">
        <v>66</v>
      </c>
      <c r="K4" s="238" t="s">
        <v>67</v>
      </c>
      <c r="M4" s="97"/>
      <c r="N4" s="98" t="s">
        <v>19</v>
      </c>
      <c r="O4" s="99" t="s">
        <v>20</v>
      </c>
      <c r="P4" s="100" t="s">
        <v>20</v>
      </c>
      <c r="Q4" s="101" t="s">
        <v>21</v>
      </c>
      <c r="R4" s="212"/>
      <c r="S4" s="235" t="s">
        <v>64</v>
      </c>
      <c r="T4" s="236" t="s">
        <v>65</v>
      </c>
      <c r="U4" s="237" t="s">
        <v>66</v>
      </c>
      <c r="V4" s="238" t="s">
        <v>67</v>
      </c>
      <c r="X4" s="97"/>
      <c r="Y4" s="98" t="s">
        <v>19</v>
      </c>
      <c r="Z4" s="99" t="s">
        <v>20</v>
      </c>
      <c r="AA4" s="99" t="s">
        <v>20</v>
      </c>
      <c r="AB4" s="101" t="s">
        <v>21</v>
      </c>
      <c r="AC4" s="212"/>
      <c r="AD4" s="235" t="s">
        <v>64</v>
      </c>
      <c r="AE4" s="236" t="s">
        <v>65</v>
      </c>
      <c r="AF4" s="237" t="s">
        <v>66</v>
      </c>
      <c r="AG4" s="240" t="s">
        <v>67</v>
      </c>
      <c r="AI4" s="97"/>
      <c r="AJ4" s="98" t="s">
        <v>19</v>
      </c>
      <c r="AK4" s="99" t="s">
        <v>20</v>
      </c>
      <c r="AL4" s="100" t="s">
        <v>20</v>
      </c>
      <c r="AM4" s="101" t="s">
        <v>21</v>
      </c>
      <c r="AN4" s="212"/>
      <c r="AO4" s="235" t="s">
        <v>64</v>
      </c>
      <c r="AP4" s="236" t="s">
        <v>65</v>
      </c>
      <c r="AQ4" s="237" t="s">
        <v>66</v>
      </c>
      <c r="AR4" s="240" t="s">
        <v>67</v>
      </c>
      <c r="AT4" s="97"/>
      <c r="AU4" s="98" t="s">
        <v>19</v>
      </c>
      <c r="AV4" s="99" t="s">
        <v>20</v>
      </c>
      <c r="AW4" s="100" t="s">
        <v>20</v>
      </c>
      <c r="AX4" s="101" t="s">
        <v>21</v>
      </c>
      <c r="AY4" s="212"/>
      <c r="AZ4" s="235" t="s">
        <v>64</v>
      </c>
      <c r="BA4" s="236" t="s">
        <v>65</v>
      </c>
      <c r="BB4" s="237" t="s">
        <v>66</v>
      </c>
      <c r="BC4" s="240" t="s">
        <v>67</v>
      </c>
      <c r="BE4" s="97"/>
      <c r="BF4" s="98" t="s">
        <v>19</v>
      </c>
      <c r="BG4" s="99" t="s">
        <v>20</v>
      </c>
      <c r="BH4" s="100" t="s">
        <v>20</v>
      </c>
      <c r="BI4" s="101" t="s">
        <v>21</v>
      </c>
      <c r="BJ4" s="212"/>
      <c r="BK4" s="235" t="s">
        <v>64</v>
      </c>
      <c r="BL4" s="236" t="s">
        <v>65</v>
      </c>
      <c r="BM4" s="237" t="s">
        <v>66</v>
      </c>
      <c r="BN4" s="240" t="s">
        <v>67</v>
      </c>
      <c r="BP4" s="97"/>
      <c r="BQ4" s="98" t="s">
        <v>19</v>
      </c>
      <c r="BR4" s="99" t="s">
        <v>20</v>
      </c>
      <c r="BS4" s="100" t="s">
        <v>20</v>
      </c>
      <c r="BT4" s="101" t="s">
        <v>21</v>
      </c>
      <c r="BU4" s="212"/>
      <c r="BV4" s="235" t="s">
        <v>64</v>
      </c>
      <c r="BW4" s="236" t="s">
        <v>65</v>
      </c>
      <c r="BX4" s="237" t="s">
        <v>66</v>
      </c>
      <c r="BY4" s="240" t="s">
        <v>67</v>
      </c>
      <c r="CA4" s="97"/>
      <c r="CB4" s="98" t="s">
        <v>19</v>
      </c>
      <c r="CC4" s="99" t="s">
        <v>20</v>
      </c>
      <c r="CD4" s="100" t="s">
        <v>20</v>
      </c>
      <c r="CE4" s="100" t="s">
        <v>21</v>
      </c>
      <c r="CF4" s="212"/>
      <c r="CG4" s="235" t="s">
        <v>64</v>
      </c>
      <c r="CH4" s="236" t="s">
        <v>65</v>
      </c>
      <c r="CI4" s="237" t="s">
        <v>66</v>
      </c>
      <c r="CJ4" s="240" t="s">
        <v>67</v>
      </c>
      <c r="CL4" s="97"/>
      <c r="CM4" s="98" t="s">
        <v>19</v>
      </c>
      <c r="CN4" s="99" t="s">
        <v>20</v>
      </c>
      <c r="CO4" s="100" t="s">
        <v>20</v>
      </c>
      <c r="CP4" s="101" t="s">
        <v>21</v>
      </c>
      <c r="CQ4" s="212"/>
      <c r="CR4" s="235" t="s">
        <v>64</v>
      </c>
      <c r="CS4" s="236" t="s">
        <v>65</v>
      </c>
      <c r="CT4" s="237" t="s">
        <v>66</v>
      </c>
      <c r="CU4" s="240" t="s">
        <v>67</v>
      </c>
      <c r="CW4" s="97"/>
      <c r="CX4" s="98" t="s">
        <v>19</v>
      </c>
      <c r="CY4" s="99" t="s">
        <v>20</v>
      </c>
      <c r="CZ4" s="100" t="s">
        <v>20</v>
      </c>
      <c r="DA4" s="101" t="s">
        <v>21</v>
      </c>
      <c r="DB4" s="212"/>
      <c r="DC4" s="235" t="s">
        <v>64</v>
      </c>
      <c r="DD4" s="236" t="s">
        <v>65</v>
      </c>
      <c r="DE4" s="237" t="s">
        <v>66</v>
      </c>
      <c r="DF4" s="240" t="s">
        <v>67</v>
      </c>
      <c r="DH4" s="97"/>
      <c r="DI4" s="98" t="s">
        <v>19</v>
      </c>
      <c r="DJ4" s="99" t="s">
        <v>20</v>
      </c>
      <c r="DK4" s="100" t="s">
        <v>20</v>
      </c>
      <c r="DL4" s="101" t="s">
        <v>21</v>
      </c>
      <c r="DM4" s="212"/>
      <c r="DN4" s="235" t="s">
        <v>64</v>
      </c>
      <c r="DO4" s="236" t="s">
        <v>65</v>
      </c>
      <c r="DP4" s="237" t="s">
        <v>66</v>
      </c>
      <c r="DQ4" s="240" t="s">
        <v>67</v>
      </c>
      <c r="DS4" s="97"/>
      <c r="DT4" s="98" t="s">
        <v>19</v>
      </c>
      <c r="DU4" s="99" t="s">
        <v>20</v>
      </c>
      <c r="DV4" s="100" t="s">
        <v>20</v>
      </c>
      <c r="DW4" s="101" t="s">
        <v>21</v>
      </c>
      <c r="DX4" s="212"/>
      <c r="DY4" s="235" t="s">
        <v>64</v>
      </c>
      <c r="DZ4" s="236" t="s">
        <v>65</v>
      </c>
      <c r="EA4" s="237" t="s">
        <v>66</v>
      </c>
      <c r="EB4" s="240" t="s">
        <v>67</v>
      </c>
      <c r="ED4" s="97"/>
      <c r="EE4" s="98" t="s">
        <v>19</v>
      </c>
      <c r="EF4" s="99" t="s">
        <v>20</v>
      </c>
      <c r="EG4" s="100" t="s">
        <v>20</v>
      </c>
      <c r="EH4" s="101" t="s">
        <v>21</v>
      </c>
      <c r="EI4" s="212"/>
      <c r="EJ4" s="235" t="s">
        <v>64</v>
      </c>
      <c r="EK4" s="236" t="s">
        <v>65</v>
      </c>
      <c r="EL4" s="237" t="s">
        <v>66</v>
      </c>
      <c r="EM4" s="240" t="s">
        <v>67</v>
      </c>
      <c r="EO4" s="97"/>
      <c r="EP4" s="98" t="s">
        <v>19</v>
      </c>
      <c r="EQ4" s="99" t="s">
        <v>20</v>
      </c>
      <c r="ER4" s="100" t="s">
        <v>20</v>
      </c>
      <c r="ES4" s="101" t="s">
        <v>21</v>
      </c>
      <c r="ET4" s="212"/>
      <c r="EU4" s="235" t="s">
        <v>64</v>
      </c>
      <c r="EV4" s="236" t="s">
        <v>65</v>
      </c>
      <c r="EW4" s="237" t="s">
        <v>66</v>
      </c>
      <c r="EX4" s="240" t="s">
        <v>67</v>
      </c>
    </row>
    <row r="5" spans="1:154" x14ac:dyDescent="0.25">
      <c r="A5" s="102">
        <v>44378</v>
      </c>
      <c r="B5" s="103">
        <v>16968.919999999998</v>
      </c>
      <c r="C5" s="104">
        <v>3421.19</v>
      </c>
      <c r="D5" s="103">
        <v>390.18</v>
      </c>
      <c r="E5" s="105">
        <v>84.49</v>
      </c>
      <c r="G5" s="204"/>
      <c r="H5" s="214"/>
      <c r="I5" s="15"/>
      <c r="J5" s="15"/>
      <c r="K5" s="225">
        <f>SUM(F5:J5)</f>
        <v>0</v>
      </c>
      <c r="M5" s="102">
        <v>44378</v>
      </c>
      <c r="N5" s="103">
        <v>4316.55</v>
      </c>
      <c r="O5" s="106">
        <v>563.19000000000005</v>
      </c>
      <c r="P5" s="103"/>
      <c r="Q5" s="104"/>
      <c r="R5" s="204"/>
      <c r="S5" s="88">
        <v>65.309200000000004</v>
      </c>
      <c r="T5" s="329"/>
      <c r="U5" s="15"/>
      <c r="V5" s="225">
        <f>SUM(Q5:U5)</f>
        <v>65.309200000000004</v>
      </c>
      <c r="X5" s="102">
        <v>44378</v>
      </c>
      <c r="Y5" s="103">
        <v>5741.61</v>
      </c>
      <c r="Z5" s="106">
        <v>1834.98</v>
      </c>
      <c r="AA5" s="106"/>
      <c r="AB5" s="104">
        <v>139.56</v>
      </c>
      <c r="AC5" s="204"/>
      <c r="AD5" s="88">
        <v>43.315882999999985</v>
      </c>
      <c r="AE5" s="15"/>
      <c r="AF5" s="15"/>
      <c r="AG5" s="225">
        <f>SUM(AB5:AF5)</f>
        <v>182.87588299999999</v>
      </c>
      <c r="AI5" s="102">
        <v>44378</v>
      </c>
      <c r="AJ5" s="103">
        <v>3198.65</v>
      </c>
      <c r="AK5" s="106">
        <v>1200.73</v>
      </c>
      <c r="AL5" s="103"/>
      <c r="AM5" s="104"/>
      <c r="AN5" s="204"/>
      <c r="AO5" s="214"/>
      <c r="AP5" s="15"/>
      <c r="AQ5" s="15"/>
      <c r="AR5" s="225">
        <f>SUM(AM5:AQ5)</f>
        <v>0</v>
      </c>
      <c r="AT5" s="102">
        <v>44378</v>
      </c>
      <c r="AU5" s="103">
        <v>416.94</v>
      </c>
      <c r="AV5" s="106">
        <v>221.18</v>
      </c>
      <c r="AW5" s="103"/>
      <c r="AX5" s="103"/>
      <c r="AY5" s="204"/>
      <c r="AZ5" s="88">
        <v>224.30968000000016</v>
      </c>
      <c r="BA5" s="15"/>
      <c r="BB5" s="15"/>
      <c r="BC5" s="225">
        <f>SUM(AX5:BB5)</f>
        <v>224.30968000000016</v>
      </c>
      <c r="BE5" s="102">
        <v>44378</v>
      </c>
      <c r="BF5" s="107">
        <v>4937.9799999999996</v>
      </c>
      <c r="BG5" s="107">
        <v>1087.75</v>
      </c>
      <c r="BH5" s="103"/>
      <c r="BI5" s="242">
        <v>0</v>
      </c>
      <c r="BJ5" s="204"/>
      <c r="BK5" s="88">
        <v>289.45425</v>
      </c>
      <c r="BL5" s="329"/>
      <c r="BM5" s="15"/>
      <c r="BN5" s="225">
        <f>SUM(BI5:BM5)</f>
        <v>289.45425</v>
      </c>
      <c r="BP5" s="102">
        <v>44378</v>
      </c>
      <c r="BQ5" s="103">
        <v>804.72</v>
      </c>
      <c r="BR5" s="106">
        <v>453.59</v>
      </c>
      <c r="BS5" s="103"/>
      <c r="BT5" s="108"/>
      <c r="BU5" s="204"/>
      <c r="BV5" s="214"/>
      <c r="BW5" s="15"/>
      <c r="BX5" s="15"/>
      <c r="BY5" s="225">
        <f>SUM(BT5:BX5)</f>
        <v>0</v>
      </c>
      <c r="CA5" s="102">
        <v>44378</v>
      </c>
      <c r="CB5" s="103">
        <v>18469.740000000002</v>
      </c>
      <c r="CC5" s="106">
        <v>2133.5100000000002</v>
      </c>
      <c r="CD5" s="103"/>
      <c r="CE5" s="103"/>
      <c r="CF5" s="204"/>
      <c r="CG5" s="214"/>
      <c r="CH5" s="15"/>
      <c r="CI5" s="15"/>
      <c r="CJ5" s="225">
        <f>SUM(CE5:CI5)</f>
        <v>0</v>
      </c>
      <c r="CL5" s="102">
        <v>44378</v>
      </c>
      <c r="CM5" s="103">
        <v>13635.92</v>
      </c>
      <c r="CN5" s="106">
        <v>2673.47</v>
      </c>
      <c r="CO5" s="103"/>
      <c r="CP5" s="108"/>
      <c r="CQ5" s="204"/>
      <c r="CR5" s="88">
        <v>33.004619999999989</v>
      </c>
      <c r="CS5" s="328">
        <v>13.449070000000003</v>
      </c>
      <c r="CT5" s="15"/>
      <c r="CU5" s="225">
        <f>SUM(CP5:CT5)</f>
        <v>46.453689999999995</v>
      </c>
      <c r="CW5" s="102">
        <v>44378</v>
      </c>
      <c r="CX5" s="103">
        <v>4209.8</v>
      </c>
      <c r="CY5" s="106">
        <v>299.06</v>
      </c>
      <c r="CZ5" s="103"/>
      <c r="DA5" s="104"/>
      <c r="DB5" s="204"/>
      <c r="DC5" s="88">
        <v>58.749270000000024</v>
      </c>
      <c r="DD5" s="329"/>
      <c r="DE5" s="15"/>
      <c r="DF5" s="225">
        <f>SUM(DA5:DE5)</f>
        <v>58.749270000000024</v>
      </c>
      <c r="DH5" s="102">
        <v>44378</v>
      </c>
      <c r="DI5" s="103">
        <v>1391.7</v>
      </c>
      <c r="DJ5" s="106"/>
      <c r="DK5" s="103"/>
      <c r="DL5" s="108"/>
      <c r="DM5" s="204"/>
      <c r="DN5" s="214"/>
      <c r="DO5" s="15"/>
      <c r="DP5" s="15"/>
      <c r="DQ5" s="225">
        <f>SUM(DL5:DP5)</f>
        <v>0</v>
      </c>
      <c r="DS5" s="102">
        <v>44378</v>
      </c>
      <c r="DT5" s="103">
        <v>360</v>
      </c>
      <c r="DU5" s="106">
        <v>0</v>
      </c>
      <c r="DV5" s="103"/>
      <c r="DW5" s="108"/>
      <c r="DX5" s="204"/>
      <c r="DY5" s="88">
        <v>346.89217999999988</v>
      </c>
      <c r="DZ5" s="329">
        <v>430.71951299999984</v>
      </c>
      <c r="EA5" s="335">
        <v>15.562720039999988</v>
      </c>
      <c r="EB5" s="225">
        <f>SUM(DW5:EA5)</f>
        <v>793.17441303999976</v>
      </c>
      <c r="ED5" s="102">
        <v>44378</v>
      </c>
      <c r="EE5" s="103">
        <v>6974.99</v>
      </c>
      <c r="EF5" s="106">
        <v>2049.1999999999998</v>
      </c>
      <c r="EG5" s="103"/>
      <c r="EH5" s="104">
        <v>108.05</v>
      </c>
      <c r="EI5" s="204"/>
      <c r="EJ5" s="88"/>
      <c r="EK5" s="328"/>
      <c r="EL5" s="15"/>
      <c r="EM5" s="225">
        <f>SUM(EH5:EL5)</f>
        <v>108.05</v>
      </c>
      <c r="EO5" s="102">
        <v>44378</v>
      </c>
      <c r="EP5" s="103">
        <v>673.49</v>
      </c>
      <c r="EQ5" s="106">
        <v>595.29999999999995</v>
      </c>
      <c r="ER5" s="103"/>
      <c r="ES5" s="108"/>
      <c r="ET5" s="204"/>
      <c r="EU5" s="214"/>
      <c r="EV5" s="15"/>
      <c r="EW5" s="15"/>
      <c r="EX5" s="225">
        <f>SUM(ES5:EW5)</f>
        <v>0</v>
      </c>
    </row>
    <row r="6" spans="1:154" x14ac:dyDescent="0.25">
      <c r="A6" s="109">
        <v>44379</v>
      </c>
      <c r="B6" s="110">
        <v>26146.07</v>
      </c>
      <c r="C6" s="111">
        <v>4505.42</v>
      </c>
      <c r="D6" s="110">
        <v>4274.18</v>
      </c>
      <c r="E6" s="112">
        <v>268.86</v>
      </c>
      <c r="G6" s="204"/>
      <c r="H6" s="215"/>
      <c r="I6" s="28"/>
      <c r="J6" s="28"/>
      <c r="K6" s="226">
        <f t="shared" ref="K6:K35" si="0">SUM(F6:J6)</f>
        <v>0</v>
      </c>
      <c r="M6" s="109">
        <v>44379</v>
      </c>
      <c r="N6" s="110">
        <v>5498.55</v>
      </c>
      <c r="O6" s="113">
        <v>307.7</v>
      </c>
      <c r="P6" s="110"/>
      <c r="Q6" s="111"/>
      <c r="R6" s="204"/>
      <c r="S6" s="88">
        <v>134.02016000000046</v>
      </c>
      <c r="T6" s="329"/>
      <c r="U6" s="28"/>
      <c r="V6" s="226">
        <f t="shared" ref="V6:V35" si="1">SUM(Q6:U6)</f>
        <v>134.02016000000046</v>
      </c>
      <c r="X6" s="109">
        <v>44379</v>
      </c>
      <c r="Y6" s="110">
        <v>7061.92</v>
      </c>
      <c r="Z6" s="113">
        <v>2181.9699999999998</v>
      </c>
      <c r="AA6" s="113"/>
      <c r="AB6" s="111">
        <v>198.02</v>
      </c>
      <c r="AC6" s="204"/>
      <c r="AD6" s="88">
        <v>199.14651000000003</v>
      </c>
      <c r="AE6" s="28"/>
      <c r="AF6" s="28"/>
      <c r="AG6" s="226">
        <f t="shared" ref="AG6:AG35" si="2">SUM(AB6:AF6)</f>
        <v>397.16651000000002</v>
      </c>
      <c r="AI6" s="109">
        <v>44379</v>
      </c>
      <c r="AJ6" s="110">
        <v>3609.19</v>
      </c>
      <c r="AK6" s="113">
        <v>1576.92</v>
      </c>
      <c r="AL6" s="110"/>
      <c r="AM6" s="111"/>
      <c r="AN6" s="204"/>
      <c r="AO6" s="215"/>
      <c r="AP6" s="28"/>
      <c r="AQ6" s="28"/>
      <c r="AR6" s="226">
        <f t="shared" ref="AR6:AR35" si="3">SUM(AM6:AQ6)</f>
        <v>0</v>
      </c>
      <c r="AT6" s="109">
        <v>44379</v>
      </c>
      <c r="AU6" s="110">
        <v>385</v>
      </c>
      <c r="AV6" s="113">
        <v>141.75</v>
      </c>
      <c r="AW6" s="110"/>
      <c r="AX6" s="110">
        <v>179.4</v>
      </c>
      <c r="AY6" s="204"/>
      <c r="AZ6" s="88"/>
      <c r="BA6" s="28"/>
      <c r="BB6" s="28"/>
      <c r="BC6" s="226">
        <f t="shared" ref="BC6:BC35" si="4">SUM(AX6:BB6)</f>
        <v>179.4</v>
      </c>
      <c r="BE6" s="109">
        <v>44379</v>
      </c>
      <c r="BF6" s="114">
        <v>5330.02</v>
      </c>
      <c r="BG6" s="114">
        <v>1102.23</v>
      </c>
      <c r="BH6" s="110"/>
      <c r="BI6" s="243">
        <v>24.52</v>
      </c>
      <c r="BJ6" s="204"/>
      <c r="BK6" s="88">
        <v>317.57907</v>
      </c>
      <c r="BL6" s="329">
        <v>32.509991999999983</v>
      </c>
      <c r="BM6" s="28"/>
      <c r="BN6" s="226">
        <f t="shared" ref="BN6:BN35" si="5">SUM(BI6:BM6)</f>
        <v>374.60906199999999</v>
      </c>
      <c r="BP6" s="109">
        <v>44379</v>
      </c>
      <c r="BQ6" s="110">
        <v>643.04</v>
      </c>
      <c r="BR6" s="113">
        <v>678.56</v>
      </c>
      <c r="BS6" s="110"/>
      <c r="BT6" s="115"/>
      <c r="BU6" s="204"/>
      <c r="BV6" s="215"/>
      <c r="BW6" s="28"/>
      <c r="BX6" s="28"/>
      <c r="BY6" s="226">
        <f t="shared" ref="BY6:BY35" si="6">SUM(BT6:BX6)</f>
        <v>0</v>
      </c>
      <c r="CA6" s="109">
        <v>44379</v>
      </c>
      <c r="CB6" s="110">
        <v>21642.81</v>
      </c>
      <c r="CC6" s="113">
        <v>3409.89</v>
      </c>
      <c r="CD6" s="110"/>
      <c r="CE6" s="110"/>
      <c r="CF6" s="204"/>
      <c r="CG6" s="215"/>
      <c r="CH6" s="28"/>
      <c r="CI6" s="28"/>
      <c r="CJ6" s="226">
        <f t="shared" ref="CJ6:CJ35" si="7">SUM(CE6:CI6)</f>
        <v>0</v>
      </c>
      <c r="CL6" s="109">
        <v>44379</v>
      </c>
      <c r="CM6" s="110">
        <v>13134.48</v>
      </c>
      <c r="CN6" s="113">
        <v>2516.42</v>
      </c>
      <c r="CO6" s="110"/>
      <c r="CP6" s="115"/>
      <c r="CQ6" s="204"/>
      <c r="CR6" s="88">
        <v>100.68652999999998</v>
      </c>
      <c r="CS6" s="328"/>
      <c r="CT6" s="28"/>
      <c r="CU6" s="226">
        <f t="shared" ref="CU6:CU35" si="8">SUM(CP6:CT6)</f>
        <v>100.68652999999998</v>
      </c>
      <c r="CW6" s="109">
        <v>44379</v>
      </c>
      <c r="CX6" s="110">
        <v>3759.43</v>
      </c>
      <c r="CY6" s="113">
        <v>87.97</v>
      </c>
      <c r="CZ6" s="110"/>
      <c r="DA6" s="111"/>
      <c r="DB6" s="204"/>
      <c r="DC6" s="88">
        <v>63.330100000000073</v>
      </c>
      <c r="DD6" s="329"/>
      <c r="DE6" s="28"/>
      <c r="DF6" s="226">
        <f t="shared" ref="DF6:DF35" si="9">SUM(DA6:DE6)</f>
        <v>63.330100000000073</v>
      </c>
      <c r="DH6" s="109">
        <v>44379</v>
      </c>
      <c r="DI6" s="110">
        <v>2130.5300000000002</v>
      </c>
      <c r="DJ6" s="113"/>
      <c r="DK6" s="110"/>
      <c r="DL6" s="115"/>
      <c r="DM6" s="204"/>
      <c r="DN6" s="215"/>
      <c r="DO6" s="28"/>
      <c r="DP6" s="28"/>
      <c r="DQ6" s="226">
        <f t="shared" ref="DQ6:DQ35" si="10">SUM(DL6:DP6)</f>
        <v>0</v>
      </c>
      <c r="DS6" s="109">
        <v>44379</v>
      </c>
      <c r="DT6" s="110">
        <v>0</v>
      </c>
      <c r="DU6" s="113">
        <v>0</v>
      </c>
      <c r="DV6" s="110"/>
      <c r="DW6" s="115"/>
      <c r="DX6" s="204"/>
      <c r="DY6" s="88">
        <v>137.26179999999999</v>
      </c>
      <c r="DZ6" s="329">
        <v>505.64980900000012</v>
      </c>
      <c r="EA6" s="335">
        <v>20.008143070000003</v>
      </c>
      <c r="EB6" s="226">
        <f t="shared" ref="EB6:EB35" si="11">SUM(DW6:EA6)</f>
        <v>662.91975207000007</v>
      </c>
      <c r="ED6" s="109">
        <v>44379</v>
      </c>
      <c r="EE6" s="110">
        <v>0</v>
      </c>
      <c r="EF6" s="113">
        <v>8223.35</v>
      </c>
      <c r="EG6" s="110"/>
      <c r="EH6" s="111">
        <v>143.88</v>
      </c>
      <c r="EI6" s="204"/>
      <c r="EJ6" s="88"/>
      <c r="EK6" s="328"/>
      <c r="EL6" s="28"/>
      <c r="EM6" s="226">
        <f t="shared" ref="EM6:EM35" si="12">SUM(EH6:EL6)</f>
        <v>143.88</v>
      </c>
      <c r="EO6" s="109">
        <v>44379</v>
      </c>
      <c r="EP6" s="110">
        <v>1391.56</v>
      </c>
      <c r="EQ6" s="113">
        <v>846.09</v>
      </c>
      <c r="ER6" s="110"/>
      <c r="ES6" s="115"/>
      <c r="ET6" s="204"/>
      <c r="EU6" s="215"/>
      <c r="EV6" s="28"/>
      <c r="EW6" s="28"/>
      <c r="EX6" s="226">
        <f t="shared" ref="EX6:EX35" si="13">SUM(ES6:EW6)</f>
        <v>0</v>
      </c>
    </row>
    <row r="7" spans="1:154" x14ac:dyDescent="0.25">
      <c r="A7" s="109">
        <v>44380</v>
      </c>
      <c r="B7" s="110">
        <v>23220.18</v>
      </c>
      <c r="C7" s="111">
        <v>4876.3900000000003</v>
      </c>
      <c r="D7" s="110">
        <v>2507.4</v>
      </c>
      <c r="E7" s="112">
        <v>218.44</v>
      </c>
      <c r="G7" s="204"/>
      <c r="H7" s="215"/>
      <c r="I7" s="28"/>
      <c r="J7" s="28"/>
      <c r="K7" s="226">
        <f t="shared" si="0"/>
        <v>0</v>
      </c>
      <c r="M7" s="109">
        <v>44380</v>
      </c>
      <c r="N7" s="110">
        <v>3814.74</v>
      </c>
      <c r="O7" s="113">
        <v>689.83</v>
      </c>
      <c r="P7" s="110"/>
      <c r="Q7" s="111"/>
      <c r="R7" s="204"/>
      <c r="S7" s="88">
        <v>105.70903000000004</v>
      </c>
      <c r="T7" s="329">
        <v>42.317789999999974</v>
      </c>
      <c r="U7" s="28"/>
      <c r="V7" s="226">
        <f t="shared" si="1"/>
        <v>148.02682000000001</v>
      </c>
      <c r="X7" s="109">
        <v>44380</v>
      </c>
      <c r="Y7" s="110">
        <v>6333.92</v>
      </c>
      <c r="Z7" s="113">
        <v>3034.54</v>
      </c>
      <c r="AA7" s="113"/>
      <c r="AB7" s="111">
        <v>169.13</v>
      </c>
      <c r="AC7" s="204"/>
      <c r="AD7" s="88">
        <v>26.472667000000001</v>
      </c>
      <c r="AE7" s="28"/>
      <c r="AF7" s="28"/>
      <c r="AG7" s="226">
        <f t="shared" si="2"/>
        <v>195.602667</v>
      </c>
      <c r="AI7" s="109">
        <v>44380</v>
      </c>
      <c r="AJ7" s="110">
        <v>2561.6</v>
      </c>
      <c r="AK7" s="113">
        <v>1305.5899999999999</v>
      </c>
      <c r="AL7" s="110"/>
      <c r="AM7" s="111"/>
      <c r="AN7" s="204"/>
      <c r="AO7" s="215"/>
      <c r="AP7" s="28"/>
      <c r="AQ7" s="28"/>
      <c r="AR7" s="226">
        <f t="shared" si="3"/>
        <v>0</v>
      </c>
      <c r="AT7" s="109">
        <v>44380</v>
      </c>
      <c r="AU7" s="110">
        <v>774.44</v>
      </c>
      <c r="AV7" s="113">
        <v>40</v>
      </c>
      <c r="AW7" s="110"/>
      <c r="AX7" s="110">
        <v>115.7</v>
      </c>
      <c r="AY7" s="204"/>
      <c r="AZ7" s="88">
        <v>392.48362000000014</v>
      </c>
      <c r="BA7" s="28"/>
      <c r="BB7" s="28"/>
      <c r="BC7" s="226">
        <f t="shared" si="4"/>
        <v>508.18362000000013</v>
      </c>
      <c r="BE7" s="109">
        <v>44380</v>
      </c>
      <c r="BF7" s="114">
        <v>5644.31</v>
      </c>
      <c r="BG7" s="114">
        <v>1581.63</v>
      </c>
      <c r="BH7" s="110"/>
      <c r="BI7" s="243">
        <v>12.9</v>
      </c>
      <c r="BJ7" s="204"/>
      <c r="BK7" s="88">
        <v>339.9114899999999</v>
      </c>
      <c r="BL7" s="329">
        <v>43.979510000000005</v>
      </c>
      <c r="BM7" s="28"/>
      <c r="BN7" s="226">
        <f t="shared" si="5"/>
        <v>396.79099999999988</v>
      </c>
      <c r="BP7" s="109">
        <v>44380</v>
      </c>
      <c r="BQ7" s="110">
        <v>409.66</v>
      </c>
      <c r="BR7" s="113">
        <v>572.02</v>
      </c>
      <c r="BS7" s="110"/>
      <c r="BT7" s="115"/>
      <c r="BU7" s="204"/>
      <c r="BV7" s="215"/>
      <c r="BW7" s="28"/>
      <c r="BX7" s="28"/>
      <c r="BY7" s="226">
        <f t="shared" si="6"/>
        <v>0</v>
      </c>
      <c r="CA7" s="109">
        <v>44380</v>
      </c>
      <c r="CB7" s="110">
        <v>20610.669999999998</v>
      </c>
      <c r="CC7" s="113">
        <v>3023.42</v>
      </c>
      <c r="CD7" s="110"/>
      <c r="CE7" s="110"/>
      <c r="CF7" s="204"/>
      <c r="CG7" s="215"/>
      <c r="CH7" s="28"/>
      <c r="CI7" s="28"/>
      <c r="CJ7" s="226">
        <f t="shared" si="7"/>
        <v>0</v>
      </c>
      <c r="CL7" s="109">
        <v>44380</v>
      </c>
      <c r="CM7" s="110">
        <v>10530.15</v>
      </c>
      <c r="CN7" s="113">
        <v>2184.3000000000002</v>
      </c>
      <c r="CO7" s="110"/>
      <c r="CP7" s="115"/>
      <c r="CQ7" s="204"/>
      <c r="CR7" s="88">
        <v>128.50159999999994</v>
      </c>
      <c r="CS7" s="328">
        <v>48.84999999999998</v>
      </c>
      <c r="CT7" s="28"/>
      <c r="CU7" s="226">
        <f t="shared" si="8"/>
        <v>177.35159999999991</v>
      </c>
      <c r="CW7" s="109">
        <v>44380</v>
      </c>
      <c r="CX7" s="110">
        <v>3360.47</v>
      </c>
      <c r="CY7" s="113">
        <v>496.88</v>
      </c>
      <c r="CZ7" s="110"/>
      <c r="DA7" s="111"/>
      <c r="DB7" s="204"/>
      <c r="DC7" s="88">
        <v>64.135059999999967</v>
      </c>
      <c r="DD7" s="329"/>
      <c r="DE7" s="28"/>
      <c r="DF7" s="226">
        <f t="shared" si="9"/>
        <v>64.135059999999967</v>
      </c>
      <c r="DH7" s="109">
        <v>44380</v>
      </c>
      <c r="DI7" s="110">
        <v>1969.12</v>
      </c>
      <c r="DJ7" s="113"/>
      <c r="DK7" s="110"/>
      <c r="DL7" s="115"/>
      <c r="DM7" s="204"/>
      <c r="DN7" s="215"/>
      <c r="DO7" s="28"/>
      <c r="DP7" s="28"/>
      <c r="DQ7" s="226">
        <f t="shared" si="10"/>
        <v>0</v>
      </c>
      <c r="DS7" s="109">
        <v>44380</v>
      </c>
      <c r="DT7" s="110">
        <v>1944.71</v>
      </c>
      <c r="DU7" s="113">
        <v>392.48</v>
      </c>
      <c r="DV7" s="110"/>
      <c r="DW7" s="115"/>
      <c r="DX7" s="204"/>
      <c r="DY7" s="88">
        <v>138.60486000000003</v>
      </c>
      <c r="DZ7" s="329">
        <v>438.77018299999986</v>
      </c>
      <c r="EA7" s="335">
        <v>18.982717880000024</v>
      </c>
      <c r="EB7" s="226">
        <f t="shared" si="11"/>
        <v>596.35776087999989</v>
      </c>
      <c r="ED7" s="109">
        <v>44380</v>
      </c>
      <c r="EE7" s="110">
        <v>5989.55</v>
      </c>
      <c r="EF7" s="113">
        <v>1867.03</v>
      </c>
      <c r="EG7" s="110"/>
      <c r="EH7" s="111">
        <v>112.42</v>
      </c>
      <c r="EI7" s="204"/>
      <c r="EJ7" s="88"/>
      <c r="EK7" s="328"/>
      <c r="EL7" s="28"/>
      <c r="EM7" s="226">
        <f t="shared" si="12"/>
        <v>112.42</v>
      </c>
      <c r="EO7" s="109">
        <v>44380</v>
      </c>
      <c r="EP7" s="110">
        <v>915.56</v>
      </c>
      <c r="EQ7" s="113">
        <v>434.63</v>
      </c>
      <c r="ER7" s="110"/>
      <c r="ES7" s="115"/>
      <c r="ET7" s="204"/>
      <c r="EU7" s="215"/>
      <c r="EV7" s="28"/>
      <c r="EW7" s="28"/>
      <c r="EX7" s="226">
        <f t="shared" si="13"/>
        <v>0</v>
      </c>
    </row>
    <row r="8" spans="1:154" x14ac:dyDescent="0.25">
      <c r="A8" s="109">
        <v>44381</v>
      </c>
      <c r="B8" s="110">
        <v>25081.200000000001</v>
      </c>
      <c r="C8" s="111">
        <v>5217.17</v>
      </c>
      <c r="D8" s="110">
        <v>3226.2</v>
      </c>
      <c r="E8" s="112">
        <v>215.96</v>
      </c>
      <c r="G8" s="204"/>
      <c r="H8" s="215"/>
      <c r="I8" s="28"/>
      <c r="J8" s="28"/>
      <c r="K8" s="226">
        <f t="shared" si="0"/>
        <v>0</v>
      </c>
      <c r="M8" s="109">
        <v>44381</v>
      </c>
      <c r="N8" s="110">
        <v>6850.2</v>
      </c>
      <c r="O8" s="113">
        <v>717.74</v>
      </c>
      <c r="P8" s="110"/>
      <c r="Q8" s="111"/>
      <c r="R8" s="204"/>
      <c r="S8" s="88">
        <v>21.015639999999948</v>
      </c>
      <c r="T8" s="329"/>
      <c r="U8" s="28"/>
      <c r="V8" s="226">
        <f t="shared" si="1"/>
        <v>21.015639999999948</v>
      </c>
      <c r="X8" s="109">
        <v>44381</v>
      </c>
      <c r="Y8" s="110">
        <v>5984.65</v>
      </c>
      <c r="Z8" s="113">
        <v>2006.7</v>
      </c>
      <c r="AA8" s="113"/>
      <c r="AB8" s="111">
        <v>82.25</v>
      </c>
      <c r="AC8" s="204"/>
      <c r="AD8" s="88">
        <v>166.90783799999997</v>
      </c>
      <c r="AE8" s="28"/>
      <c r="AF8" s="28"/>
      <c r="AG8" s="226">
        <f t="shared" si="2"/>
        <v>249.15783799999997</v>
      </c>
      <c r="AI8" s="109">
        <v>44381</v>
      </c>
      <c r="AJ8" s="110">
        <v>3870.74</v>
      </c>
      <c r="AK8" s="113">
        <v>430.46</v>
      </c>
      <c r="AL8" s="110"/>
      <c r="AM8" s="111"/>
      <c r="AN8" s="204"/>
      <c r="AO8" s="215"/>
      <c r="AP8" s="28"/>
      <c r="AQ8" s="28"/>
      <c r="AR8" s="226">
        <f t="shared" si="3"/>
        <v>0</v>
      </c>
      <c r="AT8" s="109">
        <v>44381</v>
      </c>
      <c r="AU8" s="110">
        <v>266.64</v>
      </c>
      <c r="AV8" s="113">
        <v>45.57</v>
      </c>
      <c r="AW8" s="110"/>
      <c r="AX8" s="110"/>
      <c r="AY8" s="204"/>
      <c r="AZ8" s="88">
        <v>422.19743999999974</v>
      </c>
      <c r="BA8" s="28"/>
      <c r="BB8" s="28"/>
      <c r="BC8" s="226">
        <f t="shared" si="4"/>
        <v>422.19743999999974</v>
      </c>
      <c r="BE8" s="109">
        <v>44381</v>
      </c>
      <c r="BF8" s="114">
        <v>5953.49</v>
      </c>
      <c r="BG8" s="114">
        <v>1071.03</v>
      </c>
      <c r="BH8" s="110"/>
      <c r="BI8" s="243">
        <v>0</v>
      </c>
      <c r="BJ8" s="204"/>
      <c r="BK8" s="88">
        <v>55.437879000000009</v>
      </c>
      <c r="BL8" s="329"/>
      <c r="BM8" s="28"/>
      <c r="BN8" s="226">
        <f t="shared" si="5"/>
        <v>55.437879000000009</v>
      </c>
      <c r="BP8" s="109">
        <v>44381</v>
      </c>
      <c r="BQ8" s="110">
        <v>314.43</v>
      </c>
      <c r="BR8" s="113">
        <v>323.98</v>
      </c>
      <c r="BS8" s="110"/>
      <c r="BT8" s="115"/>
      <c r="BU8" s="204"/>
      <c r="BV8" s="215"/>
      <c r="BW8" s="28"/>
      <c r="BX8" s="28"/>
      <c r="BY8" s="226">
        <f t="shared" si="6"/>
        <v>0</v>
      </c>
      <c r="CA8" s="109">
        <v>44381</v>
      </c>
      <c r="CB8" s="110">
        <v>21067.919999999998</v>
      </c>
      <c r="CC8" s="113">
        <v>3823.52</v>
      </c>
      <c r="CD8" s="110"/>
      <c r="CE8" s="110"/>
      <c r="CF8" s="204"/>
      <c r="CG8" s="215"/>
      <c r="CH8" s="28"/>
      <c r="CI8" s="28"/>
      <c r="CJ8" s="226">
        <f t="shared" si="7"/>
        <v>0</v>
      </c>
      <c r="CL8" s="109">
        <v>44381</v>
      </c>
      <c r="CM8" s="110">
        <v>13437.19</v>
      </c>
      <c r="CN8" s="113">
        <v>2760.68</v>
      </c>
      <c r="CO8" s="110"/>
      <c r="CP8" s="115"/>
      <c r="CQ8" s="204"/>
      <c r="CR8" s="88">
        <v>165.28694999999996</v>
      </c>
      <c r="CS8" s="328"/>
      <c r="CT8" s="28"/>
      <c r="CU8" s="226">
        <f t="shared" si="8"/>
        <v>165.28694999999996</v>
      </c>
      <c r="CW8" s="109">
        <v>44381</v>
      </c>
      <c r="CX8" s="110">
        <v>3933.7</v>
      </c>
      <c r="CY8" s="113">
        <v>428.79</v>
      </c>
      <c r="CZ8" s="110"/>
      <c r="DA8" s="111"/>
      <c r="DB8" s="204"/>
      <c r="DC8" s="88">
        <v>2.4472200000000157</v>
      </c>
      <c r="DD8" s="329">
        <v>5.1762500000000102</v>
      </c>
      <c r="DE8" s="28"/>
      <c r="DF8" s="226">
        <f t="shared" si="9"/>
        <v>7.6234700000000259</v>
      </c>
      <c r="DH8" s="109">
        <v>44381</v>
      </c>
      <c r="DI8" s="110">
        <v>1031.4100000000001</v>
      </c>
      <c r="DJ8" s="113"/>
      <c r="DK8" s="110"/>
      <c r="DL8" s="115"/>
      <c r="DM8" s="204"/>
      <c r="DN8" s="215"/>
      <c r="DO8" s="28"/>
      <c r="DP8" s="28"/>
      <c r="DQ8" s="226">
        <f t="shared" si="10"/>
        <v>0</v>
      </c>
      <c r="DS8" s="109">
        <v>44381</v>
      </c>
      <c r="DT8" s="110">
        <v>1605.5</v>
      </c>
      <c r="DU8" s="113">
        <v>724.26</v>
      </c>
      <c r="DV8" s="110"/>
      <c r="DW8" s="115"/>
      <c r="DX8" s="204"/>
      <c r="DY8" s="88">
        <v>56.608289999999982</v>
      </c>
      <c r="DZ8" s="329">
        <v>9.2603770000000054</v>
      </c>
      <c r="EA8" s="335">
        <v>18.719192520000007</v>
      </c>
      <c r="EB8" s="226">
        <f t="shared" si="11"/>
        <v>84.587859519999995</v>
      </c>
      <c r="ED8" s="109">
        <v>44381</v>
      </c>
      <c r="EE8" s="110">
        <v>8536.7900000000009</v>
      </c>
      <c r="EF8" s="113">
        <v>3194.16</v>
      </c>
      <c r="EG8" s="110"/>
      <c r="EH8" s="111">
        <v>133.16</v>
      </c>
      <c r="EI8" s="204"/>
      <c r="EJ8" s="88"/>
      <c r="EK8" s="328"/>
      <c r="EL8" s="28"/>
      <c r="EM8" s="226">
        <f t="shared" si="12"/>
        <v>133.16</v>
      </c>
      <c r="EO8" s="109">
        <v>44381</v>
      </c>
      <c r="EP8" s="110">
        <v>1256.03</v>
      </c>
      <c r="EQ8" s="113">
        <v>572.74</v>
      </c>
      <c r="ER8" s="110"/>
      <c r="ES8" s="115"/>
      <c r="ET8" s="204"/>
      <c r="EU8" s="215"/>
      <c r="EV8" s="28"/>
      <c r="EW8" s="28"/>
      <c r="EX8" s="226">
        <f t="shared" si="13"/>
        <v>0</v>
      </c>
    </row>
    <row r="9" spans="1:154" x14ac:dyDescent="0.25">
      <c r="A9" s="109">
        <v>44382</v>
      </c>
      <c r="B9" s="110">
        <v>22483.98</v>
      </c>
      <c r="C9" s="111">
        <v>4726.97</v>
      </c>
      <c r="D9" s="110">
        <v>2700.61</v>
      </c>
      <c r="E9" s="112">
        <v>134.81</v>
      </c>
      <c r="G9" s="204"/>
      <c r="H9" s="215"/>
      <c r="I9" s="28"/>
      <c r="J9" s="28"/>
      <c r="K9" s="226">
        <f t="shared" si="0"/>
        <v>0</v>
      </c>
      <c r="M9" s="109">
        <v>44382</v>
      </c>
      <c r="N9" s="110">
        <v>4190.03</v>
      </c>
      <c r="O9" s="113">
        <v>630.87</v>
      </c>
      <c r="P9" s="110"/>
      <c r="Q9" s="111"/>
      <c r="R9" s="204"/>
      <c r="S9" s="88">
        <v>8.3149800000000056</v>
      </c>
      <c r="T9" s="329"/>
      <c r="U9" s="28"/>
      <c r="V9" s="226">
        <f t="shared" si="1"/>
        <v>8.3149800000000056</v>
      </c>
      <c r="X9" s="109">
        <v>44382</v>
      </c>
      <c r="Y9" s="110">
        <v>4691.01</v>
      </c>
      <c r="Z9" s="113">
        <v>2510.23</v>
      </c>
      <c r="AA9" s="113"/>
      <c r="AB9" s="111">
        <v>34.21</v>
      </c>
      <c r="AC9" s="204"/>
      <c r="AD9" s="88">
        <v>90</v>
      </c>
      <c r="AE9" s="28"/>
      <c r="AF9" s="28"/>
      <c r="AG9" s="226">
        <f t="shared" si="2"/>
        <v>124.21000000000001</v>
      </c>
      <c r="AI9" s="109">
        <v>44382</v>
      </c>
      <c r="AJ9" s="110">
        <v>3396.35</v>
      </c>
      <c r="AK9" s="113">
        <v>1704.09</v>
      </c>
      <c r="AL9" s="110"/>
      <c r="AM9" s="111"/>
      <c r="AN9" s="204"/>
      <c r="AO9" s="215"/>
      <c r="AP9" s="28"/>
      <c r="AQ9" s="28"/>
      <c r="AR9" s="226">
        <f t="shared" si="3"/>
        <v>0</v>
      </c>
      <c r="AT9" s="109">
        <v>44382</v>
      </c>
      <c r="AU9" s="110">
        <v>170</v>
      </c>
      <c r="AV9" s="113">
        <v>94</v>
      </c>
      <c r="AW9" s="110"/>
      <c r="AX9" s="110">
        <v>0</v>
      </c>
      <c r="AY9" s="204"/>
      <c r="AZ9" s="88">
        <v>141.137</v>
      </c>
      <c r="BA9" s="28"/>
      <c r="BB9" s="28"/>
      <c r="BC9" s="226">
        <f t="shared" si="4"/>
        <v>141.137</v>
      </c>
      <c r="BE9" s="109">
        <v>44382</v>
      </c>
      <c r="BF9" s="114">
        <v>3803.85</v>
      </c>
      <c r="BG9" s="114">
        <v>1690.48</v>
      </c>
      <c r="BH9" s="110"/>
      <c r="BI9" s="243">
        <v>0</v>
      </c>
      <c r="BJ9" s="204"/>
      <c r="BK9" s="88">
        <v>125.49016000000002</v>
      </c>
      <c r="BL9" s="329"/>
      <c r="BM9" s="28"/>
      <c r="BN9" s="226">
        <f t="shared" si="5"/>
        <v>125.49016000000002</v>
      </c>
      <c r="BP9" s="109">
        <v>44382</v>
      </c>
      <c r="BQ9" s="110">
        <v>786.07</v>
      </c>
      <c r="BR9" s="113">
        <v>491.34</v>
      </c>
      <c r="BS9" s="110"/>
      <c r="BT9" s="115"/>
      <c r="BU9" s="204"/>
      <c r="BV9" s="215"/>
      <c r="BW9" s="28"/>
      <c r="BX9" s="28"/>
      <c r="BY9" s="226">
        <f t="shared" si="6"/>
        <v>0</v>
      </c>
      <c r="CA9" s="109">
        <v>44382</v>
      </c>
      <c r="CB9" s="110">
        <v>23560.63</v>
      </c>
      <c r="CC9" s="113">
        <v>2858.45</v>
      </c>
      <c r="CD9" s="110"/>
      <c r="CE9" s="110"/>
      <c r="CF9" s="204"/>
      <c r="CG9" s="215"/>
      <c r="CH9" s="28"/>
      <c r="CI9" s="28"/>
      <c r="CJ9" s="226">
        <f t="shared" si="7"/>
        <v>0</v>
      </c>
      <c r="CL9" s="109">
        <v>44382</v>
      </c>
      <c r="CM9" s="110">
        <v>10555.16</v>
      </c>
      <c r="CN9" s="113">
        <v>2756.81</v>
      </c>
      <c r="CO9" s="110"/>
      <c r="CP9" s="115"/>
      <c r="CQ9" s="204"/>
      <c r="CR9" s="88"/>
      <c r="CS9" s="328">
        <v>6.8189000000000011</v>
      </c>
      <c r="CT9" s="28"/>
      <c r="CU9" s="226">
        <f t="shared" si="8"/>
        <v>6.8189000000000011</v>
      </c>
      <c r="CW9" s="109">
        <v>44382</v>
      </c>
      <c r="CX9" s="110">
        <v>3739.8</v>
      </c>
      <c r="CY9" s="113">
        <v>362.5</v>
      </c>
      <c r="CZ9" s="110"/>
      <c r="DA9" s="111"/>
      <c r="DB9" s="204"/>
      <c r="DC9" s="88">
        <v>20.861239999999924</v>
      </c>
      <c r="DD9" s="329"/>
      <c r="DE9" s="28"/>
      <c r="DF9" s="226">
        <f t="shared" si="9"/>
        <v>20.861239999999924</v>
      </c>
      <c r="DH9" s="109">
        <v>44382</v>
      </c>
      <c r="DI9" s="110">
        <v>2006.98</v>
      </c>
      <c r="DJ9" s="113"/>
      <c r="DK9" s="110"/>
      <c r="DL9" s="115"/>
      <c r="DM9" s="204"/>
      <c r="DN9" s="215"/>
      <c r="DO9" s="28"/>
      <c r="DP9" s="28"/>
      <c r="DQ9" s="226">
        <f t="shared" si="10"/>
        <v>0</v>
      </c>
      <c r="DS9" s="109">
        <v>44382</v>
      </c>
      <c r="DT9" s="110">
        <v>2810.48</v>
      </c>
      <c r="DU9" s="113">
        <v>461.88</v>
      </c>
      <c r="DV9" s="110"/>
      <c r="DW9" s="115"/>
      <c r="DX9" s="204"/>
      <c r="DY9" s="88">
        <v>179.29921000000007</v>
      </c>
      <c r="DZ9" s="329">
        <v>568.36087700000019</v>
      </c>
      <c r="EA9" s="335">
        <v>19.122159980000021</v>
      </c>
      <c r="EB9" s="226">
        <f t="shared" si="11"/>
        <v>766.7822469800002</v>
      </c>
      <c r="ED9" s="109">
        <v>44382</v>
      </c>
      <c r="EE9" s="110">
        <v>6754.07</v>
      </c>
      <c r="EF9" s="113">
        <v>3285.18</v>
      </c>
      <c r="EG9" s="110"/>
      <c r="EH9" s="111">
        <v>132.32</v>
      </c>
      <c r="EI9" s="204"/>
      <c r="EJ9" s="88"/>
      <c r="EK9" s="328"/>
      <c r="EL9" s="28"/>
      <c r="EM9" s="226">
        <f t="shared" si="12"/>
        <v>132.32</v>
      </c>
      <c r="EO9" s="109">
        <v>44382</v>
      </c>
      <c r="EP9" s="110">
        <v>785.57</v>
      </c>
      <c r="EQ9" s="113">
        <v>546.76</v>
      </c>
      <c r="ER9" s="110"/>
      <c r="ES9" s="115"/>
      <c r="ET9" s="204"/>
      <c r="EU9" s="215"/>
      <c r="EV9" s="28"/>
      <c r="EW9" s="28"/>
      <c r="EX9" s="226">
        <f t="shared" si="13"/>
        <v>0</v>
      </c>
    </row>
    <row r="10" spans="1:154" x14ac:dyDescent="0.25">
      <c r="A10" s="109">
        <v>44383</v>
      </c>
      <c r="B10" s="110">
        <v>18767.330000000002</v>
      </c>
      <c r="C10" s="111">
        <v>3432.08</v>
      </c>
      <c r="D10" s="110">
        <v>2426.98</v>
      </c>
      <c r="E10" s="112">
        <v>75.349999999999994</v>
      </c>
      <c r="G10" s="204"/>
      <c r="H10" s="215"/>
      <c r="I10" s="28"/>
      <c r="J10" s="28"/>
      <c r="K10" s="226">
        <f t="shared" si="0"/>
        <v>0</v>
      </c>
      <c r="M10" s="109">
        <v>44383</v>
      </c>
      <c r="N10" s="110">
        <v>1913.3</v>
      </c>
      <c r="O10" s="113">
        <v>384.43</v>
      </c>
      <c r="P10" s="110"/>
      <c r="Q10" s="111"/>
      <c r="R10" s="204"/>
      <c r="S10" s="88">
        <v>0.35827000000000453</v>
      </c>
      <c r="T10" s="329"/>
      <c r="U10" s="28"/>
      <c r="V10" s="226">
        <f t="shared" si="1"/>
        <v>0.35827000000000453</v>
      </c>
      <c r="X10" s="109">
        <v>44383</v>
      </c>
      <c r="Y10" s="110">
        <v>3223.78</v>
      </c>
      <c r="Z10" s="113">
        <v>1748.16</v>
      </c>
      <c r="AA10" s="113"/>
      <c r="AB10" s="111">
        <v>290.5</v>
      </c>
      <c r="AC10" s="204"/>
      <c r="AD10" s="88"/>
      <c r="AE10" s="28"/>
      <c r="AF10" s="28"/>
      <c r="AG10" s="226">
        <f t="shared" si="2"/>
        <v>290.5</v>
      </c>
      <c r="AI10" s="109">
        <v>44383</v>
      </c>
      <c r="AJ10" s="110">
        <v>2702.06</v>
      </c>
      <c r="AK10" s="113">
        <v>1912.15</v>
      </c>
      <c r="AL10" s="110"/>
      <c r="AM10" s="111"/>
      <c r="AN10" s="204"/>
      <c r="AO10" s="215"/>
      <c r="AP10" s="28"/>
      <c r="AQ10" s="28"/>
      <c r="AR10" s="226">
        <f t="shared" si="3"/>
        <v>0</v>
      </c>
      <c r="AT10" s="109">
        <v>44383</v>
      </c>
      <c r="AU10" s="110">
        <v>670.02</v>
      </c>
      <c r="AV10" s="113">
        <v>105.62</v>
      </c>
      <c r="AW10" s="110"/>
      <c r="AX10" s="110">
        <v>115.7</v>
      </c>
      <c r="AY10" s="204"/>
      <c r="AZ10" s="88">
        <v>125.88568000000009</v>
      </c>
      <c r="BA10" s="28"/>
      <c r="BB10" s="28"/>
      <c r="BC10" s="226">
        <f t="shared" si="4"/>
        <v>241.58568000000008</v>
      </c>
      <c r="BE10" s="109">
        <v>44383</v>
      </c>
      <c r="BF10" s="114">
        <v>3619.4</v>
      </c>
      <c r="BG10" s="114">
        <v>807.77</v>
      </c>
      <c r="BH10" s="110"/>
      <c r="BI10" s="243">
        <v>0</v>
      </c>
      <c r="BJ10" s="204"/>
      <c r="BK10" s="88">
        <v>21.943669999999997</v>
      </c>
      <c r="BL10" s="329">
        <v>63.430000000000007</v>
      </c>
      <c r="BM10" s="28"/>
      <c r="BN10" s="226">
        <f t="shared" si="5"/>
        <v>85.373670000000004</v>
      </c>
      <c r="BP10" s="109">
        <v>44383</v>
      </c>
      <c r="BQ10" s="110">
        <v>447.12</v>
      </c>
      <c r="BR10" s="113">
        <v>380.7</v>
      </c>
      <c r="BS10" s="110"/>
      <c r="BT10" s="115"/>
      <c r="BU10" s="204"/>
      <c r="BV10" s="215"/>
      <c r="BW10" s="28"/>
      <c r="BX10" s="28"/>
      <c r="BY10" s="226">
        <f t="shared" si="6"/>
        <v>0</v>
      </c>
      <c r="CA10" s="109">
        <v>44383</v>
      </c>
      <c r="CB10" s="110">
        <v>22967.919999999998</v>
      </c>
      <c r="CC10" s="113">
        <v>2965.68</v>
      </c>
      <c r="CD10" s="110"/>
      <c r="CE10" s="110"/>
      <c r="CF10" s="204"/>
      <c r="CG10" s="215"/>
      <c r="CH10" s="28"/>
      <c r="CI10" s="28"/>
      <c r="CJ10" s="226">
        <f t="shared" si="7"/>
        <v>0</v>
      </c>
      <c r="CL10" s="109">
        <v>44383</v>
      </c>
      <c r="CM10" s="110">
        <v>6073.48</v>
      </c>
      <c r="CN10" s="113">
        <v>1966.72</v>
      </c>
      <c r="CO10" s="110"/>
      <c r="CP10" s="115"/>
      <c r="CQ10" s="204"/>
      <c r="CR10" s="88"/>
      <c r="CS10" s="328"/>
      <c r="CT10" s="28"/>
      <c r="CU10" s="226">
        <f t="shared" si="8"/>
        <v>0</v>
      </c>
      <c r="CW10" s="109">
        <v>44383</v>
      </c>
      <c r="CX10" s="110">
        <v>2868.17</v>
      </c>
      <c r="CY10" s="113">
        <v>352.28</v>
      </c>
      <c r="CZ10" s="110"/>
      <c r="DA10" s="111"/>
      <c r="DB10" s="204"/>
      <c r="DC10" s="88">
        <v>0.27837999999999852</v>
      </c>
      <c r="DD10" s="329"/>
      <c r="DE10" s="28"/>
      <c r="DF10" s="226">
        <f t="shared" si="9"/>
        <v>0.27837999999999852</v>
      </c>
      <c r="DH10" s="109">
        <v>44383</v>
      </c>
      <c r="DI10" s="110">
        <v>2307.96</v>
      </c>
      <c r="DJ10" s="113"/>
      <c r="DK10" s="110"/>
      <c r="DL10" s="115"/>
      <c r="DM10" s="204"/>
      <c r="DN10" s="215"/>
      <c r="DO10" s="28"/>
      <c r="DP10" s="28"/>
      <c r="DQ10" s="226">
        <f t="shared" si="10"/>
        <v>0</v>
      </c>
      <c r="DS10" s="109">
        <v>44383</v>
      </c>
      <c r="DT10" s="110">
        <v>1333.68</v>
      </c>
      <c r="DU10" s="113">
        <v>344.6</v>
      </c>
      <c r="DV10" s="110"/>
      <c r="DW10" s="115"/>
      <c r="DX10" s="204"/>
      <c r="DY10" s="88">
        <v>78.166719000000015</v>
      </c>
      <c r="DZ10" s="329">
        <v>498.47063399999979</v>
      </c>
      <c r="EA10" s="335"/>
      <c r="EB10" s="226">
        <f t="shared" si="11"/>
        <v>576.63735299999985</v>
      </c>
      <c r="ED10" s="109">
        <v>44383</v>
      </c>
      <c r="EE10" s="110">
        <v>4355.74</v>
      </c>
      <c r="EF10" s="113">
        <v>1394.74</v>
      </c>
      <c r="EG10" s="110"/>
      <c r="EH10" s="111">
        <v>98.93</v>
      </c>
      <c r="EI10" s="204"/>
      <c r="EJ10" s="88"/>
      <c r="EK10" s="328"/>
      <c r="EL10" s="28"/>
      <c r="EM10" s="226">
        <f t="shared" si="12"/>
        <v>98.93</v>
      </c>
      <c r="EO10" s="109">
        <v>44383</v>
      </c>
      <c r="EP10" s="110">
        <v>1432.83</v>
      </c>
      <c r="EQ10" s="113">
        <v>348.56</v>
      </c>
      <c r="ER10" s="110"/>
      <c r="ES10" s="115"/>
      <c r="ET10" s="204"/>
      <c r="EU10" s="215"/>
      <c r="EV10" s="28"/>
      <c r="EW10" s="28"/>
      <c r="EX10" s="226">
        <f t="shared" si="13"/>
        <v>0</v>
      </c>
    </row>
    <row r="11" spans="1:154" x14ac:dyDescent="0.25">
      <c r="A11" s="109">
        <v>44384</v>
      </c>
      <c r="B11" s="110">
        <v>22117.13</v>
      </c>
      <c r="C11" s="111">
        <v>4713.07</v>
      </c>
      <c r="D11" s="110">
        <v>3125.07</v>
      </c>
      <c r="E11" s="112">
        <v>167.76</v>
      </c>
      <c r="G11" s="204"/>
      <c r="H11" s="215"/>
      <c r="I11" s="28"/>
      <c r="J11" s="28"/>
      <c r="K11" s="226">
        <f t="shared" si="0"/>
        <v>0</v>
      </c>
      <c r="M11" s="109">
        <v>44384</v>
      </c>
      <c r="N11" s="110">
        <v>5863.48</v>
      </c>
      <c r="O11" s="113">
        <v>1014.02</v>
      </c>
      <c r="P11" s="110"/>
      <c r="Q11" s="111"/>
      <c r="R11" s="204"/>
      <c r="S11" s="88">
        <v>19.95243999999991</v>
      </c>
      <c r="T11" s="329"/>
      <c r="U11" s="28"/>
      <c r="V11" s="226">
        <f t="shared" si="1"/>
        <v>19.95243999999991</v>
      </c>
      <c r="X11" s="109">
        <v>44384</v>
      </c>
      <c r="Y11" s="110">
        <v>7350.08</v>
      </c>
      <c r="Z11" s="113">
        <v>1761.31</v>
      </c>
      <c r="AA11" s="113"/>
      <c r="AB11" s="111">
        <v>117.61</v>
      </c>
      <c r="AC11" s="204"/>
      <c r="AD11" s="88">
        <v>27.665547000000004</v>
      </c>
      <c r="AE11" s="28"/>
      <c r="AF11" s="28"/>
      <c r="AG11" s="226">
        <f t="shared" si="2"/>
        <v>145.27554700000002</v>
      </c>
      <c r="AI11" s="109">
        <v>44384</v>
      </c>
      <c r="AJ11" s="110">
        <v>3424.07</v>
      </c>
      <c r="AK11" s="113">
        <v>1467.12</v>
      </c>
      <c r="AL11" s="110"/>
      <c r="AM11" s="111"/>
      <c r="AN11" s="204"/>
      <c r="AO11" s="215"/>
      <c r="AP11" s="28"/>
      <c r="AQ11" s="28"/>
      <c r="AR11" s="226">
        <f t="shared" si="3"/>
        <v>0</v>
      </c>
      <c r="AT11" s="109">
        <v>44384</v>
      </c>
      <c r="AU11" s="110">
        <v>428.56</v>
      </c>
      <c r="AV11" s="113">
        <v>52.08</v>
      </c>
      <c r="AW11" s="110"/>
      <c r="AX11" s="110">
        <v>0</v>
      </c>
      <c r="AY11" s="204"/>
      <c r="AZ11" s="88">
        <v>820.80753099999947</v>
      </c>
      <c r="BA11" s="28"/>
      <c r="BB11" s="28"/>
      <c r="BC11" s="226">
        <f t="shared" si="4"/>
        <v>820.80753099999947</v>
      </c>
      <c r="BE11" s="109">
        <v>44384</v>
      </c>
      <c r="BF11" s="114">
        <v>4723.8999999999996</v>
      </c>
      <c r="BG11" s="114">
        <v>983.66</v>
      </c>
      <c r="BH11" s="110"/>
      <c r="BI11" s="243">
        <v>8.74</v>
      </c>
      <c r="BJ11" s="204"/>
      <c r="BK11" s="88">
        <v>109.25280900000004</v>
      </c>
      <c r="BL11" s="329">
        <v>89.120685999999978</v>
      </c>
      <c r="BM11" s="28"/>
      <c r="BN11" s="226">
        <f t="shared" si="5"/>
        <v>207.113495</v>
      </c>
      <c r="BP11" s="109">
        <v>44384</v>
      </c>
      <c r="BQ11" s="110">
        <v>763.5</v>
      </c>
      <c r="BR11" s="113">
        <v>627.51</v>
      </c>
      <c r="BS11" s="110"/>
      <c r="BT11" s="115"/>
      <c r="BU11" s="204"/>
      <c r="BV11" s="215"/>
      <c r="BW11" s="28"/>
      <c r="BX11" s="28"/>
      <c r="BY11" s="226">
        <f t="shared" si="6"/>
        <v>0</v>
      </c>
      <c r="CA11" s="109">
        <v>44384</v>
      </c>
      <c r="CB11" s="110">
        <v>21133.49</v>
      </c>
      <c r="CC11" s="113">
        <v>3035.37</v>
      </c>
      <c r="CD11" s="110"/>
      <c r="CE11" s="110"/>
      <c r="CF11" s="204"/>
      <c r="CG11" s="215"/>
      <c r="CH11" s="28"/>
      <c r="CI11" s="28"/>
      <c r="CJ11" s="226">
        <f t="shared" si="7"/>
        <v>0</v>
      </c>
      <c r="CL11" s="109">
        <v>44384</v>
      </c>
      <c r="CM11" s="110">
        <v>9341.36</v>
      </c>
      <c r="CN11" s="113">
        <v>2622.71</v>
      </c>
      <c r="CO11" s="110"/>
      <c r="CP11" s="115"/>
      <c r="CQ11" s="204"/>
      <c r="CR11" s="88">
        <v>47.66037</v>
      </c>
      <c r="CS11" s="328">
        <v>64.492579999999975</v>
      </c>
      <c r="CT11" s="28"/>
      <c r="CU11" s="226">
        <f t="shared" si="8"/>
        <v>112.15294999999998</v>
      </c>
      <c r="CW11" s="109">
        <v>44384</v>
      </c>
      <c r="CX11" s="110">
        <v>3311.03</v>
      </c>
      <c r="CY11" s="113">
        <v>1124.79</v>
      </c>
      <c r="CZ11" s="110"/>
      <c r="DA11" s="111"/>
      <c r="DB11" s="204"/>
      <c r="DC11" s="88">
        <v>30.955410000000015</v>
      </c>
      <c r="DD11" s="329"/>
      <c r="DE11" s="28"/>
      <c r="DF11" s="226">
        <f t="shared" si="9"/>
        <v>30.955410000000015</v>
      </c>
      <c r="DH11" s="109">
        <v>44384</v>
      </c>
      <c r="DI11" s="110">
        <v>1322.38</v>
      </c>
      <c r="DJ11" s="113"/>
      <c r="DK11" s="110"/>
      <c r="DL11" s="115"/>
      <c r="DM11" s="204"/>
      <c r="DN11" s="215"/>
      <c r="DO11" s="28"/>
      <c r="DP11" s="28"/>
      <c r="DQ11" s="226">
        <f t="shared" si="10"/>
        <v>0</v>
      </c>
      <c r="DS11" s="109">
        <v>44384</v>
      </c>
      <c r="DT11" s="110">
        <v>2001.49</v>
      </c>
      <c r="DU11" s="113">
        <v>945.49</v>
      </c>
      <c r="DV11" s="110"/>
      <c r="DW11" s="115"/>
      <c r="DX11" s="204"/>
      <c r="DY11" s="88">
        <v>201.08073800000022</v>
      </c>
      <c r="DZ11" s="329">
        <v>580.78197200000011</v>
      </c>
      <c r="EA11" s="335"/>
      <c r="EB11" s="226">
        <f t="shared" si="11"/>
        <v>781.86271000000033</v>
      </c>
      <c r="ED11" s="109">
        <v>44384</v>
      </c>
      <c r="EE11" s="110">
        <v>8070.04</v>
      </c>
      <c r="EF11" s="113">
        <v>1658.66</v>
      </c>
      <c r="EG11" s="110"/>
      <c r="EH11" s="111">
        <v>125.27</v>
      </c>
      <c r="EI11" s="204"/>
      <c r="EJ11" s="88">
        <v>24.860159999999993</v>
      </c>
      <c r="EK11" s="328"/>
      <c r="EL11" s="28"/>
      <c r="EM11" s="226">
        <f t="shared" si="12"/>
        <v>150.13015999999999</v>
      </c>
      <c r="EO11" s="109">
        <v>44384</v>
      </c>
      <c r="EP11" s="110">
        <v>1130.1099999999999</v>
      </c>
      <c r="EQ11" s="113">
        <v>341.99</v>
      </c>
      <c r="ER11" s="110"/>
      <c r="ES11" s="115"/>
      <c r="ET11" s="204"/>
      <c r="EU11" s="215"/>
      <c r="EV11" s="28"/>
      <c r="EW11" s="28"/>
      <c r="EX11" s="226">
        <f t="shared" si="13"/>
        <v>0</v>
      </c>
    </row>
    <row r="12" spans="1:154" x14ac:dyDescent="0.25">
      <c r="A12" s="109">
        <v>44385</v>
      </c>
      <c r="B12" s="110">
        <v>22645.040000000001</v>
      </c>
      <c r="C12" s="111">
        <v>4478.8999999999996</v>
      </c>
      <c r="D12" s="110">
        <v>3601.39</v>
      </c>
      <c r="E12" s="112">
        <v>240.56</v>
      </c>
      <c r="G12" s="204"/>
      <c r="H12" s="215"/>
      <c r="I12" s="28"/>
      <c r="J12" s="28"/>
      <c r="K12" s="226">
        <f t="shared" si="0"/>
        <v>0</v>
      </c>
      <c r="M12" s="109">
        <v>44385</v>
      </c>
      <c r="N12" s="110">
        <v>3093.89</v>
      </c>
      <c r="O12" s="113">
        <v>337.79</v>
      </c>
      <c r="P12" s="110"/>
      <c r="Q12" s="111"/>
      <c r="R12" s="204"/>
      <c r="S12" s="88">
        <v>35.370159999999942</v>
      </c>
      <c r="T12" s="329">
        <v>2.4656099999999981</v>
      </c>
      <c r="U12" s="28"/>
      <c r="V12" s="226">
        <f t="shared" si="1"/>
        <v>37.83576999999994</v>
      </c>
      <c r="X12" s="109">
        <v>44385</v>
      </c>
      <c r="Y12" s="110">
        <v>5767.97</v>
      </c>
      <c r="Z12" s="113">
        <v>1303.9000000000001</v>
      </c>
      <c r="AA12" s="113"/>
      <c r="AB12" s="111">
        <v>123.39</v>
      </c>
      <c r="AC12" s="204"/>
      <c r="AD12" s="88">
        <v>65.571420000000018</v>
      </c>
      <c r="AE12" s="28"/>
      <c r="AF12" s="28"/>
      <c r="AG12" s="226">
        <f t="shared" si="2"/>
        <v>188.96142000000003</v>
      </c>
      <c r="AI12" s="109">
        <v>44385</v>
      </c>
      <c r="AJ12" s="110">
        <v>2868.63</v>
      </c>
      <c r="AK12" s="113">
        <v>1049.3800000000001</v>
      </c>
      <c r="AL12" s="110"/>
      <c r="AM12" s="111"/>
      <c r="AN12" s="204"/>
      <c r="AO12" s="215"/>
      <c r="AP12" s="28"/>
      <c r="AQ12" s="28"/>
      <c r="AR12" s="226">
        <f t="shared" si="3"/>
        <v>0</v>
      </c>
      <c r="AT12" s="109">
        <v>44385</v>
      </c>
      <c r="AU12" s="110">
        <v>140</v>
      </c>
      <c r="AV12" s="113">
        <v>87.77</v>
      </c>
      <c r="AW12" s="110"/>
      <c r="AX12" s="110">
        <v>0</v>
      </c>
      <c r="AY12" s="204"/>
      <c r="AZ12" s="88">
        <v>264.37834899999984</v>
      </c>
      <c r="BA12" s="28"/>
      <c r="BB12" s="28"/>
      <c r="BC12" s="226">
        <f t="shared" si="4"/>
        <v>264.37834899999984</v>
      </c>
      <c r="BE12" s="109">
        <v>44385</v>
      </c>
      <c r="BF12" s="114">
        <v>4931.62</v>
      </c>
      <c r="BG12" s="114">
        <v>1191.72</v>
      </c>
      <c r="BH12" s="110"/>
      <c r="BI12" s="243">
        <v>15.17</v>
      </c>
      <c r="BJ12" s="204"/>
      <c r="BK12" s="88">
        <v>148.35060800000002</v>
      </c>
      <c r="BL12" s="329">
        <v>74.45012899999999</v>
      </c>
      <c r="BM12" s="28"/>
      <c r="BN12" s="226">
        <f t="shared" si="5"/>
        <v>237.97073699999999</v>
      </c>
      <c r="BP12" s="109">
        <v>44385</v>
      </c>
      <c r="BQ12" s="110">
        <v>506.8</v>
      </c>
      <c r="BR12" s="113">
        <v>528.17999999999995</v>
      </c>
      <c r="BS12" s="110"/>
      <c r="BT12" s="115">
        <v>28</v>
      </c>
      <c r="BU12" s="204"/>
      <c r="BV12" s="215"/>
      <c r="BW12" s="28"/>
      <c r="BX12" s="28"/>
      <c r="BY12" s="226">
        <f t="shared" si="6"/>
        <v>28</v>
      </c>
      <c r="CA12" s="109">
        <v>44385</v>
      </c>
      <c r="CB12" s="110">
        <v>20874.86</v>
      </c>
      <c r="CC12" s="113">
        <v>2662.43</v>
      </c>
      <c r="CD12" s="110"/>
      <c r="CE12" s="110"/>
      <c r="CF12" s="204"/>
      <c r="CG12" s="215"/>
      <c r="CH12" s="28"/>
      <c r="CI12" s="28"/>
      <c r="CJ12" s="226">
        <f t="shared" si="7"/>
        <v>0</v>
      </c>
      <c r="CL12" s="109">
        <v>44385</v>
      </c>
      <c r="CM12" s="110">
        <v>11532.45</v>
      </c>
      <c r="CN12" s="113">
        <v>1682.02</v>
      </c>
      <c r="CO12" s="110"/>
      <c r="CP12" s="115"/>
      <c r="CQ12" s="204"/>
      <c r="CR12" s="88">
        <v>3.4221000000000004</v>
      </c>
      <c r="CS12" s="328">
        <v>28.687750000000008</v>
      </c>
      <c r="CT12" s="28"/>
      <c r="CU12" s="226">
        <f t="shared" si="8"/>
        <v>32.109850000000009</v>
      </c>
      <c r="CW12" s="109">
        <v>44385</v>
      </c>
      <c r="CX12" s="110">
        <v>3558.86</v>
      </c>
      <c r="CY12" s="113">
        <v>491.31</v>
      </c>
      <c r="CZ12" s="110"/>
      <c r="DA12" s="111"/>
      <c r="DB12" s="204"/>
      <c r="DC12" s="88">
        <v>87.698799999999892</v>
      </c>
      <c r="DD12" s="329"/>
      <c r="DE12" s="28"/>
      <c r="DF12" s="226">
        <f t="shared" si="9"/>
        <v>87.698799999999892</v>
      </c>
      <c r="DH12" s="109">
        <v>44385</v>
      </c>
      <c r="DI12" s="110">
        <v>1672.62</v>
      </c>
      <c r="DJ12" s="113"/>
      <c r="DK12" s="110"/>
      <c r="DL12" s="115"/>
      <c r="DM12" s="204"/>
      <c r="DN12" s="215"/>
      <c r="DO12" s="28"/>
      <c r="DP12" s="28"/>
      <c r="DQ12" s="226">
        <f t="shared" si="10"/>
        <v>0</v>
      </c>
      <c r="DS12" s="109">
        <v>44385</v>
      </c>
      <c r="DT12" s="110">
        <v>1279.99</v>
      </c>
      <c r="DU12" s="113">
        <v>378.96</v>
      </c>
      <c r="DV12" s="110"/>
      <c r="DW12" s="115"/>
      <c r="DX12" s="204"/>
      <c r="DY12" s="88">
        <v>81.368026000000029</v>
      </c>
      <c r="DZ12" s="329">
        <v>437.75889300000034</v>
      </c>
      <c r="EA12" s="335"/>
      <c r="EB12" s="226">
        <f t="shared" si="11"/>
        <v>519.12691900000038</v>
      </c>
      <c r="ED12" s="109">
        <v>44385</v>
      </c>
      <c r="EE12" s="110">
        <v>6004.81</v>
      </c>
      <c r="EF12" s="113">
        <v>2783.63</v>
      </c>
      <c r="EG12" s="110"/>
      <c r="EH12" s="111">
        <v>182.38</v>
      </c>
      <c r="EI12" s="204"/>
      <c r="EJ12" s="88"/>
      <c r="EK12" s="328"/>
      <c r="EL12" s="28"/>
      <c r="EM12" s="226">
        <f t="shared" si="12"/>
        <v>182.38</v>
      </c>
      <c r="EO12" s="109">
        <v>44385</v>
      </c>
      <c r="EP12" s="110">
        <v>1046.92</v>
      </c>
      <c r="EQ12" s="113">
        <v>537.02</v>
      </c>
      <c r="ER12" s="110"/>
      <c r="ES12" s="115"/>
      <c r="ET12" s="204"/>
      <c r="EU12" s="215"/>
      <c r="EV12" s="28"/>
      <c r="EW12" s="28"/>
      <c r="EX12" s="226">
        <f t="shared" si="13"/>
        <v>0</v>
      </c>
    </row>
    <row r="13" spans="1:154" x14ac:dyDescent="0.25">
      <c r="A13" s="109">
        <v>44386</v>
      </c>
      <c r="B13" s="110">
        <v>23927.15</v>
      </c>
      <c r="C13" s="111">
        <v>4757.4399999999996</v>
      </c>
      <c r="D13" s="110">
        <v>3991.67</v>
      </c>
      <c r="E13" s="112">
        <v>209.3</v>
      </c>
      <c r="G13" s="204"/>
      <c r="H13" s="215"/>
      <c r="I13" s="28"/>
      <c r="J13" s="28"/>
      <c r="K13" s="226">
        <f t="shared" si="0"/>
        <v>0</v>
      </c>
      <c r="M13" s="109">
        <v>44386</v>
      </c>
      <c r="N13" s="110">
        <v>5120.54</v>
      </c>
      <c r="O13" s="113">
        <v>226.39</v>
      </c>
      <c r="P13" s="110"/>
      <c r="Q13" s="111"/>
      <c r="R13" s="204"/>
      <c r="S13" s="88">
        <v>-10.510399999999976</v>
      </c>
      <c r="T13" s="329">
        <v>53.148049999999969</v>
      </c>
      <c r="U13" s="28"/>
      <c r="V13" s="226">
        <f t="shared" si="1"/>
        <v>42.637649999999994</v>
      </c>
      <c r="X13" s="109">
        <v>44386</v>
      </c>
      <c r="Y13" s="110">
        <v>8063.63</v>
      </c>
      <c r="Z13" s="113">
        <v>2889.36</v>
      </c>
      <c r="AA13" s="113"/>
      <c r="AB13" s="111">
        <v>238.38</v>
      </c>
      <c r="AC13" s="204"/>
      <c r="AD13" s="88">
        <v>76.5</v>
      </c>
      <c r="AE13" s="28"/>
      <c r="AF13" s="28"/>
      <c r="AG13" s="226">
        <f t="shared" si="2"/>
        <v>314.88</v>
      </c>
      <c r="AI13" s="109">
        <v>44386</v>
      </c>
      <c r="AJ13" s="110">
        <v>2877.04</v>
      </c>
      <c r="AK13" s="113">
        <v>930.15</v>
      </c>
      <c r="AL13" s="110"/>
      <c r="AM13" s="111"/>
      <c r="AN13" s="204"/>
      <c r="AO13" s="215"/>
      <c r="AP13" s="28"/>
      <c r="AQ13" s="28"/>
      <c r="AR13" s="226">
        <f t="shared" si="3"/>
        <v>0</v>
      </c>
      <c r="AT13" s="109">
        <v>44386</v>
      </c>
      <c r="AU13" s="110">
        <v>306.11</v>
      </c>
      <c r="AV13" s="113">
        <v>0</v>
      </c>
      <c r="AW13" s="110"/>
      <c r="AX13" s="110">
        <v>102.7</v>
      </c>
      <c r="AY13" s="204"/>
      <c r="AZ13" s="88">
        <v>295.96526399999993</v>
      </c>
      <c r="BA13" s="28"/>
      <c r="BB13" s="28"/>
      <c r="BC13" s="226">
        <f t="shared" si="4"/>
        <v>398.66526399999992</v>
      </c>
      <c r="BE13" s="109">
        <v>44386</v>
      </c>
      <c r="BF13" s="114">
        <v>5528.91</v>
      </c>
      <c r="BG13" s="114">
        <v>884.71</v>
      </c>
      <c r="BH13" s="110"/>
      <c r="BI13" s="243">
        <v>0</v>
      </c>
      <c r="BJ13" s="204"/>
      <c r="BK13" s="88">
        <v>314.94179799999984</v>
      </c>
      <c r="BL13" s="329"/>
      <c r="BM13" s="28"/>
      <c r="BN13" s="226">
        <f t="shared" si="5"/>
        <v>314.94179799999984</v>
      </c>
      <c r="BP13" s="109">
        <v>44386</v>
      </c>
      <c r="BQ13" s="110">
        <v>504.1</v>
      </c>
      <c r="BR13" s="113">
        <v>638.27</v>
      </c>
      <c r="BS13" s="110"/>
      <c r="BT13" s="115"/>
      <c r="BU13" s="204"/>
      <c r="BV13" s="215"/>
      <c r="BW13" s="28"/>
      <c r="BX13" s="28"/>
      <c r="BY13" s="226">
        <f t="shared" si="6"/>
        <v>0</v>
      </c>
      <c r="CA13" s="109">
        <v>44386</v>
      </c>
      <c r="CB13" s="110">
        <v>20433.8</v>
      </c>
      <c r="CC13" s="113">
        <v>2804.8</v>
      </c>
      <c r="CD13" s="110"/>
      <c r="CE13" s="110"/>
      <c r="CF13" s="204"/>
      <c r="CG13" s="215"/>
      <c r="CH13" s="28"/>
      <c r="CI13" s="28"/>
      <c r="CJ13" s="226">
        <f t="shared" si="7"/>
        <v>0</v>
      </c>
      <c r="CL13" s="109">
        <v>44386</v>
      </c>
      <c r="CM13" s="110">
        <v>15841.36</v>
      </c>
      <c r="CN13" s="113">
        <v>2270.58</v>
      </c>
      <c r="CO13" s="110"/>
      <c r="CP13" s="115"/>
      <c r="CQ13" s="204"/>
      <c r="CR13" s="88">
        <v>92.429480000000012</v>
      </c>
      <c r="CS13" s="328"/>
      <c r="CT13" s="28"/>
      <c r="CU13" s="226">
        <f t="shared" si="8"/>
        <v>92.429480000000012</v>
      </c>
      <c r="CW13" s="109">
        <v>44386</v>
      </c>
      <c r="CX13" s="110">
        <v>4989.93</v>
      </c>
      <c r="CY13" s="113">
        <v>270.05</v>
      </c>
      <c r="CZ13" s="110"/>
      <c r="DA13" s="111"/>
      <c r="DB13" s="204"/>
      <c r="DC13" s="88">
        <v>46.314379999999936</v>
      </c>
      <c r="DD13" s="329"/>
      <c r="DE13" s="28"/>
      <c r="DF13" s="226">
        <f t="shared" si="9"/>
        <v>46.314379999999936</v>
      </c>
      <c r="DH13" s="109">
        <v>44386</v>
      </c>
      <c r="DI13" s="110">
        <v>3180.6</v>
      </c>
      <c r="DJ13" s="113"/>
      <c r="DK13" s="110"/>
      <c r="DL13" s="115"/>
      <c r="DM13" s="204"/>
      <c r="DN13" s="215"/>
      <c r="DO13" s="28"/>
      <c r="DP13" s="28"/>
      <c r="DQ13" s="226">
        <f t="shared" si="10"/>
        <v>0</v>
      </c>
      <c r="DS13" s="109">
        <v>44386</v>
      </c>
      <c r="DT13" s="110">
        <v>2112.89</v>
      </c>
      <c r="DU13" s="113">
        <v>168.79</v>
      </c>
      <c r="DV13" s="110"/>
      <c r="DW13" s="115"/>
      <c r="DX13" s="204"/>
      <c r="DY13" s="88">
        <v>154.98724200000001</v>
      </c>
      <c r="DZ13" s="329">
        <v>396.96153700000008</v>
      </c>
      <c r="EA13" s="335">
        <v>12.470494169999995</v>
      </c>
      <c r="EB13" s="226">
        <f t="shared" si="11"/>
        <v>564.41927317</v>
      </c>
      <c r="ED13" s="109">
        <v>44386</v>
      </c>
      <c r="EE13" s="110">
        <v>7488.3</v>
      </c>
      <c r="EF13" s="113">
        <v>2013.69</v>
      </c>
      <c r="EG13" s="110"/>
      <c r="EH13" s="111">
        <v>144.37</v>
      </c>
      <c r="EI13" s="204"/>
      <c r="EJ13" s="88"/>
      <c r="EK13" s="328"/>
      <c r="EL13" s="28"/>
      <c r="EM13" s="226">
        <f t="shared" si="12"/>
        <v>144.37</v>
      </c>
      <c r="EO13" s="109">
        <v>44386</v>
      </c>
      <c r="EP13" s="110">
        <v>1169.78</v>
      </c>
      <c r="EQ13" s="113">
        <v>371.01</v>
      </c>
      <c r="ER13" s="110"/>
      <c r="ES13" s="115"/>
      <c r="ET13" s="204"/>
      <c r="EU13" s="215"/>
      <c r="EV13" s="28"/>
      <c r="EW13" s="28"/>
      <c r="EX13" s="226">
        <f t="shared" si="13"/>
        <v>0</v>
      </c>
    </row>
    <row r="14" spans="1:154" x14ac:dyDescent="0.25">
      <c r="A14" s="109">
        <v>44387</v>
      </c>
      <c r="B14" s="110">
        <v>22898.05</v>
      </c>
      <c r="C14" s="111">
        <v>4658.93</v>
      </c>
      <c r="D14" s="110">
        <v>3460.09</v>
      </c>
      <c r="E14" s="112">
        <v>185.15</v>
      </c>
      <c r="G14" s="204"/>
      <c r="H14" s="215"/>
      <c r="I14" s="28"/>
      <c r="J14" s="28"/>
      <c r="K14" s="226">
        <f t="shared" si="0"/>
        <v>0</v>
      </c>
      <c r="M14" s="109">
        <v>44387</v>
      </c>
      <c r="N14" s="110">
        <v>4421.74</v>
      </c>
      <c r="O14" s="113">
        <v>297.8</v>
      </c>
      <c r="P14" s="110"/>
      <c r="Q14" s="111"/>
      <c r="R14" s="204"/>
      <c r="S14" s="88">
        <v>0.97709999999997876</v>
      </c>
      <c r="T14" s="329">
        <v>2.286200000000008</v>
      </c>
      <c r="U14" s="28"/>
      <c r="V14" s="226">
        <f t="shared" si="1"/>
        <v>3.2632999999999868</v>
      </c>
      <c r="X14" s="109">
        <v>44387</v>
      </c>
      <c r="Y14" s="110">
        <v>7785.26</v>
      </c>
      <c r="Z14" s="113">
        <v>2455.86</v>
      </c>
      <c r="AA14" s="113"/>
      <c r="AB14" s="111">
        <v>155.46</v>
      </c>
      <c r="AC14" s="204"/>
      <c r="AD14" s="88">
        <v>12.171467000000007</v>
      </c>
      <c r="AE14" s="28"/>
      <c r="AF14" s="28"/>
      <c r="AG14" s="226">
        <f t="shared" si="2"/>
        <v>167.63146700000001</v>
      </c>
      <c r="AI14" s="109">
        <v>44387</v>
      </c>
      <c r="AJ14" s="110">
        <v>3303.16</v>
      </c>
      <c r="AK14" s="113">
        <v>1127.6199999999999</v>
      </c>
      <c r="AL14" s="110"/>
      <c r="AM14" s="111"/>
      <c r="AN14" s="204"/>
      <c r="AO14" s="215"/>
      <c r="AP14" s="28"/>
      <c r="AQ14" s="28"/>
      <c r="AR14" s="226">
        <f t="shared" si="3"/>
        <v>0</v>
      </c>
      <c r="AT14" s="109">
        <v>44387</v>
      </c>
      <c r="AU14" s="110">
        <v>242.31</v>
      </c>
      <c r="AV14" s="113">
        <v>23</v>
      </c>
      <c r="AW14" s="110"/>
      <c r="AX14" s="110">
        <v>0</v>
      </c>
      <c r="AY14" s="204"/>
      <c r="AZ14" s="88">
        <v>366.38909800000033</v>
      </c>
      <c r="BA14" s="28"/>
      <c r="BB14" s="28"/>
      <c r="BC14" s="226">
        <f t="shared" si="4"/>
        <v>366.38909800000033</v>
      </c>
      <c r="BE14" s="109">
        <v>44387</v>
      </c>
      <c r="BF14" s="114">
        <v>5303.26</v>
      </c>
      <c r="BG14" s="114">
        <v>1012.14</v>
      </c>
      <c r="BH14" s="110"/>
      <c r="BI14" s="243">
        <v>11.5</v>
      </c>
      <c r="BJ14" s="204"/>
      <c r="BK14" s="88">
        <v>161.79611399999999</v>
      </c>
      <c r="BL14" s="329">
        <v>59.770192000000009</v>
      </c>
      <c r="BM14" s="28"/>
      <c r="BN14" s="226">
        <f t="shared" si="5"/>
        <v>233.066306</v>
      </c>
      <c r="BP14" s="109">
        <v>44387</v>
      </c>
      <c r="BQ14" s="110">
        <v>451.73</v>
      </c>
      <c r="BR14" s="113">
        <v>495.07</v>
      </c>
      <c r="BS14" s="110"/>
      <c r="BT14" s="115"/>
      <c r="BU14" s="204"/>
      <c r="BV14" s="215"/>
      <c r="BW14" s="28"/>
      <c r="BX14" s="28"/>
      <c r="BY14" s="226">
        <f t="shared" si="6"/>
        <v>0</v>
      </c>
      <c r="CA14" s="109">
        <v>44387</v>
      </c>
      <c r="CB14" s="110">
        <v>24436.48</v>
      </c>
      <c r="CC14" s="113">
        <v>2337.44</v>
      </c>
      <c r="CD14" s="110"/>
      <c r="CE14" s="110"/>
      <c r="CF14" s="204"/>
      <c r="CG14" s="215"/>
      <c r="CH14" s="28"/>
      <c r="CI14" s="28"/>
      <c r="CJ14" s="226">
        <f t="shared" si="7"/>
        <v>0</v>
      </c>
      <c r="CL14" s="109">
        <v>44387</v>
      </c>
      <c r="CM14" s="110">
        <v>6506.61</v>
      </c>
      <c r="CN14" s="113">
        <v>1271.5899999999999</v>
      </c>
      <c r="CO14" s="110"/>
      <c r="CP14" s="115"/>
      <c r="CQ14" s="204"/>
      <c r="CR14" s="88"/>
      <c r="CS14" s="328"/>
      <c r="CT14" s="28"/>
      <c r="CU14" s="226">
        <f t="shared" si="8"/>
        <v>0</v>
      </c>
      <c r="CW14" s="109">
        <v>44387</v>
      </c>
      <c r="CX14" s="110">
        <v>6269.66</v>
      </c>
      <c r="CY14" s="113">
        <v>447.21</v>
      </c>
      <c r="CZ14" s="110"/>
      <c r="DA14" s="111"/>
      <c r="DB14" s="204"/>
      <c r="DC14" s="88">
        <v>36.350899999999896</v>
      </c>
      <c r="DD14" s="329">
        <v>3.5487499999999841</v>
      </c>
      <c r="DE14" s="28"/>
      <c r="DF14" s="226">
        <f t="shared" si="9"/>
        <v>39.89964999999988</v>
      </c>
      <c r="DH14" s="109">
        <v>44387</v>
      </c>
      <c r="DI14" s="110">
        <v>2843.43</v>
      </c>
      <c r="DJ14" s="113"/>
      <c r="DK14" s="110"/>
      <c r="DL14" s="115"/>
      <c r="DM14" s="204"/>
      <c r="DN14" s="215"/>
      <c r="DO14" s="28"/>
      <c r="DP14" s="28"/>
      <c r="DQ14" s="226">
        <f t="shared" si="10"/>
        <v>0</v>
      </c>
      <c r="DS14" s="109">
        <v>44387</v>
      </c>
      <c r="DT14" s="110">
        <v>1150.03</v>
      </c>
      <c r="DU14" s="113">
        <v>444.42</v>
      </c>
      <c r="DV14" s="110"/>
      <c r="DW14" s="115"/>
      <c r="DX14" s="204"/>
      <c r="DY14" s="88">
        <v>81.995194000000083</v>
      </c>
      <c r="DZ14" s="329">
        <v>886.4399999999996</v>
      </c>
      <c r="EA14" s="335"/>
      <c r="EB14" s="226">
        <f t="shared" si="11"/>
        <v>968.43519399999968</v>
      </c>
      <c r="ED14" s="109">
        <v>44387</v>
      </c>
      <c r="EE14" s="110">
        <v>8950.08</v>
      </c>
      <c r="EF14" s="113">
        <v>2577.33</v>
      </c>
      <c r="EG14" s="110"/>
      <c r="EH14" s="111">
        <v>122.69</v>
      </c>
      <c r="EI14" s="204"/>
      <c r="EJ14" s="88"/>
      <c r="EK14" s="328"/>
      <c r="EL14" s="28"/>
      <c r="EM14" s="226">
        <f t="shared" si="12"/>
        <v>122.69</v>
      </c>
      <c r="EO14" s="109">
        <v>44387</v>
      </c>
      <c r="EP14" s="110">
        <v>902.76</v>
      </c>
      <c r="EQ14" s="113">
        <v>460.73</v>
      </c>
      <c r="ER14" s="110"/>
      <c r="ES14" s="115"/>
      <c r="ET14" s="204"/>
      <c r="EU14" s="215"/>
      <c r="EV14" s="28"/>
      <c r="EW14" s="28"/>
      <c r="EX14" s="226">
        <f t="shared" si="13"/>
        <v>0</v>
      </c>
    </row>
    <row r="15" spans="1:154" x14ac:dyDescent="0.25">
      <c r="A15" s="109">
        <v>44388</v>
      </c>
      <c r="B15" s="110">
        <v>12281.95</v>
      </c>
      <c r="C15" s="111">
        <v>2036.15</v>
      </c>
      <c r="D15" s="110">
        <v>3174.26</v>
      </c>
      <c r="E15" s="112">
        <v>199.07</v>
      </c>
      <c r="G15" s="204"/>
      <c r="H15" s="215"/>
      <c r="I15" s="28"/>
      <c r="J15" s="28"/>
      <c r="K15" s="226">
        <f t="shared" si="0"/>
        <v>0</v>
      </c>
      <c r="M15" s="109">
        <v>44388</v>
      </c>
      <c r="N15" s="110">
        <v>5575.32</v>
      </c>
      <c r="O15" s="113">
        <v>734.28</v>
      </c>
      <c r="P15" s="110"/>
      <c r="Q15" s="111"/>
      <c r="R15" s="204"/>
      <c r="S15" s="88">
        <v>-4.1735600000000659</v>
      </c>
      <c r="T15" s="329"/>
      <c r="U15" s="28"/>
      <c r="V15" s="226">
        <f t="shared" si="1"/>
        <v>-4.1735600000000659</v>
      </c>
      <c r="X15" s="109">
        <v>44388</v>
      </c>
      <c r="Y15" s="110">
        <v>8528.27</v>
      </c>
      <c r="Z15" s="113">
        <v>2205.98</v>
      </c>
      <c r="AA15" s="113"/>
      <c r="AB15" s="111">
        <v>237.79</v>
      </c>
      <c r="AC15" s="204"/>
      <c r="AD15" s="88">
        <v>278.14734999999996</v>
      </c>
      <c r="AE15" s="28"/>
      <c r="AF15" s="28"/>
      <c r="AG15" s="226">
        <f t="shared" si="2"/>
        <v>515.93734999999992</v>
      </c>
      <c r="AI15" s="109">
        <v>44388</v>
      </c>
      <c r="AJ15" s="110">
        <v>2915.54</v>
      </c>
      <c r="AK15" s="113">
        <v>921.04</v>
      </c>
      <c r="AL15" s="110"/>
      <c r="AM15" s="111"/>
      <c r="AN15" s="204"/>
      <c r="AO15" s="215"/>
      <c r="AP15" s="28"/>
      <c r="AQ15" s="28"/>
      <c r="AR15" s="226">
        <f t="shared" si="3"/>
        <v>0</v>
      </c>
      <c r="AT15" s="109">
        <v>44388</v>
      </c>
      <c r="AU15" s="110">
        <v>487.04</v>
      </c>
      <c r="AV15" s="113">
        <v>93.76</v>
      </c>
      <c r="AW15" s="110"/>
      <c r="AX15" s="110">
        <v>117</v>
      </c>
      <c r="AY15" s="204"/>
      <c r="AZ15" s="88">
        <v>700.82060399999989</v>
      </c>
      <c r="BA15" s="28"/>
      <c r="BB15" s="28"/>
      <c r="BC15" s="226">
        <f t="shared" si="4"/>
        <v>817.82060399999989</v>
      </c>
      <c r="BE15" s="109">
        <v>44388</v>
      </c>
      <c r="BF15" s="114">
        <v>6264.1</v>
      </c>
      <c r="BG15" s="114">
        <v>1120.7</v>
      </c>
      <c r="BH15" s="110"/>
      <c r="BI15" s="243">
        <v>6.37</v>
      </c>
      <c r="BJ15" s="204"/>
      <c r="BK15" s="88">
        <v>307.29230499999994</v>
      </c>
      <c r="BL15" s="329"/>
      <c r="BM15" s="28"/>
      <c r="BN15" s="226">
        <f t="shared" si="5"/>
        <v>313.66230499999995</v>
      </c>
      <c r="BP15" s="109">
        <v>44388</v>
      </c>
      <c r="BQ15" s="110">
        <v>283</v>
      </c>
      <c r="BR15" s="113">
        <v>420.8</v>
      </c>
      <c r="BS15" s="110"/>
      <c r="BT15" s="115"/>
      <c r="BU15" s="204"/>
      <c r="BV15" s="215"/>
      <c r="BW15" s="28"/>
      <c r="BX15" s="28"/>
      <c r="BY15" s="226">
        <f t="shared" si="6"/>
        <v>0</v>
      </c>
      <c r="CA15" s="109">
        <v>44388</v>
      </c>
      <c r="CB15" s="110">
        <v>20810.43</v>
      </c>
      <c r="CC15" s="113">
        <v>3362.15</v>
      </c>
      <c r="CD15" s="110"/>
      <c r="CE15" s="110"/>
      <c r="CF15" s="204"/>
      <c r="CG15" s="215"/>
      <c r="CH15" s="28"/>
      <c r="CI15" s="28"/>
      <c r="CJ15" s="226">
        <f t="shared" si="7"/>
        <v>0</v>
      </c>
      <c r="CL15" s="109">
        <v>44388</v>
      </c>
      <c r="CM15" s="110">
        <v>10992.46</v>
      </c>
      <c r="CN15" s="113">
        <v>3244.46</v>
      </c>
      <c r="CO15" s="110"/>
      <c r="CP15" s="115"/>
      <c r="CQ15" s="204"/>
      <c r="CR15" s="88">
        <v>149.96112999999997</v>
      </c>
      <c r="CS15" s="328">
        <v>4.4004700000000003</v>
      </c>
      <c r="CT15" s="28"/>
      <c r="CU15" s="226">
        <f t="shared" si="8"/>
        <v>154.36159999999998</v>
      </c>
      <c r="CW15" s="109">
        <v>44388</v>
      </c>
      <c r="CX15" s="110">
        <v>3144.5</v>
      </c>
      <c r="CY15" s="113">
        <v>278.39999999999998</v>
      </c>
      <c r="CZ15" s="110"/>
      <c r="DA15" s="111"/>
      <c r="DB15" s="204"/>
      <c r="DC15" s="88">
        <v>17.202119999999923</v>
      </c>
      <c r="DD15" s="329">
        <v>9.0550000000000068</v>
      </c>
      <c r="DE15" s="28"/>
      <c r="DF15" s="226">
        <f t="shared" si="9"/>
        <v>26.257119999999929</v>
      </c>
      <c r="DH15" s="109">
        <v>44388</v>
      </c>
      <c r="DI15" s="110">
        <v>2722.01</v>
      </c>
      <c r="DJ15" s="113"/>
      <c r="DK15" s="110"/>
      <c r="DL15" s="115"/>
      <c r="DM15" s="204"/>
      <c r="DN15" s="215"/>
      <c r="DO15" s="28"/>
      <c r="DP15" s="28"/>
      <c r="DQ15" s="226">
        <f t="shared" si="10"/>
        <v>0</v>
      </c>
      <c r="DS15" s="109">
        <v>44388</v>
      </c>
      <c r="DT15" s="110">
        <v>2360.44</v>
      </c>
      <c r="DU15" s="113">
        <v>515.27</v>
      </c>
      <c r="DV15" s="110"/>
      <c r="DW15" s="115"/>
      <c r="DX15" s="204"/>
      <c r="DY15" s="88">
        <v>234.93848000000011</v>
      </c>
      <c r="DZ15" s="329">
        <v>53.609718000000029</v>
      </c>
      <c r="EA15" s="335"/>
      <c r="EB15" s="226">
        <f t="shared" si="11"/>
        <v>288.54819800000013</v>
      </c>
      <c r="ED15" s="109">
        <v>44388</v>
      </c>
      <c r="EE15" s="110">
        <v>7135.22</v>
      </c>
      <c r="EF15" s="113">
        <v>2186.6799999999998</v>
      </c>
      <c r="EG15" s="110"/>
      <c r="EH15" s="111">
        <v>129.30000000000001</v>
      </c>
      <c r="EI15" s="204"/>
      <c r="EJ15" s="88"/>
      <c r="EK15" s="328"/>
      <c r="EL15" s="28"/>
      <c r="EM15" s="226">
        <f t="shared" si="12"/>
        <v>129.30000000000001</v>
      </c>
      <c r="EO15" s="109">
        <v>44388</v>
      </c>
      <c r="EP15" s="110">
        <v>1184.75</v>
      </c>
      <c r="EQ15" s="113">
        <v>439.89</v>
      </c>
      <c r="ER15" s="110"/>
      <c r="ES15" s="115"/>
      <c r="ET15" s="204"/>
      <c r="EU15" s="215"/>
      <c r="EV15" s="28"/>
      <c r="EW15" s="28"/>
      <c r="EX15" s="226">
        <f t="shared" si="13"/>
        <v>0</v>
      </c>
    </row>
    <row r="16" spans="1:154" x14ac:dyDescent="0.25">
      <c r="A16" s="109">
        <v>44389</v>
      </c>
      <c r="B16" s="110">
        <v>20818.990000000002</v>
      </c>
      <c r="C16" s="111">
        <v>4715.3</v>
      </c>
      <c r="D16" s="110">
        <v>2727.5</v>
      </c>
      <c r="E16" s="112">
        <v>128.88999999999999</v>
      </c>
      <c r="G16" s="204"/>
      <c r="H16" s="215"/>
      <c r="I16" s="28"/>
      <c r="J16" s="28"/>
      <c r="K16" s="226">
        <f t="shared" si="0"/>
        <v>0</v>
      </c>
      <c r="M16" s="109">
        <v>44389</v>
      </c>
      <c r="N16" s="110">
        <v>2802.9</v>
      </c>
      <c r="O16" s="113">
        <v>448.56</v>
      </c>
      <c r="P16" s="110"/>
      <c r="Q16" s="111"/>
      <c r="R16" s="204"/>
      <c r="S16" s="88">
        <v>5.4399999999999977</v>
      </c>
      <c r="T16" s="329"/>
      <c r="U16" s="28"/>
      <c r="V16" s="226">
        <f t="shared" si="1"/>
        <v>5.4399999999999977</v>
      </c>
      <c r="X16" s="109">
        <v>44389</v>
      </c>
      <c r="Y16" s="110">
        <v>4486.12</v>
      </c>
      <c r="Z16" s="113">
        <v>2184.79</v>
      </c>
      <c r="AA16" s="113"/>
      <c r="AB16" s="111">
        <v>36.99</v>
      </c>
      <c r="AC16" s="204"/>
      <c r="AD16" s="88">
        <v>116.68417900000003</v>
      </c>
      <c r="AE16" s="28"/>
      <c r="AF16" s="28"/>
      <c r="AG16" s="226">
        <f t="shared" si="2"/>
        <v>153.67417900000004</v>
      </c>
      <c r="AI16" s="109">
        <v>44389</v>
      </c>
      <c r="AJ16" s="110">
        <v>2340.5500000000002</v>
      </c>
      <c r="AK16" s="113">
        <v>567.42999999999995</v>
      </c>
      <c r="AL16" s="110"/>
      <c r="AM16" s="111"/>
      <c r="AN16" s="204"/>
      <c r="AO16" s="215"/>
      <c r="AP16" s="28"/>
      <c r="AQ16" s="28"/>
      <c r="AR16" s="226">
        <f t="shared" si="3"/>
        <v>0</v>
      </c>
      <c r="AT16" s="109">
        <v>44389</v>
      </c>
      <c r="AU16" s="110">
        <v>643.6</v>
      </c>
      <c r="AV16" s="113">
        <v>20</v>
      </c>
      <c r="AW16" s="110"/>
      <c r="AX16" s="110">
        <v>98.8</v>
      </c>
      <c r="AY16" s="204"/>
      <c r="AZ16" s="88">
        <v>637.08055200000013</v>
      </c>
      <c r="BA16" s="28"/>
      <c r="BB16" s="28"/>
      <c r="BC16" s="226">
        <f t="shared" si="4"/>
        <v>735.88055200000008</v>
      </c>
      <c r="BE16" s="109">
        <v>44389</v>
      </c>
      <c r="BF16" s="114">
        <v>5222.3999999999996</v>
      </c>
      <c r="BG16" s="114">
        <v>1262.3699999999999</v>
      </c>
      <c r="BH16" s="110"/>
      <c r="BI16" s="243">
        <v>0</v>
      </c>
      <c r="BJ16" s="204"/>
      <c r="BK16" s="88">
        <v>116.41604399999996</v>
      </c>
      <c r="BL16" s="329">
        <v>208.84043000000008</v>
      </c>
      <c r="BM16" s="28"/>
      <c r="BN16" s="226">
        <f t="shared" si="5"/>
        <v>325.25647400000003</v>
      </c>
      <c r="BP16" s="109">
        <v>44389</v>
      </c>
      <c r="BQ16" s="110">
        <v>491.6</v>
      </c>
      <c r="BR16" s="113">
        <v>351.76</v>
      </c>
      <c r="BS16" s="110"/>
      <c r="BT16" s="115"/>
      <c r="BU16" s="204"/>
      <c r="BV16" s="215"/>
      <c r="BW16" s="28"/>
      <c r="BX16" s="28"/>
      <c r="BY16" s="226">
        <f t="shared" si="6"/>
        <v>0</v>
      </c>
      <c r="CA16" s="109">
        <v>44389</v>
      </c>
      <c r="CB16" s="110">
        <v>22687.26</v>
      </c>
      <c r="CC16" s="113">
        <v>2792.93</v>
      </c>
      <c r="CD16" s="110"/>
      <c r="CE16" s="110"/>
      <c r="CF16" s="204"/>
      <c r="CG16" s="215"/>
      <c r="CH16" s="28"/>
      <c r="CI16" s="28"/>
      <c r="CJ16" s="226">
        <f t="shared" si="7"/>
        <v>0</v>
      </c>
      <c r="CL16" s="109">
        <v>44389</v>
      </c>
      <c r="CM16" s="110">
        <v>9682.27</v>
      </c>
      <c r="CN16" s="113">
        <v>1742.32</v>
      </c>
      <c r="CO16" s="110"/>
      <c r="CP16" s="115"/>
      <c r="CQ16" s="204"/>
      <c r="CR16" s="88">
        <v>19.128639999999997</v>
      </c>
      <c r="CS16" s="328">
        <v>33.316760000000002</v>
      </c>
      <c r="CT16" s="28"/>
      <c r="CU16" s="226">
        <f t="shared" si="8"/>
        <v>52.445399999999999</v>
      </c>
      <c r="CW16" s="109">
        <v>44389</v>
      </c>
      <c r="CX16" s="110">
        <v>3073.06</v>
      </c>
      <c r="CY16" s="113">
        <v>492.53</v>
      </c>
      <c r="CZ16" s="110"/>
      <c r="DA16" s="111"/>
      <c r="DB16" s="204"/>
      <c r="DC16" s="88">
        <v>2.9718799999999419</v>
      </c>
      <c r="DD16" s="329"/>
      <c r="DE16" s="28"/>
      <c r="DF16" s="226">
        <f t="shared" si="9"/>
        <v>2.9718799999999419</v>
      </c>
      <c r="DH16" s="109">
        <v>44389</v>
      </c>
      <c r="DI16" s="110">
        <v>2362.86</v>
      </c>
      <c r="DJ16" s="113"/>
      <c r="DK16" s="110"/>
      <c r="DL16" s="115"/>
      <c r="DM16" s="204"/>
      <c r="DN16" s="215"/>
      <c r="DO16" s="28"/>
      <c r="DP16" s="28"/>
      <c r="DQ16" s="226">
        <f t="shared" si="10"/>
        <v>0</v>
      </c>
      <c r="DS16" s="109">
        <v>44389</v>
      </c>
      <c r="DT16" s="110">
        <v>1750.67</v>
      </c>
      <c r="DU16" s="113">
        <v>801.44</v>
      </c>
      <c r="DV16" s="110"/>
      <c r="DW16" s="115"/>
      <c r="DX16" s="204"/>
      <c r="DY16" s="88">
        <v>122.65060700000009</v>
      </c>
      <c r="DZ16" s="329">
        <v>1289.6088239999999</v>
      </c>
      <c r="EA16" s="335"/>
      <c r="EB16" s="226">
        <f t="shared" si="11"/>
        <v>1412.2594309999999</v>
      </c>
      <c r="ED16" s="109">
        <v>44389</v>
      </c>
      <c r="EE16" s="110">
        <v>7164.76</v>
      </c>
      <c r="EF16" s="113">
        <v>2099.0700000000002</v>
      </c>
      <c r="EG16" s="110"/>
      <c r="EH16" s="111">
        <v>109.78</v>
      </c>
      <c r="EI16" s="204"/>
      <c r="EJ16" s="88"/>
      <c r="EK16" s="328"/>
      <c r="EL16" s="28"/>
      <c r="EM16" s="226">
        <f t="shared" si="12"/>
        <v>109.78</v>
      </c>
      <c r="EO16" s="109">
        <v>44389</v>
      </c>
      <c r="EP16" s="110">
        <v>1228.51</v>
      </c>
      <c r="EQ16" s="113">
        <v>702.14</v>
      </c>
      <c r="ER16" s="110"/>
      <c r="ES16" s="115"/>
      <c r="ET16" s="204"/>
      <c r="EU16" s="215"/>
      <c r="EV16" s="28"/>
      <c r="EW16" s="28"/>
      <c r="EX16" s="226">
        <f t="shared" si="13"/>
        <v>0</v>
      </c>
    </row>
    <row r="17" spans="1:154" x14ac:dyDescent="0.25">
      <c r="A17" s="109">
        <v>44390</v>
      </c>
      <c r="B17" s="110">
        <v>20710.98</v>
      </c>
      <c r="C17" s="111">
        <v>4054.49</v>
      </c>
      <c r="D17" s="110">
        <v>2115.67</v>
      </c>
      <c r="E17" s="112">
        <v>60.36</v>
      </c>
      <c r="G17" s="204"/>
      <c r="H17" s="215"/>
      <c r="I17" s="28"/>
      <c r="J17" s="28"/>
      <c r="K17" s="226">
        <f t="shared" si="0"/>
        <v>0</v>
      </c>
      <c r="M17" s="109">
        <v>44390</v>
      </c>
      <c r="N17" s="110">
        <v>2712.46</v>
      </c>
      <c r="O17" s="113">
        <v>339.38</v>
      </c>
      <c r="P17" s="110"/>
      <c r="Q17" s="111"/>
      <c r="R17" s="204"/>
      <c r="S17" s="88"/>
      <c r="T17" s="329"/>
      <c r="U17" s="28"/>
      <c r="V17" s="226">
        <f t="shared" si="1"/>
        <v>0</v>
      </c>
      <c r="X17" s="109">
        <v>44390</v>
      </c>
      <c r="Y17" s="110">
        <v>4885.1400000000003</v>
      </c>
      <c r="Z17" s="113">
        <v>1900.28</v>
      </c>
      <c r="AA17" s="113"/>
      <c r="AB17" s="111">
        <v>189.61</v>
      </c>
      <c r="AC17" s="204"/>
      <c r="AD17" s="88">
        <v>11.125191000000001</v>
      </c>
      <c r="AE17" s="28"/>
      <c r="AF17" s="28"/>
      <c r="AG17" s="226">
        <f t="shared" si="2"/>
        <v>200.73519100000001</v>
      </c>
      <c r="AI17" s="109">
        <v>44390</v>
      </c>
      <c r="AJ17" s="110">
        <v>4313.3599999999997</v>
      </c>
      <c r="AK17" s="113">
        <v>1314.86</v>
      </c>
      <c r="AL17" s="110"/>
      <c r="AM17" s="111"/>
      <c r="AN17" s="204"/>
      <c r="AO17" s="215"/>
      <c r="AP17" s="28"/>
      <c r="AQ17" s="28"/>
      <c r="AR17" s="226">
        <f t="shared" si="3"/>
        <v>0</v>
      </c>
      <c r="AT17" s="109">
        <v>44390</v>
      </c>
      <c r="AU17" s="110">
        <v>229.03</v>
      </c>
      <c r="AV17" s="113">
        <v>36.28</v>
      </c>
      <c r="AW17" s="110"/>
      <c r="AX17" s="110">
        <v>0</v>
      </c>
      <c r="AY17" s="204"/>
      <c r="AZ17" s="88"/>
      <c r="BA17" s="28"/>
      <c r="BB17" s="28"/>
      <c r="BC17" s="226">
        <f t="shared" si="4"/>
        <v>0</v>
      </c>
      <c r="BE17" s="109">
        <v>44390</v>
      </c>
      <c r="BF17" s="114">
        <v>3711.45</v>
      </c>
      <c r="BG17" s="114">
        <v>966.51</v>
      </c>
      <c r="BH17" s="110"/>
      <c r="BI17" s="243">
        <v>0</v>
      </c>
      <c r="BJ17" s="204"/>
      <c r="BK17" s="88">
        <v>146.80238899999998</v>
      </c>
      <c r="BL17" s="329"/>
      <c r="BM17" s="28"/>
      <c r="BN17" s="226">
        <f t="shared" si="5"/>
        <v>146.80238899999998</v>
      </c>
      <c r="BP17" s="109">
        <v>44390</v>
      </c>
      <c r="BQ17" s="110">
        <v>425</v>
      </c>
      <c r="BR17" s="113">
        <v>182.91</v>
      </c>
      <c r="BS17" s="110"/>
      <c r="BT17" s="115"/>
      <c r="BU17" s="204"/>
      <c r="BV17" s="215"/>
      <c r="BW17" s="28"/>
      <c r="BX17" s="28"/>
      <c r="BY17" s="226">
        <f t="shared" si="6"/>
        <v>0</v>
      </c>
      <c r="CA17" s="109">
        <v>44390</v>
      </c>
      <c r="CB17" s="110">
        <v>20388.419999999998</v>
      </c>
      <c r="CC17" s="113">
        <v>2945.59</v>
      </c>
      <c r="CD17" s="110"/>
      <c r="CE17" s="110"/>
      <c r="CF17" s="204"/>
      <c r="CG17" s="215"/>
      <c r="CH17" s="28"/>
      <c r="CI17" s="28"/>
      <c r="CJ17" s="226">
        <f t="shared" si="7"/>
        <v>0</v>
      </c>
      <c r="CL17" s="109">
        <v>44390</v>
      </c>
      <c r="CM17" s="110">
        <v>6015.99</v>
      </c>
      <c r="CN17" s="113">
        <v>1281.6400000000001</v>
      </c>
      <c r="CO17" s="110"/>
      <c r="CP17" s="115"/>
      <c r="CQ17" s="204"/>
      <c r="CR17" s="88">
        <v>91.046359999999993</v>
      </c>
      <c r="CS17" s="328"/>
      <c r="CT17" s="28"/>
      <c r="CU17" s="226">
        <f t="shared" si="8"/>
        <v>91.046359999999993</v>
      </c>
      <c r="CW17" s="109">
        <v>44390</v>
      </c>
      <c r="CX17" s="110">
        <v>3944.26</v>
      </c>
      <c r="CY17" s="113">
        <v>522.99</v>
      </c>
      <c r="CZ17" s="110"/>
      <c r="DA17" s="111">
        <v>7.07</v>
      </c>
      <c r="DB17" s="204"/>
      <c r="DC17" s="88">
        <v>-2.730860000000078</v>
      </c>
      <c r="DD17" s="329"/>
      <c r="DE17" s="28"/>
      <c r="DF17" s="226">
        <f t="shared" si="9"/>
        <v>4.3391399999999223</v>
      </c>
      <c r="DH17" s="109">
        <v>44390</v>
      </c>
      <c r="DI17" s="110">
        <v>1362.77</v>
      </c>
      <c r="DJ17" s="113"/>
      <c r="DK17" s="110"/>
      <c r="DL17" s="115"/>
      <c r="DM17" s="204"/>
      <c r="DN17" s="215"/>
      <c r="DO17" s="28"/>
      <c r="DP17" s="28"/>
      <c r="DQ17" s="226">
        <f t="shared" si="10"/>
        <v>0</v>
      </c>
      <c r="DS17" s="109">
        <v>44390</v>
      </c>
      <c r="DT17" s="110">
        <v>1662.65</v>
      </c>
      <c r="DU17" s="113">
        <v>433.07</v>
      </c>
      <c r="DV17" s="110"/>
      <c r="DW17" s="115"/>
      <c r="DX17" s="204"/>
      <c r="DY17" s="88">
        <v>72.94987500000002</v>
      </c>
      <c r="DZ17" s="329">
        <v>20.339868000000024</v>
      </c>
      <c r="EA17" s="335"/>
      <c r="EB17" s="226">
        <f t="shared" si="11"/>
        <v>93.289743000000044</v>
      </c>
      <c r="ED17" s="109">
        <v>44390</v>
      </c>
      <c r="EE17" s="110">
        <v>5283.07</v>
      </c>
      <c r="EF17" s="113">
        <v>1508.98</v>
      </c>
      <c r="EG17" s="110"/>
      <c r="EH17" s="111">
        <v>83.18</v>
      </c>
      <c r="EI17" s="204"/>
      <c r="EJ17" s="88"/>
      <c r="EK17" s="328"/>
      <c r="EL17" s="28"/>
      <c r="EM17" s="226">
        <f t="shared" si="12"/>
        <v>83.18</v>
      </c>
      <c r="EO17" s="109">
        <v>44390</v>
      </c>
      <c r="EP17" s="110">
        <v>704.07</v>
      </c>
      <c r="EQ17" s="113">
        <v>386.26</v>
      </c>
      <c r="ER17" s="110"/>
      <c r="ES17" s="115"/>
      <c r="ET17" s="204"/>
      <c r="EU17" s="215"/>
      <c r="EV17" s="28"/>
      <c r="EW17" s="28"/>
      <c r="EX17" s="226">
        <f t="shared" si="13"/>
        <v>0</v>
      </c>
    </row>
    <row r="18" spans="1:154" x14ac:dyDescent="0.25">
      <c r="A18" s="109">
        <v>44391</v>
      </c>
      <c r="B18" s="110">
        <v>23224.9</v>
      </c>
      <c r="C18" s="111">
        <v>4116.57</v>
      </c>
      <c r="D18" s="110">
        <v>3388.32</v>
      </c>
      <c r="E18" s="112">
        <v>154.02000000000001</v>
      </c>
      <c r="G18" s="204"/>
      <c r="H18" s="215"/>
      <c r="I18" s="28"/>
      <c r="J18" s="28"/>
      <c r="K18" s="226">
        <f t="shared" si="0"/>
        <v>0</v>
      </c>
      <c r="M18" s="109">
        <v>44391</v>
      </c>
      <c r="N18" s="110">
        <v>5051.55</v>
      </c>
      <c r="O18" s="113">
        <v>367.99</v>
      </c>
      <c r="P18" s="110"/>
      <c r="Q18" s="111"/>
      <c r="R18" s="204"/>
      <c r="S18" s="88">
        <v>-16.420720000000017</v>
      </c>
      <c r="T18" s="329">
        <v>1.7499399999999952</v>
      </c>
      <c r="U18" s="28"/>
      <c r="V18" s="226">
        <f t="shared" si="1"/>
        <v>-14.670780000000022</v>
      </c>
      <c r="X18" s="109">
        <v>44391</v>
      </c>
      <c r="Y18" s="110">
        <v>5891.81</v>
      </c>
      <c r="Z18" s="113">
        <v>1632.01</v>
      </c>
      <c r="AA18" s="113"/>
      <c r="AB18" s="111">
        <v>179.87</v>
      </c>
      <c r="AC18" s="204"/>
      <c r="AD18" s="88">
        <v>27.05849299999997</v>
      </c>
      <c r="AE18" s="28"/>
      <c r="AF18" s="28"/>
      <c r="AG18" s="226">
        <f t="shared" si="2"/>
        <v>206.92849299999997</v>
      </c>
      <c r="AI18" s="109">
        <v>44391</v>
      </c>
      <c r="AJ18" s="110">
        <v>4024.22</v>
      </c>
      <c r="AK18" s="113">
        <v>1689.5</v>
      </c>
      <c r="AL18" s="110"/>
      <c r="AM18" s="111"/>
      <c r="AN18" s="204"/>
      <c r="AO18" s="215"/>
      <c r="AP18" s="28"/>
      <c r="AQ18" s="28"/>
      <c r="AR18" s="226">
        <f t="shared" si="3"/>
        <v>0</v>
      </c>
      <c r="AT18" s="109">
        <v>44391</v>
      </c>
      <c r="AU18" s="110">
        <v>1012.07</v>
      </c>
      <c r="AV18" s="113">
        <v>122</v>
      </c>
      <c r="AW18" s="110"/>
      <c r="AX18" s="110">
        <v>52</v>
      </c>
      <c r="AY18" s="204"/>
      <c r="AZ18" s="88">
        <v>388.26672000000008</v>
      </c>
      <c r="BA18" s="28"/>
      <c r="BB18" s="28"/>
      <c r="BC18" s="226">
        <f t="shared" si="4"/>
        <v>440.26672000000008</v>
      </c>
      <c r="BE18" s="109">
        <v>44391</v>
      </c>
      <c r="BF18" s="114">
        <v>4636.6000000000004</v>
      </c>
      <c r="BG18" s="114">
        <v>982.41</v>
      </c>
      <c r="BH18" s="110"/>
      <c r="BI18" s="243">
        <v>0</v>
      </c>
      <c r="BJ18" s="204"/>
      <c r="BK18" s="88">
        <v>250.32826999999997</v>
      </c>
      <c r="BL18" s="329"/>
      <c r="BM18" s="28"/>
      <c r="BN18" s="226">
        <f t="shared" si="5"/>
        <v>250.32826999999997</v>
      </c>
      <c r="BP18" s="109">
        <v>44391</v>
      </c>
      <c r="BQ18" s="110">
        <v>366.53</v>
      </c>
      <c r="BR18" s="113">
        <v>736.16</v>
      </c>
      <c r="BS18" s="110"/>
      <c r="BT18" s="115"/>
      <c r="BU18" s="204"/>
      <c r="BV18" s="215"/>
      <c r="BW18" s="28"/>
      <c r="BX18" s="28"/>
      <c r="BY18" s="226">
        <f t="shared" si="6"/>
        <v>0</v>
      </c>
      <c r="CA18" s="109">
        <v>44391</v>
      </c>
      <c r="CB18" s="110">
        <v>21190.68</v>
      </c>
      <c r="CC18" s="113">
        <v>2490.85</v>
      </c>
      <c r="CD18" s="110"/>
      <c r="CE18" s="110"/>
      <c r="CF18" s="204"/>
      <c r="CG18" s="215"/>
      <c r="CH18" s="28"/>
      <c r="CI18" s="28"/>
      <c r="CJ18" s="226">
        <f t="shared" si="7"/>
        <v>0</v>
      </c>
      <c r="CL18" s="109">
        <v>44391</v>
      </c>
      <c r="CM18" s="110">
        <v>9835.9599999999991</v>
      </c>
      <c r="CN18" s="113">
        <v>1882.82</v>
      </c>
      <c r="CO18" s="110"/>
      <c r="CP18" s="115"/>
      <c r="CQ18" s="204"/>
      <c r="CR18" s="88"/>
      <c r="CS18" s="328">
        <v>5.0311100000000017</v>
      </c>
      <c r="CT18" s="28"/>
      <c r="CU18" s="226">
        <f t="shared" si="8"/>
        <v>5.0311100000000017</v>
      </c>
      <c r="CW18" s="109">
        <v>44391</v>
      </c>
      <c r="CX18" s="110">
        <v>5965.33</v>
      </c>
      <c r="CY18" s="113">
        <v>285.31</v>
      </c>
      <c r="CZ18" s="110"/>
      <c r="DA18" s="111"/>
      <c r="DB18" s="204"/>
      <c r="DC18" s="88">
        <v>-3.0278200000001334</v>
      </c>
      <c r="DD18" s="329">
        <v>14.529999999999916</v>
      </c>
      <c r="DE18" s="28"/>
      <c r="DF18" s="226">
        <f t="shared" si="9"/>
        <v>11.502179999999782</v>
      </c>
      <c r="DH18" s="109">
        <v>44391</v>
      </c>
      <c r="DI18" s="110">
        <v>1599.4</v>
      </c>
      <c r="DJ18" s="113"/>
      <c r="DK18" s="110"/>
      <c r="DL18" s="115"/>
      <c r="DM18" s="204"/>
      <c r="DN18" s="215"/>
      <c r="DO18" s="28"/>
      <c r="DP18" s="28"/>
      <c r="DQ18" s="226">
        <f t="shared" si="10"/>
        <v>0</v>
      </c>
      <c r="DS18" s="109">
        <v>44391</v>
      </c>
      <c r="DT18" s="110">
        <v>1058.98</v>
      </c>
      <c r="DU18" s="113">
        <v>683.81</v>
      </c>
      <c r="DV18" s="110"/>
      <c r="DW18" s="115"/>
      <c r="DX18" s="204"/>
      <c r="DY18" s="88">
        <v>96.761460000000014</v>
      </c>
      <c r="DZ18" s="329"/>
      <c r="EA18" s="335"/>
      <c r="EB18" s="226">
        <f t="shared" si="11"/>
        <v>96.761460000000014</v>
      </c>
      <c r="ED18" s="109">
        <v>44391</v>
      </c>
      <c r="EE18" s="110">
        <v>7206.31</v>
      </c>
      <c r="EF18" s="113">
        <v>925.52</v>
      </c>
      <c r="EG18" s="110"/>
      <c r="EH18" s="111">
        <v>22.21</v>
      </c>
      <c r="EI18" s="204"/>
      <c r="EJ18" s="88"/>
      <c r="EK18" s="328">
        <v>29.143519999999967</v>
      </c>
      <c r="EL18" s="28"/>
      <c r="EM18" s="226">
        <f t="shared" si="12"/>
        <v>51.353519999999968</v>
      </c>
      <c r="EO18" s="109">
        <v>44391</v>
      </c>
      <c r="EP18" s="110">
        <v>1382.52</v>
      </c>
      <c r="EQ18" s="113">
        <v>390.02</v>
      </c>
      <c r="ER18" s="110"/>
      <c r="ES18" s="115"/>
      <c r="ET18" s="204"/>
      <c r="EU18" s="215"/>
      <c r="EV18" s="28"/>
      <c r="EW18" s="28"/>
      <c r="EX18" s="226">
        <f t="shared" si="13"/>
        <v>0</v>
      </c>
    </row>
    <row r="19" spans="1:154" x14ac:dyDescent="0.25">
      <c r="A19" s="109">
        <v>44392</v>
      </c>
      <c r="B19" s="110">
        <v>21446.47</v>
      </c>
      <c r="C19" s="111">
        <v>4461.32</v>
      </c>
      <c r="D19" s="110">
        <v>3766.44</v>
      </c>
      <c r="E19" s="112">
        <v>250.19</v>
      </c>
      <c r="G19" s="204"/>
      <c r="H19" s="215"/>
      <c r="I19" s="28"/>
      <c r="J19" s="28"/>
      <c r="K19" s="226">
        <f t="shared" si="0"/>
        <v>0</v>
      </c>
      <c r="M19" s="109">
        <v>44392</v>
      </c>
      <c r="N19" s="110">
        <v>3227.96</v>
      </c>
      <c r="O19" s="113">
        <v>429.31</v>
      </c>
      <c r="P19" s="110"/>
      <c r="Q19" s="111"/>
      <c r="R19" s="204"/>
      <c r="S19" s="88">
        <v>5.7975399999999997</v>
      </c>
      <c r="T19" s="329"/>
      <c r="U19" s="28"/>
      <c r="V19" s="226">
        <f t="shared" si="1"/>
        <v>5.7975399999999997</v>
      </c>
      <c r="X19" s="109">
        <v>44392</v>
      </c>
      <c r="Y19" s="110">
        <v>5153.68</v>
      </c>
      <c r="Z19" s="113">
        <v>2091.98</v>
      </c>
      <c r="AA19" s="113"/>
      <c r="AB19" s="111">
        <v>105.19</v>
      </c>
      <c r="AC19" s="204"/>
      <c r="AD19" s="88">
        <v>76.5</v>
      </c>
      <c r="AE19" s="28"/>
      <c r="AF19" s="28"/>
      <c r="AG19" s="226">
        <f t="shared" si="2"/>
        <v>181.69</v>
      </c>
      <c r="AI19" s="109">
        <v>44392</v>
      </c>
      <c r="AJ19" s="110">
        <v>2368.5</v>
      </c>
      <c r="AK19" s="113">
        <v>360.52</v>
      </c>
      <c r="AL19" s="110"/>
      <c r="AM19" s="111"/>
      <c r="AN19" s="204"/>
      <c r="AO19" s="215"/>
      <c r="AP19" s="28"/>
      <c r="AQ19" s="28"/>
      <c r="AR19" s="226">
        <f t="shared" si="3"/>
        <v>0</v>
      </c>
      <c r="AT19" s="109">
        <v>44392</v>
      </c>
      <c r="AU19" s="110">
        <v>422.02</v>
      </c>
      <c r="AV19" s="113">
        <v>23.63</v>
      </c>
      <c r="AW19" s="110"/>
      <c r="AX19" s="110">
        <v>104</v>
      </c>
      <c r="AY19" s="204"/>
      <c r="AZ19" s="88">
        <v>570.95209999999986</v>
      </c>
      <c r="BA19" s="28"/>
      <c r="BB19" s="28"/>
      <c r="BC19" s="226">
        <f t="shared" si="4"/>
        <v>674.95209999999986</v>
      </c>
      <c r="BE19" s="109">
        <v>44392</v>
      </c>
      <c r="BF19" s="114">
        <v>5118.3599999999997</v>
      </c>
      <c r="BG19" s="114">
        <v>854.4</v>
      </c>
      <c r="BH19" s="110"/>
      <c r="BI19" s="243">
        <v>12.39</v>
      </c>
      <c r="BJ19" s="204"/>
      <c r="BK19" s="88">
        <v>72.23148999999998</v>
      </c>
      <c r="BL19" s="329">
        <v>58.060739000000012</v>
      </c>
      <c r="BM19" s="28"/>
      <c r="BN19" s="226">
        <f t="shared" si="5"/>
        <v>142.68222900000001</v>
      </c>
      <c r="BP19" s="109">
        <v>44392</v>
      </c>
      <c r="BQ19" s="110">
        <v>797</v>
      </c>
      <c r="BR19" s="113">
        <v>762.67</v>
      </c>
      <c r="BS19" s="110"/>
      <c r="BT19" s="115">
        <v>62.2</v>
      </c>
      <c r="BU19" s="204"/>
      <c r="BV19" s="215"/>
      <c r="BW19" s="28"/>
      <c r="BX19" s="28"/>
      <c r="BY19" s="226">
        <f t="shared" si="6"/>
        <v>62.2</v>
      </c>
      <c r="CA19" s="109">
        <v>44392</v>
      </c>
      <c r="CB19" s="110">
        <v>21987.08</v>
      </c>
      <c r="CC19" s="113">
        <v>2575.11</v>
      </c>
      <c r="CD19" s="110"/>
      <c r="CE19" s="110"/>
      <c r="CF19" s="204"/>
      <c r="CG19" s="215"/>
      <c r="CH19" s="28"/>
      <c r="CI19" s="28"/>
      <c r="CJ19" s="226">
        <f t="shared" si="7"/>
        <v>0</v>
      </c>
      <c r="CL19" s="109">
        <v>44392</v>
      </c>
      <c r="CM19" s="110">
        <v>12677.26</v>
      </c>
      <c r="CN19" s="113">
        <v>1762.22</v>
      </c>
      <c r="CO19" s="110"/>
      <c r="CP19" s="115"/>
      <c r="CQ19" s="204"/>
      <c r="CR19" s="88">
        <v>59.854839999999996</v>
      </c>
      <c r="CS19" s="328">
        <v>183.90260000000001</v>
      </c>
      <c r="CT19" s="28"/>
      <c r="CU19" s="226">
        <f t="shared" si="8"/>
        <v>243.75744</v>
      </c>
      <c r="CW19" s="109">
        <v>44392</v>
      </c>
      <c r="CX19" s="110">
        <v>7725.3</v>
      </c>
      <c r="CY19" s="113">
        <v>624.75</v>
      </c>
      <c r="CZ19" s="110"/>
      <c r="DA19" s="111">
        <v>3.4</v>
      </c>
      <c r="DB19" s="204"/>
      <c r="DC19" s="88">
        <v>-5.3971600000002127</v>
      </c>
      <c r="DD19" s="329"/>
      <c r="DE19" s="28"/>
      <c r="DF19" s="226">
        <f t="shared" si="9"/>
        <v>-1.9971600000002128</v>
      </c>
      <c r="DH19" s="109">
        <v>44392</v>
      </c>
      <c r="DI19" s="110">
        <v>1636.53</v>
      </c>
      <c r="DJ19" s="113"/>
      <c r="DK19" s="110"/>
      <c r="DL19" s="115"/>
      <c r="DM19" s="204"/>
      <c r="DN19" s="215"/>
      <c r="DO19" s="28"/>
      <c r="DP19" s="28"/>
      <c r="DQ19" s="226">
        <f t="shared" si="10"/>
        <v>0</v>
      </c>
      <c r="DS19" s="109">
        <v>44392</v>
      </c>
      <c r="DT19" s="110">
        <v>1378.83</v>
      </c>
      <c r="DU19" s="113">
        <v>474.53</v>
      </c>
      <c r="DV19" s="110"/>
      <c r="DW19" s="115"/>
      <c r="DX19" s="204"/>
      <c r="DY19" s="88">
        <v>30.382019999999997</v>
      </c>
      <c r="DZ19" s="329"/>
      <c r="EA19" s="335"/>
      <c r="EB19" s="226">
        <f t="shared" si="11"/>
        <v>30.382019999999997</v>
      </c>
      <c r="ED19" s="109">
        <v>44392</v>
      </c>
      <c r="EE19" s="110">
        <v>5246.5</v>
      </c>
      <c r="EF19" s="113">
        <v>1618.98</v>
      </c>
      <c r="EG19" s="110"/>
      <c r="EH19" s="111">
        <v>138.54</v>
      </c>
      <c r="EI19" s="204"/>
      <c r="EJ19" s="88"/>
      <c r="EK19" s="328"/>
      <c r="EL19" s="28"/>
      <c r="EM19" s="226">
        <f t="shared" si="12"/>
        <v>138.54</v>
      </c>
      <c r="EO19" s="109">
        <v>44392</v>
      </c>
      <c r="EP19" s="110">
        <v>810.26</v>
      </c>
      <c r="EQ19" s="113">
        <v>455.02</v>
      </c>
      <c r="ER19" s="110"/>
      <c r="ES19" s="115"/>
      <c r="ET19" s="204"/>
      <c r="EU19" s="215"/>
      <c r="EV19" s="28"/>
      <c r="EW19" s="28"/>
      <c r="EX19" s="226">
        <f t="shared" si="13"/>
        <v>0</v>
      </c>
    </row>
    <row r="20" spans="1:154" x14ac:dyDescent="0.25">
      <c r="A20" s="109">
        <v>44393</v>
      </c>
      <c r="B20" s="110">
        <v>24810.61</v>
      </c>
      <c r="C20" s="111">
        <v>5054.0200000000004</v>
      </c>
      <c r="D20" s="110">
        <v>3969.82</v>
      </c>
      <c r="E20" s="112">
        <v>198.25</v>
      </c>
      <c r="G20" s="204"/>
      <c r="H20" s="215"/>
      <c r="I20" s="28"/>
      <c r="J20" s="28"/>
      <c r="K20" s="226">
        <f t="shared" si="0"/>
        <v>0</v>
      </c>
      <c r="M20" s="109">
        <v>44393</v>
      </c>
      <c r="N20" s="110">
        <v>4679.8100000000004</v>
      </c>
      <c r="O20" s="113">
        <v>402.31</v>
      </c>
      <c r="P20" s="110"/>
      <c r="Q20" s="111"/>
      <c r="R20" s="204"/>
      <c r="S20" s="88">
        <v>7.3163200000000046</v>
      </c>
      <c r="T20" s="329">
        <v>5.6587100000000206</v>
      </c>
      <c r="U20" s="28"/>
      <c r="V20" s="226">
        <f t="shared" si="1"/>
        <v>12.975030000000025</v>
      </c>
      <c r="X20" s="109">
        <v>44393</v>
      </c>
      <c r="Y20" s="110">
        <v>6080.14</v>
      </c>
      <c r="Z20" s="113">
        <v>1990</v>
      </c>
      <c r="AA20" s="113"/>
      <c r="AB20" s="111">
        <v>304.36</v>
      </c>
      <c r="AC20" s="204"/>
      <c r="AD20" s="88">
        <v>47.19032500000003</v>
      </c>
      <c r="AE20" s="28"/>
      <c r="AF20" s="28"/>
      <c r="AG20" s="226">
        <f t="shared" si="2"/>
        <v>351.55032500000004</v>
      </c>
      <c r="AI20" s="109">
        <v>44393</v>
      </c>
      <c r="AJ20" s="110">
        <v>6613.7</v>
      </c>
      <c r="AK20" s="113">
        <v>1638.79</v>
      </c>
      <c r="AL20" s="110"/>
      <c r="AM20" s="111"/>
      <c r="AN20" s="204"/>
      <c r="AO20" s="215"/>
      <c r="AP20" s="28"/>
      <c r="AQ20" s="28"/>
      <c r="AR20" s="226">
        <f t="shared" si="3"/>
        <v>0</v>
      </c>
      <c r="AT20" s="109">
        <v>44393</v>
      </c>
      <c r="AU20" s="110">
        <v>335</v>
      </c>
      <c r="AV20" s="113">
        <v>81.03</v>
      </c>
      <c r="AW20" s="110"/>
      <c r="AX20" s="110">
        <v>106.6</v>
      </c>
      <c r="AY20" s="204"/>
      <c r="AZ20" s="88">
        <v>228.79969999999986</v>
      </c>
      <c r="BA20" s="28"/>
      <c r="BB20" s="28"/>
      <c r="BC20" s="226">
        <f t="shared" si="4"/>
        <v>335.39969999999983</v>
      </c>
      <c r="BE20" s="109">
        <v>44393</v>
      </c>
      <c r="BF20" s="114">
        <v>5532.47</v>
      </c>
      <c r="BG20" s="114">
        <v>545.69000000000005</v>
      </c>
      <c r="BH20" s="110"/>
      <c r="BI20" s="243">
        <v>11.53</v>
      </c>
      <c r="BJ20" s="204"/>
      <c r="BK20" s="88">
        <v>143.57865999999993</v>
      </c>
      <c r="BL20" s="329">
        <v>110.21924999999996</v>
      </c>
      <c r="BM20" s="28"/>
      <c r="BN20" s="226">
        <f t="shared" si="5"/>
        <v>265.32790999999986</v>
      </c>
      <c r="BP20" s="109">
        <v>44393</v>
      </c>
      <c r="BQ20" s="110">
        <v>953.28</v>
      </c>
      <c r="BR20" s="113">
        <v>600.74</v>
      </c>
      <c r="BS20" s="110"/>
      <c r="BT20" s="115"/>
      <c r="BU20" s="204"/>
      <c r="BV20" s="215"/>
      <c r="BW20" s="28"/>
      <c r="BX20" s="28"/>
      <c r="BY20" s="226">
        <f t="shared" si="6"/>
        <v>0</v>
      </c>
      <c r="CA20" s="109">
        <v>44393</v>
      </c>
      <c r="CB20" s="110">
        <v>24305.24</v>
      </c>
      <c r="CC20" s="113">
        <v>3428</v>
      </c>
      <c r="CD20" s="110"/>
      <c r="CE20" s="110"/>
      <c r="CF20" s="204"/>
      <c r="CG20" s="215"/>
      <c r="CH20" s="28"/>
      <c r="CI20" s="28"/>
      <c r="CJ20" s="226">
        <f t="shared" si="7"/>
        <v>0</v>
      </c>
      <c r="CL20" s="109">
        <v>44393</v>
      </c>
      <c r="CM20" s="110">
        <v>10955.54</v>
      </c>
      <c r="CN20" s="113">
        <v>2170.09</v>
      </c>
      <c r="CO20" s="110"/>
      <c r="CP20" s="115"/>
      <c r="CQ20" s="204"/>
      <c r="CR20" s="88">
        <v>78.485279999999975</v>
      </c>
      <c r="CS20" s="328"/>
      <c r="CT20" s="28"/>
      <c r="CU20" s="226">
        <f t="shared" si="8"/>
        <v>78.485279999999975</v>
      </c>
      <c r="CW20" s="109">
        <v>44393</v>
      </c>
      <c r="CX20" s="110">
        <v>3384.35</v>
      </c>
      <c r="CY20" s="113">
        <v>279.45999999999998</v>
      </c>
      <c r="CZ20" s="110"/>
      <c r="DA20" s="111">
        <v>3.4</v>
      </c>
      <c r="DB20" s="204"/>
      <c r="DC20" s="88">
        <v>23.64779999999989</v>
      </c>
      <c r="DD20" s="329"/>
      <c r="DE20" s="28"/>
      <c r="DF20" s="226">
        <f t="shared" si="9"/>
        <v>27.047799999999889</v>
      </c>
      <c r="DH20" s="109">
        <v>44393</v>
      </c>
      <c r="DI20" s="110">
        <v>1919.48</v>
      </c>
      <c r="DJ20" s="113"/>
      <c r="DK20" s="110"/>
      <c r="DL20" s="115"/>
      <c r="DM20" s="204"/>
      <c r="DN20" s="215"/>
      <c r="DO20" s="28"/>
      <c r="DP20" s="28"/>
      <c r="DQ20" s="226">
        <f t="shared" si="10"/>
        <v>0</v>
      </c>
      <c r="DS20" s="109">
        <v>44393</v>
      </c>
      <c r="DT20" s="110">
        <v>2045.76</v>
      </c>
      <c r="DU20" s="113">
        <v>510.7</v>
      </c>
      <c r="DV20" s="110"/>
      <c r="DW20" s="115"/>
      <c r="DX20" s="204"/>
      <c r="DY20" s="88">
        <v>73.133420000000001</v>
      </c>
      <c r="DZ20" s="329">
        <v>191.35667999999998</v>
      </c>
      <c r="EA20" s="335"/>
      <c r="EB20" s="226">
        <f t="shared" si="11"/>
        <v>264.49009999999998</v>
      </c>
      <c r="ED20" s="109">
        <v>44393</v>
      </c>
      <c r="EE20" s="110">
        <v>4455.1499999999996</v>
      </c>
      <c r="EF20" s="113">
        <v>1624.55</v>
      </c>
      <c r="EG20" s="110"/>
      <c r="EH20" s="111">
        <v>149.44999999999999</v>
      </c>
      <c r="EI20" s="204"/>
      <c r="EJ20" s="88"/>
      <c r="EK20" s="328"/>
      <c r="EL20" s="28"/>
      <c r="EM20" s="226">
        <f t="shared" si="12"/>
        <v>149.44999999999999</v>
      </c>
      <c r="EO20" s="109">
        <v>44393</v>
      </c>
      <c r="EP20" s="110">
        <v>945.75</v>
      </c>
      <c r="EQ20" s="113">
        <v>627.21</v>
      </c>
      <c r="ER20" s="110"/>
      <c r="ES20" s="115"/>
      <c r="ET20" s="204"/>
      <c r="EU20" s="215"/>
      <c r="EV20" s="28"/>
      <c r="EW20" s="28"/>
      <c r="EX20" s="226">
        <f t="shared" si="13"/>
        <v>0</v>
      </c>
    </row>
    <row r="21" spans="1:154" x14ac:dyDescent="0.25">
      <c r="A21" s="109">
        <v>44394</v>
      </c>
      <c r="B21" s="110">
        <v>22881.95</v>
      </c>
      <c r="C21" s="111">
        <v>4130.84</v>
      </c>
      <c r="D21" s="110">
        <v>3889.3</v>
      </c>
      <c r="E21" s="112">
        <v>205.27</v>
      </c>
      <c r="G21" s="204"/>
      <c r="H21" s="215"/>
      <c r="I21" s="28"/>
      <c r="J21" s="28"/>
      <c r="K21" s="226">
        <f t="shared" si="0"/>
        <v>0</v>
      </c>
      <c r="M21" s="109">
        <v>44394</v>
      </c>
      <c r="N21" s="110">
        <v>4552.96</v>
      </c>
      <c r="O21" s="113">
        <v>276.13</v>
      </c>
      <c r="P21" s="110"/>
      <c r="Q21" s="111"/>
      <c r="R21" s="204"/>
      <c r="S21" s="88">
        <v>18.345359999999914</v>
      </c>
      <c r="T21" s="329"/>
      <c r="U21" s="28"/>
      <c r="V21" s="226">
        <f t="shared" si="1"/>
        <v>18.345359999999914</v>
      </c>
      <c r="X21" s="109">
        <v>44394</v>
      </c>
      <c r="Y21" s="110">
        <v>4314.42</v>
      </c>
      <c r="Z21" s="113">
        <v>2012.92</v>
      </c>
      <c r="AA21" s="113"/>
      <c r="AB21" s="111">
        <v>143.04</v>
      </c>
      <c r="AC21" s="204"/>
      <c r="AD21" s="88">
        <v>28.701903999999956</v>
      </c>
      <c r="AE21" s="28"/>
      <c r="AF21" s="28"/>
      <c r="AG21" s="226">
        <f t="shared" si="2"/>
        <v>171.74190399999995</v>
      </c>
      <c r="AI21" s="109">
        <v>44394</v>
      </c>
      <c r="AJ21" s="110">
        <v>5117.8100000000004</v>
      </c>
      <c r="AK21" s="113">
        <v>1668.86</v>
      </c>
      <c r="AL21" s="110"/>
      <c r="AM21" s="111"/>
      <c r="AN21" s="204"/>
      <c r="AO21" s="215"/>
      <c r="AP21" s="28"/>
      <c r="AQ21" s="28"/>
      <c r="AR21" s="226">
        <f t="shared" si="3"/>
        <v>0</v>
      </c>
      <c r="AT21" s="109">
        <v>44394</v>
      </c>
      <c r="AU21" s="110">
        <v>315</v>
      </c>
      <c r="AV21" s="113">
        <v>20</v>
      </c>
      <c r="AW21" s="110"/>
      <c r="AX21" s="110"/>
      <c r="AY21" s="204"/>
      <c r="AZ21" s="88">
        <v>425.1297400000002</v>
      </c>
      <c r="BA21" s="28"/>
      <c r="BB21" s="28"/>
      <c r="BC21" s="226">
        <f t="shared" si="4"/>
        <v>425.1297400000002</v>
      </c>
      <c r="BE21" s="109">
        <v>44394</v>
      </c>
      <c r="BF21" s="114">
        <v>5921.65</v>
      </c>
      <c r="BG21" s="114">
        <v>983.93</v>
      </c>
      <c r="BH21" s="110"/>
      <c r="BI21" s="243">
        <v>13.76</v>
      </c>
      <c r="BJ21" s="204"/>
      <c r="BK21" s="88">
        <v>134.47232999999994</v>
      </c>
      <c r="BL21" s="329">
        <v>106.26010299999999</v>
      </c>
      <c r="BM21" s="28"/>
      <c r="BN21" s="226">
        <f t="shared" si="5"/>
        <v>254.49243299999992</v>
      </c>
      <c r="BP21" s="109">
        <v>44394</v>
      </c>
      <c r="BQ21" s="110">
        <v>978.27</v>
      </c>
      <c r="BR21" s="113">
        <v>608.55999999999995</v>
      </c>
      <c r="BS21" s="110"/>
      <c r="BT21" s="115"/>
      <c r="BU21" s="204"/>
      <c r="BV21" s="215"/>
      <c r="BW21" s="28"/>
      <c r="BX21" s="28"/>
      <c r="BY21" s="226">
        <f t="shared" si="6"/>
        <v>0</v>
      </c>
      <c r="CA21" s="109">
        <v>44394</v>
      </c>
      <c r="CB21" s="110">
        <v>20233.009999999998</v>
      </c>
      <c r="CC21" s="113">
        <v>2713.84</v>
      </c>
      <c r="CD21" s="110"/>
      <c r="CE21" s="110"/>
      <c r="CF21" s="204"/>
      <c r="CG21" s="215"/>
      <c r="CH21" s="28"/>
      <c r="CI21" s="28"/>
      <c r="CJ21" s="226">
        <f t="shared" si="7"/>
        <v>0</v>
      </c>
      <c r="CL21" s="109">
        <v>44394</v>
      </c>
      <c r="CM21" s="110">
        <v>1753.18</v>
      </c>
      <c r="CN21" s="113">
        <v>513.77</v>
      </c>
      <c r="CO21" s="110"/>
      <c r="CP21" s="115"/>
      <c r="CQ21" s="204"/>
      <c r="CR21" s="88"/>
      <c r="CS21" s="328">
        <v>22.928639999999994</v>
      </c>
      <c r="CT21" s="28"/>
      <c r="CU21" s="226">
        <f t="shared" si="8"/>
        <v>22.928639999999994</v>
      </c>
      <c r="CW21" s="109">
        <v>44394</v>
      </c>
      <c r="CX21" s="110">
        <v>4999.57</v>
      </c>
      <c r="CY21" s="113">
        <v>273.44</v>
      </c>
      <c r="CZ21" s="110"/>
      <c r="DA21" s="111"/>
      <c r="DB21" s="204"/>
      <c r="DC21" s="88">
        <v>1.9982399999999529</v>
      </c>
      <c r="DD21" s="329"/>
      <c r="DE21" s="28"/>
      <c r="DF21" s="226">
        <f t="shared" si="9"/>
        <v>1.9982399999999529</v>
      </c>
      <c r="DH21" s="109">
        <v>44394</v>
      </c>
      <c r="DI21" s="110">
        <v>440.34</v>
      </c>
      <c r="DJ21" s="113"/>
      <c r="DK21" s="110"/>
      <c r="DL21" s="115"/>
      <c r="DM21" s="204"/>
      <c r="DN21" s="215"/>
      <c r="DO21" s="28"/>
      <c r="DP21" s="28"/>
      <c r="DQ21" s="226">
        <f t="shared" si="10"/>
        <v>0</v>
      </c>
      <c r="DS21" s="109">
        <v>44394</v>
      </c>
      <c r="DT21" s="110">
        <v>1718.21</v>
      </c>
      <c r="DU21" s="113">
        <v>654.04</v>
      </c>
      <c r="DV21" s="110"/>
      <c r="DW21" s="115"/>
      <c r="DX21" s="204"/>
      <c r="DY21" s="88">
        <v>27.238680000000002</v>
      </c>
      <c r="DZ21" s="329">
        <v>68.279604999999947</v>
      </c>
      <c r="EA21" s="335"/>
      <c r="EB21" s="226">
        <f t="shared" si="11"/>
        <v>95.518284999999949</v>
      </c>
      <c r="ED21" s="109">
        <v>44394</v>
      </c>
      <c r="EE21" s="110">
        <v>5647.48</v>
      </c>
      <c r="EF21" s="113">
        <v>1295.77</v>
      </c>
      <c r="EG21" s="110"/>
      <c r="EH21" s="111">
        <v>105.57</v>
      </c>
      <c r="EI21" s="204"/>
      <c r="EJ21" s="88"/>
      <c r="EK21" s="328"/>
      <c r="EL21" s="28"/>
      <c r="EM21" s="226">
        <f t="shared" si="12"/>
        <v>105.57</v>
      </c>
      <c r="EO21" s="109">
        <v>44394</v>
      </c>
      <c r="EP21" s="110">
        <v>1205.8800000000001</v>
      </c>
      <c r="EQ21" s="113">
        <v>274.02</v>
      </c>
      <c r="ER21" s="110"/>
      <c r="ES21" s="115"/>
      <c r="ET21" s="204"/>
      <c r="EU21" s="215"/>
      <c r="EV21" s="28"/>
      <c r="EW21" s="28"/>
      <c r="EX21" s="226">
        <f t="shared" si="13"/>
        <v>0</v>
      </c>
    </row>
    <row r="22" spans="1:154" x14ac:dyDescent="0.25">
      <c r="A22" s="109">
        <v>44395</v>
      </c>
      <c r="B22" s="110">
        <v>22060.82</v>
      </c>
      <c r="C22" s="111">
        <v>4725.21</v>
      </c>
      <c r="D22" s="110">
        <v>4376.82</v>
      </c>
      <c r="E22" s="112">
        <v>170.6</v>
      </c>
      <c r="G22" s="204"/>
      <c r="H22" s="215"/>
      <c r="I22" s="28"/>
      <c r="J22" s="28"/>
      <c r="K22" s="226">
        <f t="shared" si="0"/>
        <v>0</v>
      </c>
      <c r="M22" s="109">
        <v>44395</v>
      </c>
      <c r="N22" s="110">
        <v>4459.57</v>
      </c>
      <c r="O22" s="113">
        <v>536.54999999999995</v>
      </c>
      <c r="P22" s="110"/>
      <c r="Q22" s="111"/>
      <c r="R22" s="204"/>
      <c r="S22" s="88">
        <v>-8.193440000000038</v>
      </c>
      <c r="T22" s="329"/>
      <c r="U22" s="28"/>
      <c r="V22" s="226">
        <f t="shared" si="1"/>
        <v>-8.193440000000038</v>
      </c>
      <c r="X22" s="109">
        <v>44395</v>
      </c>
      <c r="Y22" s="110">
        <v>4784.45</v>
      </c>
      <c r="Z22" s="113">
        <v>1726.22</v>
      </c>
      <c r="AA22" s="113"/>
      <c r="AB22" s="111">
        <v>221.08</v>
      </c>
      <c r="AC22" s="204"/>
      <c r="AD22" s="88">
        <v>100.20421900000002</v>
      </c>
      <c r="AE22" s="28"/>
      <c r="AF22" s="28"/>
      <c r="AG22" s="226">
        <f t="shared" si="2"/>
        <v>321.28421900000001</v>
      </c>
      <c r="AI22" s="109">
        <v>44395</v>
      </c>
      <c r="AJ22" s="110">
        <v>4177.3</v>
      </c>
      <c r="AK22" s="113">
        <v>1553.61</v>
      </c>
      <c r="AL22" s="110"/>
      <c r="AM22" s="111"/>
      <c r="AN22" s="204"/>
      <c r="AO22" s="215"/>
      <c r="AP22" s="28"/>
      <c r="AQ22" s="28"/>
      <c r="AR22" s="226">
        <f t="shared" si="3"/>
        <v>0</v>
      </c>
      <c r="AT22" s="109">
        <v>44395</v>
      </c>
      <c r="AU22" s="110">
        <v>673</v>
      </c>
      <c r="AV22" s="113">
        <v>134.47999999999999</v>
      </c>
      <c r="AW22" s="110"/>
      <c r="AX22" s="110">
        <v>192</v>
      </c>
      <c r="AY22" s="204"/>
      <c r="AZ22" s="88">
        <v>71.291219999999967</v>
      </c>
      <c r="BA22" s="28"/>
      <c r="BB22" s="28"/>
      <c r="BC22" s="226">
        <f t="shared" si="4"/>
        <v>263.29121999999995</v>
      </c>
      <c r="BE22" s="109">
        <v>44395</v>
      </c>
      <c r="BF22" s="114">
        <v>6052.82</v>
      </c>
      <c r="BG22" s="114">
        <v>1451.78</v>
      </c>
      <c r="BH22" s="110"/>
      <c r="BI22" s="243">
        <v>14.49</v>
      </c>
      <c r="BJ22" s="204"/>
      <c r="BK22" s="88">
        <v>142.31374999999997</v>
      </c>
      <c r="BL22" s="329">
        <v>162.01999999999998</v>
      </c>
      <c r="BM22" s="28"/>
      <c r="BN22" s="226">
        <f t="shared" si="5"/>
        <v>318.82374999999996</v>
      </c>
      <c r="BP22" s="109">
        <v>44395</v>
      </c>
      <c r="BQ22" s="110">
        <v>757.46</v>
      </c>
      <c r="BR22" s="113">
        <v>625.17999999999995</v>
      </c>
      <c r="BS22" s="110"/>
      <c r="BT22" s="115">
        <v>26</v>
      </c>
      <c r="BU22" s="204"/>
      <c r="BV22" s="215"/>
      <c r="BW22" s="28"/>
      <c r="BX22" s="28"/>
      <c r="BY22" s="226">
        <f t="shared" si="6"/>
        <v>26</v>
      </c>
      <c r="CA22" s="109">
        <v>44395</v>
      </c>
      <c r="CB22" s="110">
        <v>21449.85</v>
      </c>
      <c r="CC22" s="113">
        <v>2722.7</v>
      </c>
      <c r="CD22" s="110"/>
      <c r="CE22" s="110"/>
      <c r="CF22" s="204"/>
      <c r="CG22" s="215"/>
      <c r="CH22" s="28"/>
      <c r="CI22" s="28"/>
      <c r="CJ22" s="226">
        <f t="shared" si="7"/>
        <v>0</v>
      </c>
      <c r="CL22" s="109">
        <v>44395</v>
      </c>
      <c r="CM22" s="110">
        <v>8250.4699999999993</v>
      </c>
      <c r="CN22" s="113">
        <v>2393.8200000000002</v>
      </c>
      <c r="CO22" s="110"/>
      <c r="CP22" s="115"/>
      <c r="CQ22" s="204"/>
      <c r="CR22" s="88">
        <v>193.71363999999994</v>
      </c>
      <c r="CS22" s="328"/>
      <c r="CT22" s="28"/>
      <c r="CU22" s="226">
        <f t="shared" si="8"/>
        <v>193.71363999999994</v>
      </c>
      <c r="CW22" s="109">
        <v>44395</v>
      </c>
      <c r="CX22" s="110">
        <v>5152.5600000000004</v>
      </c>
      <c r="CY22" s="113">
        <v>551.84</v>
      </c>
      <c r="CZ22" s="110"/>
      <c r="DA22" s="111"/>
      <c r="DB22" s="204"/>
      <c r="DC22" s="88">
        <v>27.69675999999987</v>
      </c>
      <c r="DD22" s="329"/>
      <c r="DE22" s="28"/>
      <c r="DF22" s="226">
        <f t="shared" si="9"/>
        <v>27.69675999999987</v>
      </c>
      <c r="DH22" s="109">
        <v>44395</v>
      </c>
      <c r="DI22" s="110">
        <v>2267.48</v>
      </c>
      <c r="DJ22" s="113"/>
      <c r="DK22" s="110"/>
      <c r="DL22" s="115"/>
      <c r="DM22" s="204"/>
      <c r="DN22" s="215"/>
      <c r="DO22" s="28"/>
      <c r="DP22" s="28"/>
      <c r="DQ22" s="226">
        <f t="shared" si="10"/>
        <v>0</v>
      </c>
      <c r="DS22" s="109">
        <v>44395</v>
      </c>
      <c r="DT22" s="110">
        <v>2036.43</v>
      </c>
      <c r="DU22" s="113">
        <v>770.21</v>
      </c>
      <c r="DV22" s="110"/>
      <c r="DW22" s="115"/>
      <c r="DX22" s="204"/>
      <c r="DY22" s="88">
        <v>90.152720000000073</v>
      </c>
      <c r="DZ22" s="329">
        <v>319.42999999999984</v>
      </c>
      <c r="EA22" s="335">
        <v>39.000431400000053</v>
      </c>
      <c r="EB22" s="226">
        <f t="shared" si="11"/>
        <v>448.58315139999991</v>
      </c>
      <c r="ED22" s="109">
        <v>44395</v>
      </c>
      <c r="EE22" s="110">
        <v>6021.29</v>
      </c>
      <c r="EF22" s="113">
        <v>1489.82</v>
      </c>
      <c r="EG22" s="110"/>
      <c r="EH22" s="111">
        <v>141.02000000000001</v>
      </c>
      <c r="EI22" s="204"/>
      <c r="EJ22" s="88">
        <v>2.9479999999999986</v>
      </c>
      <c r="EK22" s="328"/>
      <c r="EL22" s="28"/>
      <c r="EM22" s="226">
        <f t="shared" si="12"/>
        <v>143.96800000000002</v>
      </c>
      <c r="EO22" s="109">
        <v>44395</v>
      </c>
      <c r="EP22" s="110">
        <v>1169.5</v>
      </c>
      <c r="EQ22" s="113">
        <v>501.25</v>
      </c>
      <c r="ER22" s="110"/>
      <c r="ES22" s="115"/>
      <c r="ET22" s="204"/>
      <c r="EU22" s="215"/>
      <c r="EV22" s="28"/>
      <c r="EW22" s="28"/>
      <c r="EX22" s="226">
        <f t="shared" si="13"/>
        <v>0</v>
      </c>
    </row>
    <row r="23" spans="1:154" x14ac:dyDescent="0.25">
      <c r="A23" s="109">
        <v>44396</v>
      </c>
      <c r="B23" s="110">
        <v>24044.74</v>
      </c>
      <c r="C23" s="111">
        <v>4030.19</v>
      </c>
      <c r="D23" s="110">
        <v>3144.74</v>
      </c>
      <c r="E23" s="112">
        <v>139.07</v>
      </c>
      <c r="G23" s="204"/>
      <c r="H23" s="215"/>
      <c r="I23" s="28"/>
      <c r="J23" s="28"/>
      <c r="K23" s="226">
        <f t="shared" si="0"/>
        <v>0</v>
      </c>
      <c r="M23" s="109">
        <v>44396</v>
      </c>
      <c r="N23" s="110">
        <v>3445.07</v>
      </c>
      <c r="O23" s="113">
        <v>156.19999999999999</v>
      </c>
      <c r="P23" s="110"/>
      <c r="Q23" s="111"/>
      <c r="R23" s="204"/>
      <c r="S23" s="88">
        <v>-6.2444799999999816</v>
      </c>
      <c r="T23" s="329"/>
      <c r="U23" s="28"/>
      <c r="V23" s="226">
        <f t="shared" si="1"/>
        <v>-6.2444799999999816</v>
      </c>
      <c r="X23" s="109">
        <v>44396</v>
      </c>
      <c r="Y23" s="110">
        <v>4138.63</v>
      </c>
      <c r="Z23" s="113">
        <v>2467.25</v>
      </c>
      <c r="AA23" s="113"/>
      <c r="AB23" s="111">
        <v>51.86</v>
      </c>
      <c r="AC23" s="204"/>
      <c r="AD23" s="88">
        <v>15.400000000000034</v>
      </c>
      <c r="AE23" s="28"/>
      <c r="AF23" s="28"/>
      <c r="AG23" s="226">
        <f t="shared" si="2"/>
        <v>67.260000000000034</v>
      </c>
      <c r="AI23" s="109">
        <v>44396</v>
      </c>
      <c r="AJ23" s="110">
        <v>3956.57</v>
      </c>
      <c r="AK23" s="113">
        <v>1114.26</v>
      </c>
      <c r="AL23" s="110"/>
      <c r="AM23" s="111"/>
      <c r="AN23" s="204"/>
      <c r="AO23" s="215"/>
      <c r="AP23" s="28"/>
      <c r="AQ23" s="28"/>
      <c r="AR23" s="226">
        <f t="shared" si="3"/>
        <v>0</v>
      </c>
      <c r="AT23" s="109">
        <v>44396</v>
      </c>
      <c r="AU23" s="110">
        <v>450.86</v>
      </c>
      <c r="AV23" s="113">
        <v>75.290000000000006</v>
      </c>
      <c r="AW23" s="110"/>
      <c r="AX23" s="110"/>
      <c r="AY23" s="204"/>
      <c r="AZ23" s="88">
        <v>298.35314000000005</v>
      </c>
      <c r="BA23" s="28"/>
      <c r="BB23" s="28"/>
      <c r="BC23" s="226">
        <f t="shared" si="4"/>
        <v>298.35314000000005</v>
      </c>
      <c r="BE23" s="109">
        <v>44396</v>
      </c>
      <c r="BF23" s="114">
        <v>4512.1499999999996</v>
      </c>
      <c r="BG23" s="114">
        <v>879.41</v>
      </c>
      <c r="BH23" s="110"/>
      <c r="BI23" s="243"/>
      <c r="BJ23" s="204"/>
      <c r="BK23" s="88">
        <v>229.45057999999992</v>
      </c>
      <c r="BL23" s="329">
        <v>601.09568799999988</v>
      </c>
      <c r="BM23" s="28"/>
      <c r="BN23" s="226">
        <f t="shared" si="5"/>
        <v>830.54626799999983</v>
      </c>
      <c r="BP23" s="109">
        <v>44396</v>
      </c>
      <c r="BQ23" s="110">
        <v>462.35</v>
      </c>
      <c r="BR23" s="113">
        <v>737.92</v>
      </c>
      <c r="BS23" s="110"/>
      <c r="BT23" s="115"/>
      <c r="BU23" s="204"/>
      <c r="BV23" s="215"/>
      <c r="BW23" s="28"/>
      <c r="BX23" s="28"/>
      <c r="BY23" s="226">
        <f t="shared" si="6"/>
        <v>0</v>
      </c>
      <c r="CA23" s="109">
        <v>44396</v>
      </c>
      <c r="CB23" s="110">
        <v>22424.93</v>
      </c>
      <c r="CC23" s="113">
        <v>3005.05</v>
      </c>
      <c r="CD23" s="110"/>
      <c r="CE23" s="110"/>
      <c r="CF23" s="204"/>
      <c r="CG23" s="215"/>
      <c r="CH23" s="28"/>
      <c r="CI23" s="28"/>
      <c r="CJ23" s="226">
        <f t="shared" si="7"/>
        <v>0</v>
      </c>
      <c r="CL23" s="109">
        <v>44396</v>
      </c>
      <c r="CM23" s="110">
        <v>8343.4500000000007</v>
      </c>
      <c r="CN23" s="113">
        <v>2220.58</v>
      </c>
      <c r="CO23" s="110"/>
      <c r="CP23" s="115"/>
      <c r="CQ23" s="204"/>
      <c r="CR23" s="88"/>
      <c r="CS23" s="328"/>
      <c r="CT23" s="28"/>
      <c r="CU23" s="226">
        <f t="shared" si="8"/>
        <v>0</v>
      </c>
      <c r="CW23" s="109">
        <v>44396</v>
      </c>
      <c r="CX23" s="110">
        <v>5419.99</v>
      </c>
      <c r="CY23" s="113">
        <v>929.5</v>
      </c>
      <c r="CZ23" s="110"/>
      <c r="DA23" s="111">
        <v>3.7</v>
      </c>
      <c r="DB23" s="204"/>
      <c r="DC23" s="88">
        <v>19.514860000000013</v>
      </c>
      <c r="DD23" s="329"/>
      <c r="DE23" s="28"/>
      <c r="DF23" s="226">
        <f t="shared" si="9"/>
        <v>23.214860000000012</v>
      </c>
      <c r="DH23" s="109">
        <v>44396</v>
      </c>
      <c r="DI23" s="110">
        <v>1974.21</v>
      </c>
      <c r="DJ23" s="113"/>
      <c r="DK23" s="110"/>
      <c r="DL23" s="115"/>
      <c r="DM23" s="204"/>
      <c r="DN23" s="215"/>
      <c r="DO23" s="28"/>
      <c r="DP23" s="28"/>
      <c r="DQ23" s="226">
        <f t="shared" si="10"/>
        <v>0</v>
      </c>
      <c r="DS23" s="109">
        <v>44396</v>
      </c>
      <c r="DT23" s="110">
        <v>2104.0500000000002</v>
      </c>
      <c r="DU23" s="113">
        <v>1376.03</v>
      </c>
      <c r="DV23" s="110"/>
      <c r="DW23" s="115"/>
      <c r="DX23" s="204"/>
      <c r="DY23" s="88">
        <v>122.10136999999997</v>
      </c>
      <c r="DZ23" s="329"/>
      <c r="EA23" s="335"/>
      <c r="EB23" s="226">
        <f t="shared" si="11"/>
        <v>122.10136999999997</v>
      </c>
      <c r="ED23" s="109">
        <v>44396</v>
      </c>
      <c r="EE23" s="110">
        <v>5055.38</v>
      </c>
      <c r="EF23" s="113">
        <v>1781.36</v>
      </c>
      <c r="EG23" s="110"/>
      <c r="EH23" s="111">
        <v>94.93</v>
      </c>
      <c r="EI23" s="204"/>
      <c r="EJ23" s="88"/>
      <c r="EK23" s="328">
        <v>75.580590000000029</v>
      </c>
      <c r="EL23" s="28"/>
      <c r="EM23" s="226">
        <f t="shared" si="12"/>
        <v>170.51059000000004</v>
      </c>
      <c r="EO23" s="109">
        <v>44396</v>
      </c>
      <c r="EP23" s="110">
        <v>1069.06</v>
      </c>
      <c r="EQ23" s="113">
        <v>556.02</v>
      </c>
      <c r="ER23" s="110"/>
      <c r="ES23" s="115"/>
      <c r="ET23" s="204"/>
      <c r="EU23" s="215"/>
      <c r="EV23" s="28"/>
      <c r="EW23" s="28"/>
      <c r="EX23" s="226">
        <f t="shared" si="13"/>
        <v>0</v>
      </c>
    </row>
    <row r="24" spans="1:154" x14ac:dyDescent="0.25">
      <c r="A24" s="109">
        <v>44397</v>
      </c>
      <c r="B24" s="110">
        <v>18920.669999999998</v>
      </c>
      <c r="C24" s="111">
        <v>2760.24</v>
      </c>
      <c r="D24" s="110">
        <v>1933.99</v>
      </c>
      <c r="E24" s="112">
        <v>101.58</v>
      </c>
      <c r="G24" s="204"/>
      <c r="H24" s="215"/>
      <c r="I24" s="28"/>
      <c r="J24" s="28"/>
      <c r="K24" s="226">
        <f t="shared" si="0"/>
        <v>0</v>
      </c>
      <c r="M24" s="109">
        <v>44397</v>
      </c>
      <c r="N24" s="110">
        <v>5279.7</v>
      </c>
      <c r="O24" s="113">
        <v>417.48</v>
      </c>
      <c r="P24" s="110"/>
      <c r="Q24" s="111"/>
      <c r="R24" s="204"/>
      <c r="S24" s="88">
        <v>-23.417840000000112</v>
      </c>
      <c r="T24" s="329"/>
      <c r="U24" s="28"/>
      <c r="V24" s="226">
        <f t="shared" si="1"/>
        <v>-23.417840000000112</v>
      </c>
      <c r="X24" s="109">
        <v>44397</v>
      </c>
      <c r="Y24" s="110">
        <v>5519.38</v>
      </c>
      <c r="Z24" s="113">
        <v>1502.77</v>
      </c>
      <c r="AA24" s="113"/>
      <c r="AB24" s="111">
        <v>113.46</v>
      </c>
      <c r="AC24" s="204"/>
      <c r="AD24" s="88"/>
      <c r="AE24" s="28"/>
      <c r="AF24" s="28"/>
      <c r="AG24" s="226">
        <f t="shared" si="2"/>
        <v>113.46</v>
      </c>
      <c r="AI24" s="109">
        <v>44397</v>
      </c>
      <c r="AJ24" s="110">
        <v>1342.76</v>
      </c>
      <c r="AK24" s="113">
        <v>1193.94</v>
      </c>
      <c r="AL24" s="110"/>
      <c r="AM24" s="111"/>
      <c r="AN24" s="204"/>
      <c r="AO24" s="215"/>
      <c r="AP24" s="28"/>
      <c r="AQ24" s="28"/>
      <c r="AR24" s="226">
        <f t="shared" si="3"/>
        <v>0</v>
      </c>
      <c r="AT24" s="109">
        <v>44397</v>
      </c>
      <c r="AU24" s="110">
        <v>277.60000000000002</v>
      </c>
      <c r="AV24" s="113">
        <v>57</v>
      </c>
      <c r="AW24" s="110"/>
      <c r="AX24" s="110"/>
      <c r="AY24" s="204"/>
      <c r="AZ24" s="88">
        <v>488.47153999999989</v>
      </c>
      <c r="BA24" s="28"/>
      <c r="BB24" s="28"/>
      <c r="BC24" s="226">
        <f t="shared" si="4"/>
        <v>488.47153999999989</v>
      </c>
      <c r="BE24" s="109">
        <v>44397</v>
      </c>
      <c r="BF24" s="114">
        <v>3280.86</v>
      </c>
      <c r="BG24" s="114">
        <v>715.36</v>
      </c>
      <c r="BH24" s="110"/>
      <c r="BI24" s="243"/>
      <c r="BJ24" s="204"/>
      <c r="BK24" s="88">
        <v>140.68008</v>
      </c>
      <c r="BL24" s="329">
        <v>271.45611999999994</v>
      </c>
      <c r="BM24" s="28"/>
      <c r="BN24" s="226">
        <f t="shared" si="5"/>
        <v>412.13619999999992</v>
      </c>
      <c r="BP24" s="109">
        <v>44397</v>
      </c>
      <c r="BQ24" s="110">
        <v>610.04</v>
      </c>
      <c r="BR24" s="113">
        <v>526.65</v>
      </c>
      <c r="BS24" s="110"/>
      <c r="BT24" s="115"/>
      <c r="BU24" s="204"/>
      <c r="BV24" s="215"/>
      <c r="BW24" s="28"/>
      <c r="BX24" s="28"/>
      <c r="BY24" s="226">
        <f t="shared" si="6"/>
        <v>0</v>
      </c>
      <c r="CA24" s="109">
        <v>44397</v>
      </c>
      <c r="CB24" s="110">
        <v>20351.57</v>
      </c>
      <c r="CC24" s="113">
        <v>2242.2800000000002</v>
      </c>
      <c r="CD24" s="110"/>
      <c r="CE24" s="110"/>
      <c r="CF24" s="204"/>
      <c r="CG24" s="215"/>
      <c r="CH24" s="28"/>
      <c r="CI24" s="28"/>
      <c r="CJ24" s="226">
        <f t="shared" si="7"/>
        <v>0</v>
      </c>
      <c r="CL24" s="109">
        <v>44397</v>
      </c>
      <c r="CM24" s="110">
        <v>5470.14</v>
      </c>
      <c r="CN24" s="113">
        <v>1272.1199999999999</v>
      </c>
      <c r="CO24" s="110"/>
      <c r="CP24" s="115"/>
      <c r="CQ24" s="204"/>
      <c r="CR24" s="88">
        <v>5.6861599999999974</v>
      </c>
      <c r="CS24" s="328"/>
      <c r="CT24" s="28"/>
      <c r="CU24" s="226">
        <f t="shared" si="8"/>
        <v>5.6861599999999974</v>
      </c>
      <c r="CW24" s="109">
        <v>44397</v>
      </c>
      <c r="CX24" s="110">
        <v>6984.66</v>
      </c>
      <c r="CY24" s="113">
        <v>1082.99</v>
      </c>
      <c r="CZ24" s="110"/>
      <c r="DA24" s="111">
        <v>3.13</v>
      </c>
      <c r="DB24" s="204"/>
      <c r="DC24" s="88">
        <v>3.670079999999956</v>
      </c>
      <c r="DD24" s="329">
        <v>3.3812499999999091</v>
      </c>
      <c r="DE24" s="28"/>
      <c r="DF24" s="226">
        <f t="shared" si="9"/>
        <v>10.181329999999864</v>
      </c>
      <c r="DH24" s="109">
        <v>44397</v>
      </c>
      <c r="DI24" s="110">
        <v>2002.97</v>
      </c>
      <c r="DJ24" s="113"/>
      <c r="DK24" s="110"/>
      <c r="DL24" s="115"/>
      <c r="DM24" s="204"/>
      <c r="DN24" s="215"/>
      <c r="DO24" s="28"/>
      <c r="DP24" s="28"/>
      <c r="DQ24" s="226">
        <f t="shared" si="10"/>
        <v>0</v>
      </c>
      <c r="DS24" s="109">
        <v>44397</v>
      </c>
      <c r="DT24" s="110">
        <v>1195.76</v>
      </c>
      <c r="DU24" s="113">
        <v>876.82</v>
      </c>
      <c r="DV24" s="110"/>
      <c r="DW24" s="115"/>
      <c r="DX24" s="204"/>
      <c r="DY24" s="88">
        <v>44.961399999999969</v>
      </c>
      <c r="DZ24" s="329">
        <v>377.24245000000042</v>
      </c>
      <c r="EA24" s="335"/>
      <c r="EB24" s="226">
        <f t="shared" si="11"/>
        <v>422.20385000000039</v>
      </c>
      <c r="ED24" s="109">
        <v>44397</v>
      </c>
      <c r="EE24" s="110">
        <v>2295.67</v>
      </c>
      <c r="EF24" s="113">
        <v>450.03</v>
      </c>
      <c r="EG24" s="110"/>
      <c r="EH24" s="111">
        <v>49.17</v>
      </c>
      <c r="EI24" s="204"/>
      <c r="EJ24" s="88"/>
      <c r="EK24" s="328"/>
      <c r="EL24" s="28"/>
      <c r="EM24" s="226">
        <f t="shared" si="12"/>
        <v>49.17</v>
      </c>
      <c r="EO24" s="109">
        <v>44397</v>
      </c>
      <c r="EP24" s="110">
        <v>694.01</v>
      </c>
      <c r="EQ24" s="113">
        <v>618.28</v>
      </c>
      <c r="ER24" s="110"/>
      <c r="ES24" s="115"/>
      <c r="ET24" s="204"/>
      <c r="EU24" s="215"/>
      <c r="EV24" s="28"/>
      <c r="EW24" s="28"/>
      <c r="EX24" s="226">
        <f t="shared" si="13"/>
        <v>0</v>
      </c>
    </row>
    <row r="25" spans="1:154" x14ac:dyDescent="0.25">
      <c r="A25" s="109">
        <v>44398</v>
      </c>
      <c r="B25" s="110">
        <v>18119.86</v>
      </c>
      <c r="C25" s="111">
        <v>2909.25</v>
      </c>
      <c r="D25" s="110">
        <v>2840.66</v>
      </c>
      <c r="E25" s="112">
        <v>194.88</v>
      </c>
      <c r="G25" s="204"/>
      <c r="H25" s="215"/>
      <c r="I25" s="28"/>
      <c r="J25" s="28"/>
      <c r="K25" s="226">
        <f t="shared" si="0"/>
        <v>0</v>
      </c>
      <c r="M25" s="109">
        <v>44398</v>
      </c>
      <c r="N25" s="110">
        <v>8091.41</v>
      </c>
      <c r="O25" s="113">
        <v>361.78</v>
      </c>
      <c r="P25" s="110"/>
      <c r="Q25" s="111"/>
      <c r="R25" s="204"/>
      <c r="S25" s="88">
        <v>-2.7357000000000227</v>
      </c>
      <c r="T25" s="329">
        <v>0.3976600000000019</v>
      </c>
      <c r="U25" s="28"/>
      <c r="V25" s="226">
        <f t="shared" si="1"/>
        <v>-2.3380400000000208</v>
      </c>
      <c r="X25" s="109">
        <v>44398</v>
      </c>
      <c r="Y25" s="110">
        <v>6447.71</v>
      </c>
      <c r="Z25" s="113">
        <v>2033.57</v>
      </c>
      <c r="AA25" s="113"/>
      <c r="AB25" s="111">
        <v>192.02</v>
      </c>
      <c r="AC25" s="204"/>
      <c r="AD25" s="88">
        <v>241.15619999999987</v>
      </c>
      <c r="AE25" s="28"/>
      <c r="AF25" s="28"/>
      <c r="AG25" s="226">
        <f t="shared" si="2"/>
        <v>433.17619999999988</v>
      </c>
      <c r="AI25" s="109">
        <v>44398</v>
      </c>
      <c r="AJ25" s="110">
        <v>3638.87</v>
      </c>
      <c r="AK25" s="113">
        <v>1160.8399999999999</v>
      </c>
      <c r="AL25" s="110"/>
      <c r="AM25" s="111"/>
      <c r="AN25" s="204"/>
      <c r="AO25" s="215"/>
      <c r="AP25" s="28"/>
      <c r="AQ25" s="28"/>
      <c r="AR25" s="226">
        <f t="shared" si="3"/>
        <v>0</v>
      </c>
      <c r="AT25" s="109">
        <v>44398</v>
      </c>
      <c r="AU25" s="110">
        <v>756.68</v>
      </c>
      <c r="AV25" s="113">
        <v>198.52</v>
      </c>
      <c r="AW25" s="110"/>
      <c r="AX25" s="110"/>
      <c r="AY25" s="204"/>
      <c r="AZ25" s="88">
        <v>342.7155859999998</v>
      </c>
      <c r="BA25" s="28"/>
      <c r="BB25" s="28"/>
      <c r="BC25" s="226">
        <f t="shared" si="4"/>
        <v>342.7155859999998</v>
      </c>
      <c r="BE25" s="109">
        <v>44398</v>
      </c>
      <c r="BF25" s="114">
        <v>4607.82</v>
      </c>
      <c r="BG25" s="114">
        <v>698.2</v>
      </c>
      <c r="BH25" s="110"/>
      <c r="BI25" s="243"/>
      <c r="BJ25" s="204"/>
      <c r="BK25" s="88">
        <v>182.98494599999992</v>
      </c>
      <c r="BL25" s="329">
        <v>46.439902999999994</v>
      </c>
      <c r="BM25" s="28"/>
      <c r="BN25" s="226">
        <f t="shared" si="5"/>
        <v>229.42484899999991</v>
      </c>
      <c r="BP25" s="109">
        <v>44398</v>
      </c>
      <c r="BQ25" s="110">
        <v>576.49</v>
      </c>
      <c r="BR25" s="113">
        <v>571.20000000000005</v>
      </c>
      <c r="BS25" s="110"/>
      <c r="BT25" s="115"/>
      <c r="BU25" s="204"/>
      <c r="BV25" s="215"/>
      <c r="BW25" s="28"/>
      <c r="BX25" s="28"/>
      <c r="BY25" s="226">
        <f t="shared" si="6"/>
        <v>0</v>
      </c>
      <c r="CA25" s="109">
        <v>44398</v>
      </c>
      <c r="CB25" s="110">
        <v>20657.7</v>
      </c>
      <c r="CC25" s="113">
        <v>1431.18</v>
      </c>
      <c r="CD25" s="110"/>
      <c r="CE25" s="110"/>
      <c r="CF25" s="204"/>
      <c r="CG25" s="215"/>
      <c r="CH25" s="28"/>
      <c r="CI25" s="28"/>
      <c r="CJ25" s="226">
        <f t="shared" si="7"/>
        <v>0</v>
      </c>
      <c r="CL25" s="109">
        <v>44398</v>
      </c>
      <c r="CM25" s="110">
        <v>12205.93</v>
      </c>
      <c r="CN25" s="113">
        <v>2019.53</v>
      </c>
      <c r="CO25" s="110"/>
      <c r="CP25" s="115"/>
      <c r="CQ25" s="204"/>
      <c r="CR25" s="88">
        <v>66.382560000000012</v>
      </c>
      <c r="CS25" s="328"/>
      <c r="CT25" s="28"/>
      <c r="CU25" s="226">
        <f t="shared" si="8"/>
        <v>66.382560000000012</v>
      </c>
      <c r="CW25" s="109">
        <v>44398</v>
      </c>
      <c r="CX25" s="110">
        <v>5026.55</v>
      </c>
      <c r="CY25" s="113">
        <v>1057.1199999999999</v>
      </c>
      <c r="CZ25" s="110"/>
      <c r="DA25" s="111">
        <v>8.4700000000000006</v>
      </c>
      <c r="DB25" s="204"/>
      <c r="DC25" s="88">
        <v>52.547339999999963</v>
      </c>
      <c r="DD25" s="329">
        <v>0.35874999999998636</v>
      </c>
      <c r="DE25" s="28"/>
      <c r="DF25" s="226">
        <f t="shared" si="9"/>
        <v>61.376089999999948</v>
      </c>
      <c r="DH25" s="109">
        <v>44398</v>
      </c>
      <c r="DI25" s="110">
        <v>1948.51</v>
      </c>
      <c r="DJ25" s="113"/>
      <c r="DK25" s="110"/>
      <c r="DL25" s="115"/>
      <c r="DM25" s="204"/>
      <c r="DN25" s="215"/>
      <c r="DO25" s="28"/>
      <c r="DP25" s="28"/>
      <c r="DQ25" s="226">
        <f t="shared" si="10"/>
        <v>0</v>
      </c>
      <c r="DS25" s="109">
        <v>44398</v>
      </c>
      <c r="DT25" s="110">
        <v>2279.21</v>
      </c>
      <c r="DU25" s="113">
        <v>572.89</v>
      </c>
      <c r="DV25" s="110"/>
      <c r="DW25" s="115"/>
      <c r="DX25" s="204"/>
      <c r="DY25" s="88">
        <v>120.59086800000004</v>
      </c>
      <c r="DZ25" s="329">
        <v>61.990245999999985</v>
      </c>
      <c r="EA25" s="335"/>
      <c r="EB25" s="226">
        <f t="shared" si="11"/>
        <v>182.58111400000001</v>
      </c>
      <c r="ED25" s="109">
        <v>44398</v>
      </c>
      <c r="EE25" s="110">
        <v>7852.79</v>
      </c>
      <c r="EF25" s="113">
        <v>1719.69</v>
      </c>
      <c r="EG25" s="110"/>
      <c r="EH25" s="111">
        <v>132.69999999999999</v>
      </c>
      <c r="EI25" s="204"/>
      <c r="EJ25" s="88">
        <v>12.937929999999994</v>
      </c>
      <c r="EK25" s="328"/>
      <c r="EL25" s="28"/>
      <c r="EM25" s="226">
        <f t="shared" si="12"/>
        <v>145.63792999999998</v>
      </c>
      <c r="EO25" s="109">
        <v>44398</v>
      </c>
      <c r="EP25" s="110">
        <v>1046.4000000000001</v>
      </c>
      <c r="EQ25" s="113">
        <v>616.95000000000005</v>
      </c>
      <c r="ER25" s="110"/>
      <c r="ES25" s="115"/>
      <c r="ET25" s="204"/>
      <c r="EU25" s="215"/>
      <c r="EV25" s="28"/>
      <c r="EW25" s="28"/>
      <c r="EX25" s="226">
        <f t="shared" si="13"/>
        <v>0</v>
      </c>
    </row>
    <row r="26" spans="1:154" x14ac:dyDescent="0.25">
      <c r="A26" s="109">
        <v>44399</v>
      </c>
      <c r="B26" s="116">
        <v>25134.87</v>
      </c>
      <c r="C26" s="117">
        <v>4136.8999999999996</v>
      </c>
      <c r="D26" s="116">
        <v>3252.19</v>
      </c>
      <c r="E26" s="112">
        <v>211.17</v>
      </c>
      <c r="G26" s="204"/>
      <c r="H26" s="215"/>
      <c r="I26" s="28"/>
      <c r="J26" s="28"/>
      <c r="K26" s="226">
        <f t="shared" si="0"/>
        <v>0</v>
      </c>
      <c r="M26" s="109">
        <v>44399</v>
      </c>
      <c r="N26" s="116">
        <v>5014.92</v>
      </c>
      <c r="O26" s="118">
        <v>627.85</v>
      </c>
      <c r="P26" s="119"/>
      <c r="Q26" s="117"/>
      <c r="R26" s="204"/>
      <c r="S26" s="88">
        <v>-17.373600000000025</v>
      </c>
      <c r="T26" s="329">
        <v>9.0432900000000132</v>
      </c>
      <c r="U26" s="28"/>
      <c r="V26" s="226">
        <f t="shared" si="1"/>
        <v>-8.3303100000000114</v>
      </c>
      <c r="X26" s="109">
        <v>44399</v>
      </c>
      <c r="Y26" s="116">
        <v>4433.8</v>
      </c>
      <c r="Z26" s="118">
        <v>2522.67</v>
      </c>
      <c r="AA26" s="118"/>
      <c r="AB26" s="117">
        <v>58.62</v>
      </c>
      <c r="AC26" s="204"/>
      <c r="AD26" s="88"/>
      <c r="AE26" s="28"/>
      <c r="AF26" s="28"/>
      <c r="AG26" s="226">
        <f t="shared" si="2"/>
        <v>58.62</v>
      </c>
      <c r="AI26" s="109">
        <v>44399</v>
      </c>
      <c r="AJ26" s="116">
        <v>2354.09</v>
      </c>
      <c r="AK26" s="120">
        <v>1518.27</v>
      </c>
      <c r="AL26" s="119"/>
      <c r="AM26" s="111"/>
      <c r="AN26" s="204"/>
      <c r="AO26" s="215"/>
      <c r="AP26" s="28"/>
      <c r="AQ26" s="28"/>
      <c r="AR26" s="226">
        <f t="shared" si="3"/>
        <v>0</v>
      </c>
      <c r="AT26" s="109">
        <v>44399</v>
      </c>
      <c r="AU26" s="116">
        <v>468</v>
      </c>
      <c r="AV26" s="118">
        <v>140.55000000000001</v>
      </c>
      <c r="AW26" s="119"/>
      <c r="AX26" s="116">
        <v>210.6</v>
      </c>
      <c r="AY26" s="204"/>
      <c r="AZ26" s="88">
        <v>460.91152199999999</v>
      </c>
      <c r="BA26" s="28"/>
      <c r="BB26" s="28"/>
      <c r="BC26" s="226">
        <f t="shared" si="4"/>
        <v>671.51152200000001</v>
      </c>
      <c r="BE26" s="109">
        <v>44399</v>
      </c>
      <c r="BF26" s="114">
        <v>4175.28</v>
      </c>
      <c r="BG26" s="114">
        <v>832.83</v>
      </c>
      <c r="BH26" s="119"/>
      <c r="BI26" s="243">
        <v>10.5</v>
      </c>
      <c r="BJ26" s="204"/>
      <c r="BK26" s="88">
        <v>295.85907299999997</v>
      </c>
      <c r="BL26" s="329">
        <v>72.350357000000002</v>
      </c>
      <c r="BM26" s="28"/>
      <c r="BN26" s="226">
        <f t="shared" si="5"/>
        <v>378.70943</v>
      </c>
      <c r="BP26" s="109">
        <v>44399</v>
      </c>
      <c r="BQ26" s="116">
        <v>1028.6099999999999</v>
      </c>
      <c r="BR26" s="118">
        <v>626.85</v>
      </c>
      <c r="BS26" s="119"/>
      <c r="BT26" s="115"/>
      <c r="BU26" s="204"/>
      <c r="BV26" s="215"/>
      <c r="BW26" s="28"/>
      <c r="BX26" s="28"/>
      <c r="BY26" s="226">
        <f t="shared" si="6"/>
        <v>0</v>
      </c>
      <c r="CA26" s="109">
        <v>44399</v>
      </c>
      <c r="CB26" s="116">
        <v>21062.93</v>
      </c>
      <c r="CC26" s="118">
        <v>2776.4</v>
      </c>
      <c r="CD26" s="119"/>
      <c r="CE26" s="110"/>
      <c r="CF26" s="204"/>
      <c r="CG26" s="215"/>
      <c r="CH26" s="28"/>
      <c r="CI26" s="28"/>
      <c r="CJ26" s="226">
        <f t="shared" si="7"/>
        <v>0</v>
      </c>
      <c r="CL26" s="109">
        <v>44399</v>
      </c>
      <c r="CM26" s="116">
        <v>10375.209999999999</v>
      </c>
      <c r="CN26" s="118">
        <v>2163.46</v>
      </c>
      <c r="CO26" s="119"/>
      <c r="CP26" s="115"/>
      <c r="CQ26" s="204"/>
      <c r="CR26" s="88">
        <v>93.832519999999974</v>
      </c>
      <c r="CS26" s="328"/>
      <c r="CT26" s="28"/>
      <c r="CU26" s="226">
        <f t="shared" si="8"/>
        <v>93.832519999999974</v>
      </c>
      <c r="CW26" s="109">
        <v>44399</v>
      </c>
      <c r="CX26" s="116">
        <v>7842.95</v>
      </c>
      <c r="CY26" s="120">
        <v>466.91</v>
      </c>
      <c r="CZ26" s="119"/>
      <c r="DA26" s="117"/>
      <c r="DB26" s="204"/>
      <c r="DC26" s="88">
        <v>41.210799999999836</v>
      </c>
      <c r="DD26" s="329"/>
      <c r="DE26" s="28"/>
      <c r="DF26" s="226">
        <f t="shared" si="9"/>
        <v>41.210799999999836</v>
      </c>
      <c r="DH26" s="109">
        <v>44399</v>
      </c>
      <c r="DI26" s="116">
        <v>1817</v>
      </c>
      <c r="DJ26" s="120"/>
      <c r="DK26" s="119"/>
      <c r="DL26" s="115"/>
      <c r="DM26" s="204"/>
      <c r="DN26" s="215"/>
      <c r="DO26" s="28"/>
      <c r="DP26" s="28"/>
      <c r="DQ26" s="226">
        <f t="shared" si="10"/>
        <v>0</v>
      </c>
      <c r="DS26" s="109">
        <v>44399</v>
      </c>
      <c r="DT26" s="119">
        <v>2071.98</v>
      </c>
      <c r="DU26" s="118">
        <v>390.45</v>
      </c>
      <c r="DV26" s="119"/>
      <c r="DW26" s="115"/>
      <c r="DX26" s="204"/>
      <c r="DY26" s="88">
        <v>79.894420000000011</v>
      </c>
      <c r="DZ26" s="329">
        <v>42.529578000000001</v>
      </c>
      <c r="EA26" s="335">
        <v>10.255324800000011</v>
      </c>
      <c r="EB26" s="226">
        <f t="shared" si="11"/>
        <v>132.67932280000002</v>
      </c>
      <c r="ED26" s="109">
        <v>44399</v>
      </c>
      <c r="EE26" s="119">
        <v>6642.42</v>
      </c>
      <c r="EF26" s="120">
        <v>2053.79</v>
      </c>
      <c r="EG26" s="119"/>
      <c r="EH26" s="117">
        <v>117.65</v>
      </c>
      <c r="EI26" s="204"/>
      <c r="EJ26" s="88"/>
      <c r="EK26" s="328"/>
      <c r="EL26" s="28"/>
      <c r="EM26" s="226">
        <f t="shared" si="12"/>
        <v>117.65</v>
      </c>
      <c r="EO26" s="109">
        <v>44399</v>
      </c>
      <c r="EP26" s="116">
        <v>936.93</v>
      </c>
      <c r="EQ26" s="118">
        <v>695.55</v>
      </c>
      <c r="ER26" s="119"/>
      <c r="ES26" s="115"/>
      <c r="ET26" s="204"/>
      <c r="EU26" s="215"/>
      <c r="EV26" s="28"/>
      <c r="EW26" s="28"/>
      <c r="EX26" s="226">
        <f t="shared" si="13"/>
        <v>0</v>
      </c>
    </row>
    <row r="27" spans="1:154" x14ac:dyDescent="0.25">
      <c r="A27" s="109">
        <v>44400</v>
      </c>
      <c r="B27" s="116">
        <v>16271.89</v>
      </c>
      <c r="C27" s="117">
        <v>2752.06</v>
      </c>
      <c r="D27" s="116">
        <v>1814.28</v>
      </c>
      <c r="E27" s="112">
        <v>58.87</v>
      </c>
      <c r="G27" s="204"/>
      <c r="H27" s="215"/>
      <c r="I27" s="28"/>
      <c r="J27" s="28"/>
      <c r="K27" s="226">
        <f t="shared" si="0"/>
        <v>0</v>
      </c>
      <c r="M27" s="109">
        <v>44400</v>
      </c>
      <c r="N27" s="116">
        <v>5178.7700000000004</v>
      </c>
      <c r="O27" s="118">
        <v>763.99</v>
      </c>
      <c r="P27" s="119"/>
      <c r="Q27" s="117"/>
      <c r="R27" s="204"/>
      <c r="S27" s="88">
        <v>45.825500000000019</v>
      </c>
      <c r="T27" s="329">
        <v>3.32043800000001</v>
      </c>
      <c r="U27" s="28"/>
      <c r="V27" s="226">
        <f t="shared" si="1"/>
        <v>49.145938000000029</v>
      </c>
      <c r="X27" s="109">
        <v>44400</v>
      </c>
      <c r="Y27" s="116">
        <v>5023.71</v>
      </c>
      <c r="Z27" s="118">
        <v>1517.86</v>
      </c>
      <c r="AA27" s="118"/>
      <c r="AB27" s="117">
        <v>144.87</v>
      </c>
      <c r="AC27" s="204"/>
      <c r="AD27" s="88">
        <v>113.80466999999999</v>
      </c>
      <c r="AE27" s="28"/>
      <c r="AF27" s="28"/>
      <c r="AG27" s="226">
        <f t="shared" si="2"/>
        <v>258.67466999999999</v>
      </c>
      <c r="AI27" s="109">
        <v>44400</v>
      </c>
      <c r="AJ27" s="116">
        <v>4382.76</v>
      </c>
      <c r="AK27" s="120">
        <v>952.41</v>
      </c>
      <c r="AL27" s="119"/>
      <c r="AM27" s="111"/>
      <c r="AN27" s="204"/>
      <c r="AO27" s="215"/>
      <c r="AP27" s="28"/>
      <c r="AQ27" s="28"/>
      <c r="AR27" s="226">
        <f t="shared" si="3"/>
        <v>0</v>
      </c>
      <c r="AT27" s="109">
        <v>44400</v>
      </c>
      <c r="AU27" s="116">
        <v>320.04000000000002</v>
      </c>
      <c r="AV27" s="118">
        <v>95.78</v>
      </c>
      <c r="AW27" s="119"/>
      <c r="AX27" s="116">
        <v>117</v>
      </c>
      <c r="AY27" s="204"/>
      <c r="AZ27" s="88">
        <v>373.27297399999986</v>
      </c>
      <c r="BA27" s="28"/>
      <c r="BB27" s="28"/>
      <c r="BC27" s="226">
        <f t="shared" si="4"/>
        <v>490.27297399999986</v>
      </c>
      <c r="BE27" s="109">
        <v>44400</v>
      </c>
      <c r="BF27" s="114">
        <v>3774.71</v>
      </c>
      <c r="BG27" s="114">
        <v>656.54</v>
      </c>
      <c r="BH27" s="119"/>
      <c r="BI27" s="243">
        <v>14.46</v>
      </c>
      <c r="BJ27" s="204"/>
      <c r="BK27" s="88">
        <v>106.19923499999997</v>
      </c>
      <c r="BL27" s="329">
        <v>24.119961000000011</v>
      </c>
      <c r="BM27" s="28"/>
      <c r="BN27" s="226">
        <f t="shared" si="5"/>
        <v>144.77919599999998</v>
      </c>
      <c r="BP27" s="109">
        <v>44400</v>
      </c>
      <c r="BQ27" s="116">
        <v>991.51</v>
      </c>
      <c r="BR27" s="118">
        <v>465.31</v>
      </c>
      <c r="BS27" s="119"/>
      <c r="BT27" s="115"/>
      <c r="BU27" s="204"/>
      <c r="BV27" s="215"/>
      <c r="BW27" s="28"/>
      <c r="BX27" s="28"/>
      <c r="BY27" s="226">
        <f t="shared" si="6"/>
        <v>0</v>
      </c>
      <c r="CA27" s="109">
        <v>44400</v>
      </c>
      <c r="CB27" s="116">
        <v>18096.990000000002</v>
      </c>
      <c r="CC27" s="118">
        <v>2032.76</v>
      </c>
      <c r="CD27" s="119"/>
      <c r="CE27" s="110"/>
      <c r="CF27" s="204"/>
      <c r="CG27" s="215"/>
      <c r="CH27" s="28"/>
      <c r="CI27" s="28"/>
      <c r="CJ27" s="226">
        <f t="shared" si="7"/>
        <v>0</v>
      </c>
      <c r="CL27" s="109">
        <v>44400</v>
      </c>
      <c r="CM27" s="116">
        <v>6394.78</v>
      </c>
      <c r="CN27" s="118">
        <v>1359.43</v>
      </c>
      <c r="CO27" s="119"/>
      <c r="CP27" s="115"/>
      <c r="CQ27" s="204"/>
      <c r="CR27" s="88">
        <v>70.756079999999997</v>
      </c>
      <c r="CS27" s="328"/>
      <c r="CT27" s="28"/>
      <c r="CU27" s="226">
        <f t="shared" si="8"/>
        <v>70.756079999999997</v>
      </c>
      <c r="CW27" s="109">
        <v>44400</v>
      </c>
      <c r="CX27" s="116">
        <v>10079.11</v>
      </c>
      <c r="CY27" s="120">
        <v>1020.28</v>
      </c>
      <c r="CZ27" s="119"/>
      <c r="DA27" s="117">
        <v>52.41</v>
      </c>
      <c r="DB27" s="204"/>
      <c r="DC27" s="88">
        <v>42.803659999999972</v>
      </c>
      <c r="DD27" s="329">
        <v>64.147309999999976</v>
      </c>
      <c r="DE27" s="28"/>
      <c r="DF27" s="226">
        <f t="shared" si="9"/>
        <v>159.36096999999995</v>
      </c>
      <c r="DH27" s="109">
        <v>44400</v>
      </c>
      <c r="DI27" s="116">
        <v>1184.01</v>
      </c>
      <c r="DJ27" s="120"/>
      <c r="DK27" s="119"/>
      <c r="DL27" s="115"/>
      <c r="DM27" s="204"/>
      <c r="DN27" s="215"/>
      <c r="DO27" s="28"/>
      <c r="DP27" s="28"/>
      <c r="DQ27" s="226">
        <f t="shared" si="10"/>
        <v>0</v>
      </c>
      <c r="DS27" s="109">
        <v>44400</v>
      </c>
      <c r="DT27" s="119">
        <v>3554.51</v>
      </c>
      <c r="DU27" s="118">
        <v>411.45</v>
      </c>
      <c r="DV27" s="119"/>
      <c r="DW27" s="115"/>
      <c r="DX27" s="204"/>
      <c r="DY27" s="88">
        <v>46.913625999999994</v>
      </c>
      <c r="DZ27" s="329"/>
      <c r="EA27" s="335">
        <v>10.785571800000014</v>
      </c>
      <c r="EB27" s="226">
        <f t="shared" si="11"/>
        <v>57.699197800000007</v>
      </c>
      <c r="ED27" s="109">
        <v>44400</v>
      </c>
      <c r="EE27" s="119">
        <v>5472.86</v>
      </c>
      <c r="EF27" s="120">
        <v>2692.02</v>
      </c>
      <c r="EG27" s="119"/>
      <c r="EH27" s="117">
        <v>108.97</v>
      </c>
      <c r="EI27" s="204"/>
      <c r="EJ27" s="88"/>
      <c r="EK27" s="328"/>
      <c r="EL27" s="28"/>
      <c r="EM27" s="226">
        <f t="shared" si="12"/>
        <v>108.97</v>
      </c>
      <c r="EO27" s="109">
        <v>44400</v>
      </c>
      <c r="EP27" s="116">
        <v>836.88</v>
      </c>
      <c r="EQ27" s="118">
        <v>583.54999999999995</v>
      </c>
      <c r="ER27" s="119"/>
      <c r="ES27" s="115"/>
      <c r="ET27" s="204"/>
      <c r="EU27" s="215"/>
      <c r="EV27" s="28"/>
      <c r="EW27" s="28"/>
      <c r="EX27" s="226">
        <f t="shared" si="13"/>
        <v>0</v>
      </c>
    </row>
    <row r="28" spans="1:154" x14ac:dyDescent="0.25">
      <c r="A28" s="109">
        <v>44401</v>
      </c>
      <c r="B28" s="116">
        <v>21566.720000000001</v>
      </c>
      <c r="C28" s="117">
        <v>4068.8</v>
      </c>
      <c r="D28" s="116">
        <v>2579.81</v>
      </c>
      <c r="E28" s="112">
        <v>159.13</v>
      </c>
      <c r="G28" s="204"/>
      <c r="H28" s="215"/>
      <c r="I28" s="28"/>
      <c r="J28" s="28"/>
      <c r="K28" s="226">
        <f t="shared" si="0"/>
        <v>0</v>
      </c>
      <c r="M28" s="109">
        <v>44401</v>
      </c>
      <c r="N28" s="116">
        <v>5522.72</v>
      </c>
      <c r="O28" s="118">
        <v>663.07</v>
      </c>
      <c r="P28" s="119"/>
      <c r="Q28" s="117"/>
      <c r="R28" s="204"/>
      <c r="S28" s="88">
        <v>120.69286</v>
      </c>
      <c r="T28" s="329">
        <v>4.4312800000000152</v>
      </c>
      <c r="U28" s="28"/>
      <c r="V28" s="226">
        <f t="shared" si="1"/>
        <v>125.12414000000001</v>
      </c>
      <c r="X28" s="109">
        <v>44401</v>
      </c>
      <c r="Y28" s="116">
        <v>6336.11</v>
      </c>
      <c r="Z28" s="118">
        <v>1798.62</v>
      </c>
      <c r="AA28" s="118"/>
      <c r="AB28" s="117">
        <v>148.13</v>
      </c>
      <c r="AC28" s="204"/>
      <c r="AD28" s="88">
        <v>48.176483999999988</v>
      </c>
      <c r="AE28" s="28"/>
      <c r="AF28" s="28"/>
      <c r="AG28" s="226">
        <f t="shared" si="2"/>
        <v>196.30648399999998</v>
      </c>
      <c r="AI28" s="109">
        <v>44401</v>
      </c>
      <c r="AJ28" s="116">
        <v>3061.79</v>
      </c>
      <c r="AK28" s="120">
        <v>972.77</v>
      </c>
      <c r="AL28" s="119"/>
      <c r="AM28" s="111"/>
      <c r="AN28" s="204"/>
      <c r="AO28" s="215"/>
      <c r="AP28" s="28"/>
      <c r="AQ28" s="28"/>
      <c r="AR28" s="226">
        <f t="shared" si="3"/>
        <v>0</v>
      </c>
      <c r="AT28" s="109">
        <v>44401</v>
      </c>
      <c r="AU28" s="116">
        <v>280.52</v>
      </c>
      <c r="AV28" s="118">
        <v>180.44</v>
      </c>
      <c r="AW28" s="119"/>
      <c r="AX28" s="116">
        <v>3.9</v>
      </c>
      <c r="AY28" s="204"/>
      <c r="AZ28" s="88">
        <v>321.6675360000001</v>
      </c>
      <c r="BA28" s="28"/>
      <c r="BB28" s="28"/>
      <c r="BC28" s="226">
        <f t="shared" si="4"/>
        <v>325.56753600000008</v>
      </c>
      <c r="BE28" s="109">
        <v>44401</v>
      </c>
      <c r="BF28" s="114">
        <v>3930.88</v>
      </c>
      <c r="BG28" s="114">
        <v>733.84</v>
      </c>
      <c r="BH28" s="119"/>
      <c r="BI28" s="243"/>
      <c r="BJ28" s="204"/>
      <c r="BK28" s="88">
        <v>87.832554000000016</v>
      </c>
      <c r="BL28" s="329"/>
      <c r="BM28" s="28"/>
      <c r="BN28" s="226">
        <f t="shared" si="5"/>
        <v>87.832554000000016</v>
      </c>
      <c r="BP28" s="109">
        <v>44401</v>
      </c>
      <c r="BQ28" s="116">
        <v>506.14</v>
      </c>
      <c r="BR28" s="118">
        <v>361.68</v>
      </c>
      <c r="BS28" s="119"/>
      <c r="BT28" s="115">
        <v>40</v>
      </c>
      <c r="BU28" s="204"/>
      <c r="BV28" s="215"/>
      <c r="BW28" s="28"/>
      <c r="BX28" s="28"/>
      <c r="BY28" s="226">
        <f t="shared" si="6"/>
        <v>40</v>
      </c>
      <c r="CA28" s="109">
        <v>44401</v>
      </c>
      <c r="CB28" s="116">
        <v>22497.53</v>
      </c>
      <c r="CC28" s="118">
        <v>1909.65</v>
      </c>
      <c r="CD28" s="119"/>
      <c r="CE28" s="110"/>
      <c r="CF28" s="204"/>
      <c r="CG28" s="215"/>
      <c r="CH28" s="28"/>
      <c r="CI28" s="28"/>
      <c r="CJ28" s="226">
        <f t="shared" si="7"/>
        <v>0</v>
      </c>
      <c r="CL28" s="109">
        <v>44401</v>
      </c>
      <c r="CM28" s="116">
        <v>9456.2099999999991</v>
      </c>
      <c r="CN28" s="118">
        <v>1950.08</v>
      </c>
      <c r="CO28" s="119"/>
      <c r="CP28" s="115"/>
      <c r="CQ28" s="204"/>
      <c r="CR28" s="88">
        <v>179.25283999999999</v>
      </c>
      <c r="CS28" s="328">
        <v>49.678039999999996</v>
      </c>
      <c r="CT28" s="28"/>
      <c r="CU28" s="226">
        <f t="shared" si="8"/>
        <v>228.93088</v>
      </c>
      <c r="CW28" s="109">
        <v>44401</v>
      </c>
      <c r="CX28" s="116">
        <v>7865.26</v>
      </c>
      <c r="CY28" s="120">
        <v>753.59</v>
      </c>
      <c r="CZ28" s="119"/>
      <c r="DA28" s="117"/>
      <c r="DB28" s="204"/>
      <c r="DC28" s="88">
        <v>5.1081999999999539</v>
      </c>
      <c r="DD28" s="329">
        <v>43.675600000000031</v>
      </c>
      <c r="DE28" s="28"/>
      <c r="DF28" s="226">
        <f t="shared" si="9"/>
        <v>48.783799999999985</v>
      </c>
      <c r="DH28" s="109">
        <v>44401</v>
      </c>
      <c r="DI28" s="116">
        <v>2173.25</v>
      </c>
      <c r="DJ28" s="120"/>
      <c r="DK28" s="119"/>
      <c r="DL28" s="115"/>
      <c r="DM28" s="204"/>
      <c r="DN28" s="215"/>
      <c r="DO28" s="28"/>
      <c r="DP28" s="28"/>
      <c r="DQ28" s="226">
        <f t="shared" si="10"/>
        <v>0</v>
      </c>
      <c r="DS28" s="109">
        <v>44401</v>
      </c>
      <c r="DT28" s="119">
        <v>2381.94</v>
      </c>
      <c r="DU28" s="118">
        <v>521.29999999999995</v>
      </c>
      <c r="DV28" s="119"/>
      <c r="DW28" s="115"/>
      <c r="DX28" s="204"/>
      <c r="DY28" s="88">
        <v>121.21023700000003</v>
      </c>
      <c r="DZ28" s="329">
        <v>270.07894400000043</v>
      </c>
      <c r="EA28" s="335">
        <v>10.072908000000012</v>
      </c>
      <c r="EB28" s="226">
        <f t="shared" si="11"/>
        <v>401.36208900000042</v>
      </c>
      <c r="ED28" s="109">
        <v>44401</v>
      </c>
      <c r="EE28" s="119">
        <v>8301.48</v>
      </c>
      <c r="EF28" s="120">
        <v>1875.49</v>
      </c>
      <c r="EG28" s="119"/>
      <c r="EH28" s="117">
        <v>129.81</v>
      </c>
      <c r="EI28" s="204"/>
      <c r="EJ28" s="88"/>
      <c r="EK28" s="328"/>
      <c r="EL28" s="28"/>
      <c r="EM28" s="226">
        <f t="shared" si="12"/>
        <v>129.81</v>
      </c>
      <c r="EO28" s="109">
        <v>44401</v>
      </c>
      <c r="EP28" s="116">
        <v>1098.6400000000001</v>
      </c>
      <c r="EQ28" s="118">
        <v>941.35</v>
      </c>
      <c r="ER28" s="119"/>
      <c r="ES28" s="115"/>
      <c r="ET28" s="204"/>
      <c r="EU28" s="215"/>
      <c r="EV28" s="28"/>
      <c r="EW28" s="28"/>
      <c r="EX28" s="226">
        <f t="shared" si="13"/>
        <v>0</v>
      </c>
    </row>
    <row r="29" spans="1:154" x14ac:dyDescent="0.25">
      <c r="A29" s="109">
        <v>44402</v>
      </c>
      <c r="B29" s="116">
        <v>24987.75</v>
      </c>
      <c r="C29" s="117">
        <v>4001.5</v>
      </c>
      <c r="D29" s="116">
        <v>2898.91</v>
      </c>
      <c r="E29" s="112">
        <v>147.05000000000001</v>
      </c>
      <c r="G29" s="204"/>
      <c r="H29" s="215"/>
      <c r="I29" s="28"/>
      <c r="J29" s="28"/>
      <c r="K29" s="226">
        <f t="shared" si="0"/>
        <v>0</v>
      </c>
      <c r="M29" s="109">
        <v>44402</v>
      </c>
      <c r="N29" s="116">
        <v>3699.31</v>
      </c>
      <c r="O29" s="118">
        <v>1051.6400000000001</v>
      </c>
      <c r="P29" s="119"/>
      <c r="Q29" s="117"/>
      <c r="R29" s="204"/>
      <c r="S29" s="88">
        <v>13.697619999999972</v>
      </c>
      <c r="T29" s="329"/>
      <c r="U29" s="28"/>
      <c r="V29" s="226">
        <f t="shared" si="1"/>
        <v>13.697619999999972</v>
      </c>
      <c r="X29" s="109">
        <v>44402</v>
      </c>
      <c r="Y29" s="116">
        <v>5987.08</v>
      </c>
      <c r="Z29" s="118">
        <v>1837.85</v>
      </c>
      <c r="AA29" s="118"/>
      <c r="AB29" s="117">
        <v>147.38999999999999</v>
      </c>
      <c r="AC29" s="204"/>
      <c r="AD29" s="88">
        <v>50.326355999999961</v>
      </c>
      <c r="AE29" s="28"/>
      <c r="AF29" s="28"/>
      <c r="AG29" s="226">
        <f t="shared" si="2"/>
        <v>197.71635599999996</v>
      </c>
      <c r="AI29" s="109">
        <v>44402</v>
      </c>
      <c r="AJ29" s="116">
        <v>2659.09</v>
      </c>
      <c r="AK29" s="120">
        <v>697.09</v>
      </c>
      <c r="AL29" s="119"/>
      <c r="AM29" s="111"/>
      <c r="AN29" s="204"/>
      <c r="AO29" s="215"/>
      <c r="AP29" s="28"/>
      <c r="AQ29" s="28"/>
      <c r="AR29" s="226">
        <f t="shared" si="3"/>
        <v>0</v>
      </c>
      <c r="AT29" s="109">
        <v>44402</v>
      </c>
      <c r="AU29" s="116">
        <v>578.02</v>
      </c>
      <c r="AV29" s="118">
        <v>80</v>
      </c>
      <c r="AW29" s="119"/>
      <c r="AX29" s="116"/>
      <c r="AY29" s="204"/>
      <c r="AZ29" s="88">
        <v>244.40514000000005</v>
      </c>
      <c r="BA29" s="28"/>
      <c r="BB29" s="28"/>
      <c r="BC29" s="226">
        <f t="shared" si="4"/>
        <v>244.40514000000005</v>
      </c>
      <c r="BE29" s="109">
        <v>44402</v>
      </c>
      <c r="BF29" s="114">
        <v>4709.1000000000004</v>
      </c>
      <c r="BG29" s="114">
        <v>973.28</v>
      </c>
      <c r="BH29" s="119"/>
      <c r="BI29" s="243">
        <v>13.72</v>
      </c>
      <c r="BJ29" s="204"/>
      <c r="BK29" s="88">
        <v>227.60454699999994</v>
      </c>
      <c r="BL29" s="329">
        <v>58.559255999999976</v>
      </c>
      <c r="BM29" s="28"/>
      <c r="BN29" s="226">
        <f t="shared" si="5"/>
        <v>299.88380299999994</v>
      </c>
      <c r="BP29" s="109">
        <v>44402</v>
      </c>
      <c r="BQ29" s="116">
        <v>605.63</v>
      </c>
      <c r="BR29" s="118">
        <v>304.57</v>
      </c>
      <c r="BS29" s="119"/>
      <c r="BT29" s="115"/>
      <c r="BU29" s="204"/>
      <c r="BV29" s="215"/>
      <c r="BW29" s="28"/>
      <c r="BX29" s="28"/>
      <c r="BY29" s="226">
        <f t="shared" si="6"/>
        <v>0</v>
      </c>
      <c r="CA29" s="109">
        <v>44402</v>
      </c>
      <c r="CB29" s="116">
        <v>23596.13</v>
      </c>
      <c r="CC29" s="118">
        <v>2633.3</v>
      </c>
      <c r="CD29" s="119"/>
      <c r="CE29" s="110"/>
      <c r="CF29" s="204"/>
      <c r="CG29" s="215"/>
      <c r="CH29" s="28"/>
      <c r="CI29" s="28"/>
      <c r="CJ29" s="226">
        <f t="shared" si="7"/>
        <v>0</v>
      </c>
      <c r="CL29" s="109">
        <v>44402</v>
      </c>
      <c r="CM29" s="116">
        <v>8838.42</v>
      </c>
      <c r="CN29" s="118">
        <v>2125.61</v>
      </c>
      <c r="CO29" s="119"/>
      <c r="CP29" s="115"/>
      <c r="CQ29" s="204"/>
      <c r="CR29" s="88"/>
      <c r="CS29" s="328"/>
      <c r="CT29" s="28"/>
      <c r="CU29" s="226">
        <f t="shared" si="8"/>
        <v>0</v>
      </c>
      <c r="CW29" s="109">
        <v>44402</v>
      </c>
      <c r="CX29" s="116">
        <v>9140.5400000000009</v>
      </c>
      <c r="CY29" s="120">
        <v>3099.1</v>
      </c>
      <c r="CZ29" s="119"/>
      <c r="DA29" s="117">
        <v>3.4</v>
      </c>
      <c r="DB29" s="204"/>
      <c r="DC29" s="88">
        <v>33.906809999999965</v>
      </c>
      <c r="DD29" s="329"/>
      <c r="DE29" s="28"/>
      <c r="DF29" s="226">
        <f t="shared" si="9"/>
        <v>37.306809999999963</v>
      </c>
      <c r="DH29" s="109">
        <v>44402</v>
      </c>
      <c r="DI29" s="116">
        <v>1747.03</v>
      </c>
      <c r="DJ29" s="120"/>
      <c r="DK29" s="119"/>
      <c r="DL29" s="115"/>
      <c r="DM29" s="204"/>
      <c r="DN29" s="215"/>
      <c r="DO29" s="28"/>
      <c r="DP29" s="28"/>
      <c r="DQ29" s="226">
        <f t="shared" si="10"/>
        <v>0</v>
      </c>
      <c r="DS29" s="109">
        <v>44402</v>
      </c>
      <c r="DT29" s="119">
        <v>1574.3</v>
      </c>
      <c r="DU29" s="118">
        <v>625.74</v>
      </c>
      <c r="DV29" s="119"/>
      <c r="DW29" s="115"/>
      <c r="DX29" s="204"/>
      <c r="DY29" s="88">
        <v>115.98668299999999</v>
      </c>
      <c r="DZ29" s="329">
        <v>12.360182999999992</v>
      </c>
      <c r="EA29" s="335">
        <v>9.7879536599999852</v>
      </c>
      <c r="EB29" s="226">
        <f t="shared" si="11"/>
        <v>138.13481965999995</v>
      </c>
      <c r="ED29" s="109">
        <v>44402</v>
      </c>
      <c r="EE29" s="119">
        <v>7682.34</v>
      </c>
      <c r="EF29" s="120">
        <v>1837.55</v>
      </c>
      <c r="EG29" s="119"/>
      <c r="EH29" s="117">
        <v>91.43</v>
      </c>
      <c r="EI29" s="204"/>
      <c r="EJ29" s="88"/>
      <c r="EK29" s="328"/>
      <c r="EL29" s="28"/>
      <c r="EM29" s="226">
        <f t="shared" si="12"/>
        <v>91.43</v>
      </c>
      <c r="EO29" s="109">
        <v>44402</v>
      </c>
      <c r="EP29" s="116">
        <v>789.91</v>
      </c>
      <c r="EQ29" s="118">
        <v>588.29999999999995</v>
      </c>
      <c r="ER29" s="119"/>
      <c r="ES29" s="115"/>
      <c r="ET29" s="204"/>
      <c r="EU29" s="215"/>
      <c r="EV29" s="28"/>
      <c r="EW29" s="28"/>
      <c r="EX29" s="226">
        <f t="shared" si="13"/>
        <v>0</v>
      </c>
    </row>
    <row r="30" spans="1:154" x14ac:dyDescent="0.25">
      <c r="A30" s="109">
        <v>44403</v>
      </c>
      <c r="B30" s="116">
        <v>23957.34</v>
      </c>
      <c r="C30" s="117">
        <v>4049.03</v>
      </c>
      <c r="D30" s="116">
        <v>2885.66</v>
      </c>
      <c r="E30" s="112">
        <v>137.66</v>
      </c>
      <c r="G30" s="204"/>
      <c r="H30" s="215"/>
      <c r="I30" s="28"/>
      <c r="J30" s="28"/>
      <c r="K30" s="226">
        <f t="shared" si="0"/>
        <v>0</v>
      </c>
      <c r="M30" s="109">
        <v>44403</v>
      </c>
      <c r="N30" s="116">
        <v>4087.95</v>
      </c>
      <c r="O30" s="118">
        <v>1333.37</v>
      </c>
      <c r="P30" s="119"/>
      <c r="Q30" s="117"/>
      <c r="R30" s="204"/>
      <c r="S30" s="88">
        <v>5.5614700000001136</v>
      </c>
      <c r="T30" s="329"/>
      <c r="U30" s="28"/>
      <c r="V30" s="226">
        <f t="shared" si="1"/>
        <v>5.5614700000001136</v>
      </c>
      <c r="X30" s="109">
        <v>44403</v>
      </c>
      <c r="Y30" s="116">
        <v>5849.63</v>
      </c>
      <c r="Z30" s="118">
        <v>2433.14</v>
      </c>
      <c r="AA30" s="118"/>
      <c r="AB30" s="117">
        <v>62.67</v>
      </c>
      <c r="AC30" s="204"/>
      <c r="AD30" s="88"/>
      <c r="AE30" s="28"/>
      <c r="AF30" s="28"/>
      <c r="AG30" s="226">
        <f t="shared" si="2"/>
        <v>62.67</v>
      </c>
      <c r="AI30" s="109">
        <v>44403</v>
      </c>
      <c r="AJ30" s="116">
        <v>2067.37</v>
      </c>
      <c r="AK30" s="120">
        <v>705.12</v>
      </c>
      <c r="AL30" s="119"/>
      <c r="AM30" s="111"/>
      <c r="AN30" s="204"/>
      <c r="AO30" s="215"/>
      <c r="AP30" s="28"/>
      <c r="AQ30" s="28"/>
      <c r="AR30" s="226">
        <f t="shared" si="3"/>
        <v>0</v>
      </c>
      <c r="AT30" s="109">
        <v>44403</v>
      </c>
      <c r="AU30" s="116">
        <v>494.5</v>
      </c>
      <c r="AV30" s="118">
        <v>205.31</v>
      </c>
      <c r="AW30" s="119"/>
      <c r="AX30" s="116">
        <v>101.4</v>
      </c>
      <c r="AY30" s="204"/>
      <c r="AZ30" s="88">
        <v>567.505989</v>
      </c>
      <c r="BA30" s="28"/>
      <c r="BB30" s="28"/>
      <c r="BC30" s="226">
        <f t="shared" si="4"/>
        <v>668.90598899999998</v>
      </c>
      <c r="BE30" s="109">
        <v>44403</v>
      </c>
      <c r="BF30" s="114">
        <v>5257.03</v>
      </c>
      <c r="BG30" s="114">
        <v>909.97</v>
      </c>
      <c r="BH30" s="119"/>
      <c r="BI30" s="243"/>
      <c r="BJ30" s="204"/>
      <c r="BK30" s="88">
        <v>84.027795999999981</v>
      </c>
      <c r="BL30" s="329">
        <v>33.679814999999991</v>
      </c>
      <c r="BM30" s="28"/>
      <c r="BN30" s="226">
        <f t="shared" si="5"/>
        <v>117.70761099999997</v>
      </c>
      <c r="BP30" s="109">
        <v>44403</v>
      </c>
      <c r="BQ30" s="116">
        <v>554.66999999999996</v>
      </c>
      <c r="BR30" s="118">
        <v>271</v>
      </c>
      <c r="BS30" s="119"/>
      <c r="BT30" s="115"/>
      <c r="BU30" s="204"/>
      <c r="BV30" s="215"/>
      <c r="BW30" s="28"/>
      <c r="BX30" s="28"/>
      <c r="BY30" s="226">
        <f t="shared" si="6"/>
        <v>0</v>
      </c>
      <c r="CA30" s="109">
        <v>44403</v>
      </c>
      <c r="CB30" s="116">
        <v>23388.33</v>
      </c>
      <c r="CC30" s="118">
        <v>2784.04</v>
      </c>
      <c r="CD30" s="119"/>
      <c r="CE30" s="110"/>
      <c r="CF30" s="204"/>
      <c r="CG30" s="215"/>
      <c r="CH30" s="28"/>
      <c r="CI30" s="28"/>
      <c r="CJ30" s="226">
        <f t="shared" si="7"/>
        <v>0</v>
      </c>
      <c r="CL30" s="109">
        <v>44403</v>
      </c>
      <c r="CM30" s="116">
        <v>8040.41</v>
      </c>
      <c r="CN30" s="118">
        <v>1799.59</v>
      </c>
      <c r="CO30" s="119"/>
      <c r="CP30" s="115"/>
      <c r="CQ30" s="204"/>
      <c r="CR30" s="88"/>
      <c r="CS30" s="328"/>
      <c r="CT30" s="28"/>
      <c r="CU30" s="226">
        <f t="shared" si="8"/>
        <v>0</v>
      </c>
      <c r="CW30" s="109">
        <v>44403</v>
      </c>
      <c r="CX30" s="116">
        <v>9904.8700000000008</v>
      </c>
      <c r="CY30" s="120">
        <v>1348.57</v>
      </c>
      <c r="CZ30" s="119"/>
      <c r="DA30" s="117">
        <v>93.83</v>
      </c>
      <c r="DB30" s="204"/>
      <c r="DC30" s="88">
        <v>-38.071000000000069</v>
      </c>
      <c r="DD30" s="329">
        <v>21.480000000000018</v>
      </c>
      <c r="DE30" s="28"/>
      <c r="DF30" s="226">
        <f t="shared" si="9"/>
        <v>77.238999999999947</v>
      </c>
      <c r="DH30" s="109">
        <v>44403</v>
      </c>
      <c r="DI30" s="116">
        <v>2138.08</v>
      </c>
      <c r="DJ30" s="120"/>
      <c r="DK30" s="119"/>
      <c r="DL30" s="115"/>
      <c r="DM30" s="204"/>
      <c r="DN30" s="215"/>
      <c r="DO30" s="28"/>
      <c r="DP30" s="28"/>
      <c r="DQ30" s="226">
        <f t="shared" si="10"/>
        <v>0</v>
      </c>
      <c r="DS30" s="109">
        <v>44403</v>
      </c>
      <c r="DT30" s="119">
        <v>1762.15</v>
      </c>
      <c r="DU30" s="118">
        <v>628.92999999999995</v>
      </c>
      <c r="DV30" s="119"/>
      <c r="DW30" s="115"/>
      <c r="DX30" s="204"/>
      <c r="DY30" s="88">
        <v>54.752472000000012</v>
      </c>
      <c r="DZ30" s="329">
        <v>62.809770999999955</v>
      </c>
      <c r="EA30" s="335">
        <v>9.7851741600000111</v>
      </c>
      <c r="EB30" s="226">
        <f t="shared" si="11"/>
        <v>127.34741715999998</v>
      </c>
      <c r="ED30" s="109">
        <v>44403</v>
      </c>
      <c r="EE30" s="119">
        <v>7249.86</v>
      </c>
      <c r="EF30" s="120">
        <v>2349.5100000000002</v>
      </c>
      <c r="EG30" s="119"/>
      <c r="EH30" s="117">
        <v>80.87</v>
      </c>
      <c r="EI30" s="204"/>
      <c r="EJ30" s="88"/>
      <c r="EK30" s="328"/>
      <c r="EL30" s="28"/>
      <c r="EM30" s="226">
        <f t="shared" si="12"/>
        <v>80.87</v>
      </c>
      <c r="EO30" s="109">
        <v>44403</v>
      </c>
      <c r="EP30" s="116">
        <v>1112.5</v>
      </c>
      <c r="EQ30" s="118">
        <v>750.06</v>
      </c>
      <c r="ER30" s="119"/>
      <c r="ES30" s="115"/>
      <c r="ET30" s="204"/>
      <c r="EU30" s="215"/>
      <c r="EV30" s="28"/>
      <c r="EW30" s="28"/>
      <c r="EX30" s="226">
        <f t="shared" si="13"/>
        <v>0</v>
      </c>
    </row>
    <row r="31" spans="1:154" x14ac:dyDescent="0.25">
      <c r="A31" s="109">
        <v>44404</v>
      </c>
      <c r="B31" s="116">
        <v>14774.04</v>
      </c>
      <c r="C31" s="117">
        <v>3142.48</v>
      </c>
      <c r="D31" s="116">
        <v>2169.77</v>
      </c>
      <c r="E31" s="112">
        <v>66.739999999999995</v>
      </c>
      <c r="G31" s="204"/>
      <c r="H31" s="215"/>
      <c r="I31" s="28"/>
      <c r="J31" s="28"/>
      <c r="K31" s="226">
        <f t="shared" si="0"/>
        <v>0</v>
      </c>
      <c r="M31" s="109">
        <v>44404</v>
      </c>
      <c r="N31" s="116">
        <v>5509.21</v>
      </c>
      <c r="O31" s="118">
        <v>1700.03</v>
      </c>
      <c r="P31" s="119"/>
      <c r="Q31" s="117"/>
      <c r="R31" s="204"/>
      <c r="S31" s="88">
        <v>-0.15251000000000658</v>
      </c>
      <c r="T31" s="329"/>
      <c r="U31" s="28"/>
      <c r="V31" s="226">
        <f t="shared" si="1"/>
        <v>-0.15251000000000658</v>
      </c>
      <c r="X31" s="109">
        <v>44404</v>
      </c>
      <c r="Y31" s="116">
        <v>4668.67</v>
      </c>
      <c r="Z31" s="118">
        <v>1596.88</v>
      </c>
      <c r="AA31" s="118"/>
      <c r="AB31" s="117">
        <v>42.75</v>
      </c>
      <c r="AC31" s="204"/>
      <c r="AD31" s="88">
        <v>1.0235819999999975</v>
      </c>
      <c r="AE31" s="28"/>
      <c r="AF31" s="28"/>
      <c r="AG31" s="226">
        <f t="shared" si="2"/>
        <v>43.773581999999998</v>
      </c>
      <c r="AI31" s="109">
        <v>44404</v>
      </c>
      <c r="AJ31" s="116">
        <v>2537.19</v>
      </c>
      <c r="AK31" s="120">
        <v>357.96</v>
      </c>
      <c r="AL31" s="119"/>
      <c r="AM31" s="111"/>
      <c r="AN31" s="204"/>
      <c r="AO31" s="215"/>
      <c r="AP31" s="28"/>
      <c r="AQ31" s="28"/>
      <c r="AR31" s="226">
        <f t="shared" si="3"/>
        <v>0</v>
      </c>
      <c r="AT31" s="109">
        <v>44404</v>
      </c>
      <c r="AU31" s="116">
        <v>204.33</v>
      </c>
      <c r="AV31" s="118">
        <v>0</v>
      </c>
      <c r="AW31" s="119"/>
      <c r="AX31" s="116"/>
      <c r="AY31" s="204"/>
      <c r="AZ31" s="88">
        <v>159.53176799999989</v>
      </c>
      <c r="BA31" s="28"/>
      <c r="BB31" s="28"/>
      <c r="BC31" s="226">
        <f t="shared" si="4"/>
        <v>159.53176799999989</v>
      </c>
      <c r="BE31" s="109">
        <v>44404</v>
      </c>
      <c r="BF31" s="114">
        <v>3654.54</v>
      </c>
      <c r="BG31" s="114">
        <v>556.38</v>
      </c>
      <c r="BH31" s="119"/>
      <c r="BI31" s="243"/>
      <c r="BJ31" s="204"/>
      <c r="BK31" s="88">
        <v>148.43469399999998</v>
      </c>
      <c r="BL31" s="329"/>
      <c r="BM31" s="28"/>
      <c r="BN31" s="226">
        <f t="shared" si="5"/>
        <v>148.43469399999998</v>
      </c>
      <c r="BP31" s="109">
        <v>44404</v>
      </c>
      <c r="BQ31" s="116">
        <v>400</v>
      </c>
      <c r="BR31" s="118">
        <v>516.25</v>
      </c>
      <c r="BS31" s="119"/>
      <c r="BT31" s="115"/>
      <c r="BU31" s="204"/>
      <c r="BV31" s="215"/>
      <c r="BW31" s="28"/>
      <c r="BX31" s="28"/>
      <c r="BY31" s="226">
        <f t="shared" si="6"/>
        <v>0</v>
      </c>
      <c r="CA31" s="109">
        <v>44404</v>
      </c>
      <c r="CB31" s="116">
        <v>16877.3</v>
      </c>
      <c r="CC31" s="118">
        <v>2307.02</v>
      </c>
      <c r="CD31" s="119"/>
      <c r="CE31" s="110"/>
      <c r="CF31" s="204"/>
      <c r="CG31" s="215"/>
      <c r="CH31" s="28"/>
      <c r="CI31" s="28"/>
      <c r="CJ31" s="226">
        <f t="shared" si="7"/>
        <v>0</v>
      </c>
      <c r="CL31" s="109">
        <v>44404</v>
      </c>
      <c r="CM31" s="116">
        <v>5574.78</v>
      </c>
      <c r="CN31" s="118">
        <v>943.85</v>
      </c>
      <c r="CO31" s="119"/>
      <c r="CP31" s="115"/>
      <c r="CQ31" s="204"/>
      <c r="CR31" s="88"/>
      <c r="CS31" s="328"/>
      <c r="CT31" s="28"/>
      <c r="CU31" s="226">
        <f t="shared" si="8"/>
        <v>0</v>
      </c>
      <c r="CW31" s="109">
        <v>44404</v>
      </c>
      <c r="CX31" s="116">
        <v>7769.82</v>
      </c>
      <c r="CY31" s="120">
        <v>0</v>
      </c>
      <c r="CZ31" s="119"/>
      <c r="DA31" s="117"/>
      <c r="DB31" s="204"/>
      <c r="DC31" s="88"/>
      <c r="DD31" s="329">
        <v>5.9020400000000564</v>
      </c>
      <c r="DE31" s="28"/>
      <c r="DF31" s="226">
        <f t="shared" si="9"/>
        <v>5.9020400000000564</v>
      </c>
      <c r="DH31" s="109">
        <v>44404</v>
      </c>
      <c r="DI31" s="116">
        <v>1322.86</v>
      </c>
      <c r="DJ31" s="120"/>
      <c r="DK31" s="119"/>
      <c r="DL31" s="115"/>
      <c r="DM31" s="204"/>
      <c r="DN31" s="215"/>
      <c r="DO31" s="28"/>
      <c r="DP31" s="28"/>
      <c r="DQ31" s="226">
        <f t="shared" si="10"/>
        <v>0</v>
      </c>
      <c r="DS31" s="109">
        <v>44404</v>
      </c>
      <c r="DT31" s="119">
        <v>1830.09</v>
      </c>
      <c r="DU31" s="118">
        <v>544.23</v>
      </c>
      <c r="DV31" s="119"/>
      <c r="DW31" s="115"/>
      <c r="DX31" s="204"/>
      <c r="DY31" s="88">
        <v>3.965832000000006</v>
      </c>
      <c r="DZ31" s="329">
        <v>22.790380000000027</v>
      </c>
      <c r="EA31" s="335"/>
      <c r="EB31" s="226">
        <f t="shared" si="11"/>
        <v>26.756212000000033</v>
      </c>
      <c r="ED31" s="109">
        <v>44404</v>
      </c>
      <c r="EE31" s="119">
        <v>4510.1499999999996</v>
      </c>
      <c r="EF31" s="120">
        <v>1440.78</v>
      </c>
      <c r="EG31" s="119"/>
      <c r="EH31" s="117">
        <v>42.52</v>
      </c>
      <c r="EI31" s="204"/>
      <c r="EJ31" s="88"/>
      <c r="EK31" s="328"/>
      <c r="EL31" s="28"/>
      <c r="EM31" s="226">
        <f t="shared" si="12"/>
        <v>42.52</v>
      </c>
      <c r="EO31" s="109">
        <v>44404</v>
      </c>
      <c r="EP31" s="116">
        <v>828.92</v>
      </c>
      <c r="EQ31" s="118">
        <v>728.43</v>
      </c>
      <c r="ER31" s="119"/>
      <c r="ES31" s="115"/>
      <c r="ET31" s="204"/>
      <c r="EU31" s="215"/>
      <c r="EV31" s="28"/>
      <c r="EW31" s="28"/>
      <c r="EX31" s="226">
        <f t="shared" si="13"/>
        <v>0</v>
      </c>
    </row>
    <row r="32" spans="1:154" x14ac:dyDescent="0.25">
      <c r="A32" s="109">
        <v>44405</v>
      </c>
      <c r="B32" s="116">
        <v>13849.07</v>
      </c>
      <c r="C32" s="117">
        <v>2146.4</v>
      </c>
      <c r="D32" s="116">
        <v>1475.93</v>
      </c>
      <c r="E32" s="112">
        <v>57.61</v>
      </c>
      <c r="G32" s="204"/>
      <c r="H32" s="215"/>
      <c r="I32" s="28"/>
      <c r="J32" s="28"/>
      <c r="K32" s="226">
        <f t="shared" si="0"/>
        <v>0</v>
      </c>
      <c r="M32" s="109">
        <v>44405</v>
      </c>
      <c r="N32" s="116">
        <v>4605.6000000000004</v>
      </c>
      <c r="O32" s="118">
        <v>1302.96</v>
      </c>
      <c r="P32" s="119"/>
      <c r="Q32" s="117"/>
      <c r="R32" s="204"/>
      <c r="S32" s="88">
        <v>-0.18013999999999442</v>
      </c>
      <c r="T32" s="329">
        <v>10.470000000000027</v>
      </c>
      <c r="U32" s="28"/>
      <c r="V32" s="226">
        <f t="shared" si="1"/>
        <v>10.289860000000033</v>
      </c>
      <c r="X32" s="109">
        <v>44405</v>
      </c>
      <c r="Y32" s="116">
        <v>3710.83</v>
      </c>
      <c r="Z32" s="118">
        <v>1473.11</v>
      </c>
      <c r="AA32" s="118"/>
      <c r="AB32" s="117">
        <v>55.95</v>
      </c>
      <c r="AC32" s="204"/>
      <c r="AD32" s="88"/>
      <c r="AE32" s="28"/>
      <c r="AF32" s="28"/>
      <c r="AG32" s="226">
        <f t="shared" si="2"/>
        <v>55.95</v>
      </c>
      <c r="AI32" s="109">
        <v>44405</v>
      </c>
      <c r="AJ32" s="116">
        <v>3746.34</v>
      </c>
      <c r="AK32" s="120">
        <v>516.24</v>
      </c>
      <c r="AL32" s="119"/>
      <c r="AM32" s="111"/>
      <c r="AN32" s="204"/>
      <c r="AO32" s="215"/>
      <c r="AP32" s="28"/>
      <c r="AQ32" s="28"/>
      <c r="AR32" s="226">
        <f t="shared" si="3"/>
        <v>0</v>
      </c>
      <c r="AT32" s="109">
        <v>44405</v>
      </c>
      <c r="AU32" s="116">
        <v>580.33000000000004</v>
      </c>
      <c r="AV32" s="118">
        <v>101.82</v>
      </c>
      <c r="AW32" s="119"/>
      <c r="AX32" s="116">
        <v>270.39999999999998</v>
      </c>
      <c r="AY32" s="204"/>
      <c r="AZ32" s="88">
        <v>220.97067300000026</v>
      </c>
      <c r="BA32" s="28"/>
      <c r="BB32" s="28"/>
      <c r="BC32" s="226">
        <f t="shared" si="4"/>
        <v>491.37067300000024</v>
      </c>
      <c r="BE32" s="109">
        <v>44405</v>
      </c>
      <c r="BF32" s="114">
        <v>3785.7</v>
      </c>
      <c r="BG32" s="114">
        <v>935.35</v>
      </c>
      <c r="BH32" s="119"/>
      <c r="BI32" s="243"/>
      <c r="BJ32" s="204"/>
      <c r="BK32" s="88">
        <v>92.327767999999978</v>
      </c>
      <c r="BL32" s="329"/>
      <c r="BM32" s="28"/>
      <c r="BN32" s="226">
        <f t="shared" si="5"/>
        <v>92.327767999999978</v>
      </c>
      <c r="BP32" s="109">
        <v>44405</v>
      </c>
      <c r="BQ32" s="116">
        <v>305</v>
      </c>
      <c r="BR32" s="118">
        <v>549.45000000000005</v>
      </c>
      <c r="BS32" s="119"/>
      <c r="BT32" s="115"/>
      <c r="BU32" s="204"/>
      <c r="BV32" s="215"/>
      <c r="BW32" s="28"/>
      <c r="BX32" s="28"/>
      <c r="BY32" s="226">
        <f t="shared" si="6"/>
        <v>0</v>
      </c>
      <c r="CA32" s="109">
        <v>44405</v>
      </c>
      <c r="CB32" s="116">
        <v>13751.8</v>
      </c>
      <c r="CC32" s="118">
        <v>1414.79</v>
      </c>
      <c r="CD32" s="119"/>
      <c r="CE32" s="110"/>
      <c r="CF32" s="204"/>
      <c r="CG32" s="215"/>
      <c r="CH32" s="28"/>
      <c r="CI32" s="28"/>
      <c r="CJ32" s="226">
        <f t="shared" si="7"/>
        <v>0</v>
      </c>
      <c r="CL32" s="109">
        <v>44405</v>
      </c>
      <c r="CM32" s="116">
        <v>4715.0200000000004</v>
      </c>
      <c r="CN32" s="118">
        <v>955.29</v>
      </c>
      <c r="CO32" s="119"/>
      <c r="CP32" s="115"/>
      <c r="CQ32" s="204"/>
      <c r="CR32" s="88"/>
      <c r="CS32" s="328"/>
      <c r="CT32" s="28"/>
      <c r="CU32" s="226">
        <f t="shared" si="8"/>
        <v>0</v>
      </c>
      <c r="CW32" s="109">
        <v>44405</v>
      </c>
      <c r="CX32" s="116">
        <v>3560.09</v>
      </c>
      <c r="CY32" s="120">
        <v>0</v>
      </c>
      <c r="CZ32" s="119"/>
      <c r="DA32" s="117">
        <v>17.96</v>
      </c>
      <c r="DB32" s="204"/>
      <c r="DC32" s="88">
        <v>-3.7847800000000689</v>
      </c>
      <c r="DD32" s="329"/>
      <c r="DE32" s="28"/>
      <c r="DF32" s="226">
        <f t="shared" si="9"/>
        <v>14.175219999999932</v>
      </c>
      <c r="DH32" s="109">
        <v>44405</v>
      </c>
      <c r="DI32" s="116">
        <v>2801.61</v>
      </c>
      <c r="DJ32" s="120"/>
      <c r="DK32" s="119"/>
      <c r="DL32" s="115"/>
      <c r="DM32" s="204"/>
      <c r="DN32" s="215"/>
      <c r="DO32" s="28"/>
      <c r="DP32" s="28"/>
      <c r="DQ32" s="226">
        <f t="shared" si="10"/>
        <v>0</v>
      </c>
      <c r="DS32" s="109">
        <v>44405</v>
      </c>
      <c r="DT32" s="119">
        <v>2192.41</v>
      </c>
      <c r="DU32" s="118">
        <v>676.97</v>
      </c>
      <c r="DV32" s="119"/>
      <c r="DW32" s="115"/>
      <c r="DX32" s="204"/>
      <c r="DY32" s="88">
        <v>23.100408000000016</v>
      </c>
      <c r="DZ32" s="329">
        <v>55.780487999999991</v>
      </c>
      <c r="EA32" s="335">
        <v>10.463331360000012</v>
      </c>
      <c r="EB32" s="226">
        <f t="shared" si="11"/>
        <v>89.344227360000019</v>
      </c>
      <c r="ED32" s="109">
        <v>44405</v>
      </c>
      <c r="EE32" s="119">
        <v>4103.0200000000004</v>
      </c>
      <c r="EF32" s="120">
        <v>866.41</v>
      </c>
      <c r="EG32" s="119"/>
      <c r="EH32" s="117">
        <v>36.869999999999997</v>
      </c>
      <c r="EI32" s="204"/>
      <c r="EJ32" s="88"/>
      <c r="EK32" s="328"/>
      <c r="EL32" s="28"/>
      <c r="EM32" s="226">
        <f t="shared" si="12"/>
        <v>36.869999999999997</v>
      </c>
      <c r="EO32" s="109">
        <v>44405</v>
      </c>
      <c r="EP32" s="116">
        <v>600.85</v>
      </c>
      <c r="EQ32" s="118">
        <v>707.89</v>
      </c>
      <c r="ER32" s="119"/>
      <c r="ES32" s="115"/>
      <c r="ET32" s="204"/>
      <c r="EU32" s="215"/>
      <c r="EV32" s="28"/>
      <c r="EW32" s="28"/>
      <c r="EX32" s="226">
        <f t="shared" si="13"/>
        <v>0</v>
      </c>
    </row>
    <row r="33" spans="1:154" x14ac:dyDescent="0.25">
      <c r="A33" s="109">
        <v>44406</v>
      </c>
      <c r="B33" s="116">
        <v>13541.98</v>
      </c>
      <c r="C33" s="117">
        <v>1524.69</v>
      </c>
      <c r="D33" s="116">
        <v>2280.33</v>
      </c>
      <c r="E33" s="112">
        <v>38.67</v>
      </c>
      <c r="G33" s="204"/>
      <c r="H33" s="215"/>
      <c r="I33" s="28"/>
      <c r="J33" s="28"/>
      <c r="K33" s="226">
        <f t="shared" si="0"/>
        <v>0</v>
      </c>
      <c r="M33" s="109">
        <v>44406</v>
      </c>
      <c r="N33" s="116">
        <v>2728</v>
      </c>
      <c r="O33" s="118">
        <v>1842.98</v>
      </c>
      <c r="P33" s="119"/>
      <c r="Q33" s="117"/>
      <c r="R33" s="204"/>
      <c r="S33" s="88">
        <v>11.022930000000031</v>
      </c>
      <c r="T33" s="329"/>
      <c r="U33" s="28"/>
      <c r="V33" s="226">
        <f t="shared" si="1"/>
        <v>11.022930000000031</v>
      </c>
      <c r="X33" s="109">
        <v>44406</v>
      </c>
      <c r="Y33" s="116">
        <v>4970.58</v>
      </c>
      <c r="Z33" s="118">
        <v>1735.96</v>
      </c>
      <c r="AA33" s="118"/>
      <c r="AB33" s="117">
        <v>227.13</v>
      </c>
      <c r="AC33" s="204"/>
      <c r="AD33" s="88">
        <v>29.543331999999992</v>
      </c>
      <c r="AE33" s="28"/>
      <c r="AF33" s="28"/>
      <c r="AG33" s="226">
        <f t="shared" si="2"/>
        <v>256.67333199999996</v>
      </c>
      <c r="AI33" s="109">
        <v>44406</v>
      </c>
      <c r="AJ33" s="116">
        <v>2839.03</v>
      </c>
      <c r="AK33" s="120">
        <v>538.39</v>
      </c>
      <c r="AL33" s="119"/>
      <c r="AM33" s="111"/>
      <c r="AN33" s="204"/>
      <c r="AO33" s="215"/>
      <c r="AP33" s="28"/>
      <c r="AQ33" s="28"/>
      <c r="AR33" s="226">
        <f t="shared" si="3"/>
        <v>0</v>
      </c>
      <c r="AT33" s="109">
        <v>44406</v>
      </c>
      <c r="AU33" s="116">
        <v>587.07000000000005</v>
      </c>
      <c r="AV33" s="118">
        <v>205.92</v>
      </c>
      <c r="AW33" s="119"/>
      <c r="AX33" s="116"/>
      <c r="AY33" s="204"/>
      <c r="AZ33" s="88">
        <v>49.5</v>
      </c>
      <c r="BA33" s="28"/>
      <c r="BB33" s="28"/>
      <c r="BC33" s="226">
        <f t="shared" si="4"/>
        <v>49.5</v>
      </c>
      <c r="BE33" s="109">
        <v>44406</v>
      </c>
      <c r="BF33" s="114">
        <v>3136.51</v>
      </c>
      <c r="BG33" s="114">
        <v>379.33</v>
      </c>
      <c r="BH33" s="119"/>
      <c r="BI33" s="243"/>
      <c r="BJ33" s="204"/>
      <c r="BK33" s="88">
        <v>174.5113879999999</v>
      </c>
      <c r="BL33" s="329"/>
      <c r="BM33" s="28"/>
      <c r="BN33" s="226">
        <f t="shared" si="5"/>
        <v>174.5113879999999</v>
      </c>
      <c r="BP33" s="109">
        <v>44406</v>
      </c>
      <c r="BQ33" s="116">
        <v>305.82</v>
      </c>
      <c r="BR33" s="118">
        <v>323.56</v>
      </c>
      <c r="BS33" s="119"/>
      <c r="BT33" s="115"/>
      <c r="BU33" s="204"/>
      <c r="BV33" s="215"/>
      <c r="BW33" s="28"/>
      <c r="BX33" s="28"/>
      <c r="BY33" s="226">
        <f t="shared" si="6"/>
        <v>0</v>
      </c>
      <c r="CA33" s="109">
        <v>44406</v>
      </c>
      <c r="CB33" s="116">
        <v>8580.75</v>
      </c>
      <c r="CC33" s="118">
        <v>1267.3900000000001</v>
      </c>
      <c r="CD33" s="119"/>
      <c r="CE33" s="110"/>
      <c r="CF33" s="204"/>
      <c r="CG33" s="215"/>
      <c r="CH33" s="28"/>
      <c r="CI33" s="28"/>
      <c r="CJ33" s="226">
        <f t="shared" si="7"/>
        <v>0</v>
      </c>
      <c r="CL33" s="109">
        <v>44406</v>
      </c>
      <c r="CM33" s="116">
        <v>3632.83</v>
      </c>
      <c r="CN33" s="118">
        <v>886.94</v>
      </c>
      <c r="CO33" s="119"/>
      <c r="CP33" s="115"/>
      <c r="CQ33" s="204"/>
      <c r="CR33" s="88">
        <v>63.62460999999999</v>
      </c>
      <c r="CS33" s="328"/>
      <c r="CT33" s="28"/>
      <c r="CU33" s="226">
        <f t="shared" si="8"/>
        <v>63.62460999999999</v>
      </c>
      <c r="CW33" s="109">
        <v>44406</v>
      </c>
      <c r="CX33" s="116">
        <v>5129.13</v>
      </c>
      <c r="CY33" s="120">
        <v>0</v>
      </c>
      <c r="CZ33" s="119"/>
      <c r="DA33" s="117">
        <v>35</v>
      </c>
      <c r="DB33" s="204"/>
      <c r="DC33" s="88">
        <v>0.19577000000001021</v>
      </c>
      <c r="DD33" s="329">
        <v>62.132720000000177</v>
      </c>
      <c r="DE33" s="28"/>
      <c r="DF33" s="226">
        <f t="shared" si="9"/>
        <v>97.328490000000187</v>
      </c>
      <c r="DH33" s="109">
        <v>44406</v>
      </c>
      <c r="DI33" s="116">
        <v>1918.74</v>
      </c>
      <c r="DJ33" s="120"/>
      <c r="DK33" s="119"/>
      <c r="DL33" s="115"/>
      <c r="DM33" s="204"/>
      <c r="DN33" s="215"/>
      <c r="DO33" s="28"/>
      <c r="DP33" s="28"/>
      <c r="DQ33" s="226">
        <f t="shared" si="10"/>
        <v>0</v>
      </c>
      <c r="DS33" s="109">
        <v>44406</v>
      </c>
      <c r="DT33" s="119">
        <v>1111.83</v>
      </c>
      <c r="DU33" s="118">
        <v>991.26</v>
      </c>
      <c r="DV33" s="119"/>
      <c r="DW33" s="115"/>
      <c r="DX33" s="204"/>
      <c r="DY33" s="88">
        <v>31.976064000000051</v>
      </c>
      <c r="DZ33" s="329">
        <v>47.480184000000008</v>
      </c>
      <c r="EA33" s="335"/>
      <c r="EB33" s="226">
        <f t="shared" si="11"/>
        <v>79.456248000000059</v>
      </c>
      <c r="ED33" s="109">
        <v>44406</v>
      </c>
      <c r="EE33" s="119">
        <v>5222.62</v>
      </c>
      <c r="EF33" s="120">
        <v>1149.8699999999999</v>
      </c>
      <c r="EG33" s="119"/>
      <c r="EH33" s="117">
        <v>25.75</v>
      </c>
      <c r="EI33" s="204"/>
      <c r="EJ33" s="88"/>
      <c r="EK33" s="328"/>
      <c r="EL33" s="28"/>
      <c r="EM33" s="226">
        <f t="shared" si="12"/>
        <v>25.75</v>
      </c>
      <c r="EO33" s="109">
        <v>44406</v>
      </c>
      <c r="EP33" s="116">
        <v>477.7</v>
      </c>
      <c r="EQ33" s="118">
        <v>888.22</v>
      </c>
      <c r="ER33" s="119"/>
      <c r="ES33" s="115"/>
      <c r="ET33" s="204"/>
      <c r="EU33" s="215"/>
      <c r="EV33" s="28"/>
      <c r="EW33" s="28"/>
      <c r="EX33" s="226">
        <f t="shared" si="13"/>
        <v>0</v>
      </c>
    </row>
    <row r="34" spans="1:154" x14ac:dyDescent="0.25">
      <c r="A34" s="109">
        <v>44407</v>
      </c>
      <c r="B34" s="116">
        <v>16755.87</v>
      </c>
      <c r="C34" s="117">
        <v>2884.44</v>
      </c>
      <c r="D34" s="116">
        <v>3463.8</v>
      </c>
      <c r="E34" s="112">
        <v>201.72</v>
      </c>
      <c r="G34" s="204"/>
      <c r="H34" s="215"/>
      <c r="I34" s="28"/>
      <c r="J34" s="28"/>
      <c r="K34" s="226">
        <f t="shared" si="0"/>
        <v>0</v>
      </c>
      <c r="M34" s="109">
        <v>44407</v>
      </c>
      <c r="N34" s="116">
        <v>6993.58</v>
      </c>
      <c r="O34" s="118">
        <v>1066.49</v>
      </c>
      <c r="P34" s="119"/>
      <c r="Q34" s="117"/>
      <c r="R34" s="204"/>
      <c r="S34" s="88">
        <v>53.773300000000035</v>
      </c>
      <c r="T34" s="329"/>
      <c r="U34" s="28"/>
      <c r="V34" s="226">
        <f t="shared" si="1"/>
        <v>53.773300000000035</v>
      </c>
      <c r="X34" s="109">
        <v>44407</v>
      </c>
      <c r="Y34" s="116">
        <v>5443.38</v>
      </c>
      <c r="Z34" s="118">
        <v>1135.46</v>
      </c>
      <c r="AA34" s="118"/>
      <c r="AB34" s="117">
        <v>132.19</v>
      </c>
      <c r="AC34" s="204"/>
      <c r="AD34" s="88">
        <v>109.19999999999999</v>
      </c>
      <c r="AE34" s="28"/>
      <c r="AF34" s="28"/>
      <c r="AG34" s="226">
        <f t="shared" si="2"/>
        <v>241.39</v>
      </c>
      <c r="AI34" s="109">
        <v>44407</v>
      </c>
      <c r="AJ34" s="116">
        <v>2396.9</v>
      </c>
      <c r="AK34" s="120">
        <v>284.43</v>
      </c>
      <c r="AL34" s="119"/>
      <c r="AM34" s="115"/>
      <c r="AN34" s="204"/>
      <c r="AO34" s="215"/>
      <c r="AP34" s="28"/>
      <c r="AQ34" s="28"/>
      <c r="AR34" s="226">
        <f t="shared" si="3"/>
        <v>0</v>
      </c>
      <c r="AT34" s="109">
        <v>44407</v>
      </c>
      <c r="AU34" s="116">
        <v>911.7</v>
      </c>
      <c r="AV34" s="118">
        <v>111.07</v>
      </c>
      <c r="AW34" s="119"/>
      <c r="AX34" s="116">
        <v>6.5</v>
      </c>
      <c r="AY34" s="204"/>
      <c r="AZ34" s="88">
        <v>365.63131700000008</v>
      </c>
      <c r="BA34" s="28"/>
      <c r="BB34" s="28"/>
      <c r="BC34" s="226">
        <f t="shared" si="4"/>
        <v>372.13131700000008</v>
      </c>
      <c r="BE34" s="109">
        <v>44407</v>
      </c>
      <c r="BF34" s="114">
        <v>4069.18</v>
      </c>
      <c r="BG34" s="114">
        <v>694.24</v>
      </c>
      <c r="BH34" s="119"/>
      <c r="BI34" s="243"/>
      <c r="BJ34" s="204"/>
      <c r="BK34" s="88">
        <v>258.82476000000008</v>
      </c>
      <c r="BL34" s="329"/>
      <c r="BM34" s="28"/>
      <c r="BN34" s="226">
        <f t="shared" si="5"/>
        <v>258.82476000000008</v>
      </c>
      <c r="BP34" s="109">
        <v>44407</v>
      </c>
      <c r="BQ34" s="116">
        <v>550.02</v>
      </c>
      <c r="BR34" s="118">
        <v>419.99</v>
      </c>
      <c r="BS34" s="119"/>
      <c r="BT34" s="115"/>
      <c r="BU34" s="204"/>
      <c r="BV34" s="215"/>
      <c r="BW34" s="28"/>
      <c r="BX34" s="28"/>
      <c r="BY34" s="226">
        <f t="shared" si="6"/>
        <v>0</v>
      </c>
      <c r="CA34" s="109">
        <v>44407</v>
      </c>
      <c r="CB34" s="116">
        <v>15535.82</v>
      </c>
      <c r="CC34" s="118">
        <v>2044.48</v>
      </c>
      <c r="CD34" s="119"/>
      <c r="CE34" s="115"/>
      <c r="CF34" s="204"/>
      <c r="CG34" s="215"/>
      <c r="CH34" s="28"/>
      <c r="CI34" s="28"/>
      <c r="CJ34" s="226">
        <f t="shared" si="7"/>
        <v>0</v>
      </c>
      <c r="CL34" s="109">
        <v>44407</v>
      </c>
      <c r="CM34" s="116">
        <v>8930.06</v>
      </c>
      <c r="CN34" s="118">
        <v>2124.37</v>
      </c>
      <c r="CO34" s="119"/>
      <c r="CP34" s="115"/>
      <c r="CQ34" s="204"/>
      <c r="CR34" s="88">
        <v>272.14956999999993</v>
      </c>
      <c r="CS34" s="328">
        <v>5.0234800000000011</v>
      </c>
      <c r="CT34" s="28"/>
      <c r="CU34" s="226">
        <f t="shared" si="8"/>
        <v>277.17304999999993</v>
      </c>
      <c r="CW34" s="109">
        <v>44407</v>
      </c>
      <c r="CX34" s="116">
        <v>8472.02</v>
      </c>
      <c r="CY34" s="120">
        <v>0</v>
      </c>
      <c r="CZ34" s="119"/>
      <c r="DA34" s="117">
        <v>15.78</v>
      </c>
      <c r="DB34" s="204"/>
      <c r="DC34" s="88">
        <v>11.908250000000017</v>
      </c>
      <c r="DD34" s="329"/>
      <c r="DE34" s="28"/>
      <c r="DF34" s="226">
        <f t="shared" si="9"/>
        <v>27.688250000000018</v>
      </c>
      <c r="DH34" s="109">
        <v>44407</v>
      </c>
      <c r="DI34" s="116">
        <v>1208.28</v>
      </c>
      <c r="DJ34" s="120"/>
      <c r="DK34" s="119"/>
      <c r="DL34" s="115"/>
      <c r="DM34" s="204"/>
      <c r="DN34" s="215"/>
      <c r="DO34" s="28"/>
      <c r="DP34" s="28"/>
      <c r="DQ34" s="226">
        <f t="shared" si="10"/>
        <v>0</v>
      </c>
      <c r="DS34" s="109">
        <v>44407</v>
      </c>
      <c r="DT34" s="119">
        <v>3750.25</v>
      </c>
      <c r="DU34" s="118">
        <v>447.86</v>
      </c>
      <c r="DV34" s="119"/>
      <c r="DW34" s="115"/>
      <c r="DX34" s="204"/>
      <c r="DY34" s="88">
        <v>163.64785000000006</v>
      </c>
      <c r="DZ34" s="329">
        <v>6.4600480000000147</v>
      </c>
      <c r="EA34" s="335"/>
      <c r="EB34" s="226">
        <f t="shared" si="11"/>
        <v>170.10789800000009</v>
      </c>
      <c r="ED34" s="109">
        <v>44407</v>
      </c>
      <c r="EE34" s="119">
        <v>7715.67</v>
      </c>
      <c r="EF34" s="120">
        <v>1886.52</v>
      </c>
      <c r="EG34" s="119"/>
      <c r="EH34" s="117">
        <v>94.93</v>
      </c>
      <c r="EI34" s="204"/>
      <c r="EJ34" s="88"/>
      <c r="EK34" s="328"/>
      <c r="EL34" s="28"/>
      <c r="EM34" s="226">
        <f t="shared" si="12"/>
        <v>94.93</v>
      </c>
      <c r="EO34" s="109">
        <v>44407</v>
      </c>
      <c r="EP34" s="116">
        <v>1484.24</v>
      </c>
      <c r="EQ34" s="118">
        <v>554.59</v>
      </c>
      <c r="ER34" s="119"/>
      <c r="ES34" s="115"/>
      <c r="ET34" s="204"/>
      <c r="EU34" s="215"/>
      <c r="EV34" s="28"/>
      <c r="EW34" s="28"/>
      <c r="EX34" s="226">
        <f t="shared" si="13"/>
        <v>0</v>
      </c>
    </row>
    <row r="35" spans="1:154" ht="15.75" thickBot="1" x14ac:dyDescent="0.3">
      <c r="A35" s="121">
        <v>44408</v>
      </c>
      <c r="B35" s="118">
        <v>20180.16</v>
      </c>
      <c r="C35" s="118">
        <v>3382.35</v>
      </c>
      <c r="D35" s="118">
        <v>2337.1999999999998</v>
      </c>
      <c r="E35" s="122">
        <v>162.38</v>
      </c>
      <c r="G35" s="204"/>
      <c r="H35" s="216"/>
      <c r="I35" s="45"/>
      <c r="J35" s="45"/>
      <c r="K35" s="227">
        <f t="shared" si="0"/>
        <v>0</v>
      </c>
      <c r="M35" s="121">
        <v>44408</v>
      </c>
      <c r="N35" s="118">
        <v>3033.34</v>
      </c>
      <c r="O35" s="118">
        <v>1167.4000000000001</v>
      </c>
      <c r="P35" s="120"/>
      <c r="Q35" s="118"/>
      <c r="R35" s="204"/>
      <c r="S35" s="88">
        <v>25.634590000000117</v>
      </c>
      <c r="T35" s="329">
        <v>4.6871800000000121</v>
      </c>
      <c r="U35" s="45"/>
      <c r="V35" s="227">
        <f t="shared" si="1"/>
        <v>30.321770000000129</v>
      </c>
      <c r="X35" s="121">
        <v>44408</v>
      </c>
      <c r="Y35" s="118">
        <v>6335.61</v>
      </c>
      <c r="Z35" s="118">
        <v>1355.5</v>
      </c>
      <c r="AA35" s="118"/>
      <c r="AB35" s="118">
        <v>210.21</v>
      </c>
      <c r="AC35" s="204"/>
      <c r="AD35" s="88">
        <v>10.159337999999991</v>
      </c>
      <c r="AE35" s="45"/>
      <c r="AF35" s="45"/>
      <c r="AG35" s="227">
        <f t="shared" si="2"/>
        <v>220.369338</v>
      </c>
      <c r="AI35" s="121">
        <v>44408</v>
      </c>
      <c r="AJ35" s="118">
        <v>2348.73</v>
      </c>
      <c r="AK35" s="120">
        <v>696.86</v>
      </c>
      <c r="AL35" s="120"/>
      <c r="AM35" s="123"/>
      <c r="AN35" s="204"/>
      <c r="AO35" s="216"/>
      <c r="AP35" s="45"/>
      <c r="AQ35" s="45"/>
      <c r="AR35" s="227">
        <f t="shared" si="3"/>
        <v>0</v>
      </c>
      <c r="AT35" s="121">
        <v>44408</v>
      </c>
      <c r="AU35" s="118">
        <v>533</v>
      </c>
      <c r="AV35" s="118">
        <v>129.08000000000001</v>
      </c>
      <c r="AW35" s="120"/>
      <c r="AX35" s="241"/>
      <c r="AY35" s="204"/>
      <c r="AZ35" s="88">
        <v>321.19953199999981</v>
      </c>
      <c r="BA35" s="45"/>
      <c r="BB35" s="45"/>
      <c r="BC35" s="227">
        <f t="shared" si="4"/>
        <v>321.19953199999981</v>
      </c>
      <c r="BE35" s="121">
        <v>44408</v>
      </c>
      <c r="BF35" s="124">
        <v>4083.01</v>
      </c>
      <c r="BG35" s="124">
        <v>769.24</v>
      </c>
      <c r="BH35" s="120"/>
      <c r="BI35" s="244"/>
      <c r="BJ35" s="204"/>
      <c r="BK35" s="88">
        <v>200.05113999999995</v>
      </c>
      <c r="BL35" s="329"/>
      <c r="BM35" s="45"/>
      <c r="BN35" s="227">
        <f t="shared" si="5"/>
        <v>200.05113999999995</v>
      </c>
      <c r="BP35" s="121">
        <v>44408</v>
      </c>
      <c r="BQ35" s="118">
        <v>516.16999999999996</v>
      </c>
      <c r="BR35" s="118">
        <v>718.3</v>
      </c>
      <c r="BS35" s="120"/>
      <c r="BT35" s="123"/>
      <c r="BU35" s="204"/>
      <c r="BV35" s="216"/>
      <c r="BW35" s="45"/>
      <c r="BX35" s="45"/>
      <c r="BY35" s="227">
        <f t="shared" si="6"/>
        <v>0</v>
      </c>
      <c r="CA35" s="121">
        <v>44408</v>
      </c>
      <c r="CB35" s="118">
        <v>18941.61</v>
      </c>
      <c r="CC35" s="118">
        <v>1512.59</v>
      </c>
      <c r="CD35" s="120"/>
      <c r="CE35" s="123"/>
      <c r="CF35" s="204"/>
      <c r="CG35" s="216"/>
      <c r="CH35" s="45"/>
      <c r="CI35" s="45"/>
      <c r="CJ35" s="227">
        <f t="shared" si="7"/>
        <v>0</v>
      </c>
      <c r="CL35" s="121">
        <v>44408</v>
      </c>
      <c r="CM35" s="118">
        <v>9301.2000000000007</v>
      </c>
      <c r="CN35" s="118">
        <v>1945.78</v>
      </c>
      <c r="CO35" s="120"/>
      <c r="CP35" s="123"/>
      <c r="CQ35" s="204"/>
      <c r="CR35" s="88">
        <v>66.194940000000003</v>
      </c>
      <c r="CS35" s="328">
        <v>32.915909999999997</v>
      </c>
      <c r="CT35" s="45"/>
      <c r="CU35" s="227">
        <f t="shared" si="8"/>
        <v>99.110849999999999</v>
      </c>
      <c r="CW35" s="121">
        <v>44408</v>
      </c>
      <c r="CX35" s="118">
        <v>8825.9</v>
      </c>
      <c r="CY35" s="120">
        <v>0</v>
      </c>
      <c r="CZ35" s="120"/>
      <c r="DA35" s="118">
        <v>33.15</v>
      </c>
      <c r="DB35" s="204"/>
      <c r="DC35" s="88">
        <v>17.683579999999928</v>
      </c>
      <c r="DD35" s="329">
        <v>2.8619199999999978</v>
      </c>
      <c r="DE35" s="45"/>
      <c r="DF35" s="227">
        <f t="shared" si="9"/>
        <v>53.695499999999925</v>
      </c>
      <c r="DH35" s="121">
        <v>44408</v>
      </c>
      <c r="DI35" s="118">
        <v>1319.71</v>
      </c>
      <c r="DJ35" s="120"/>
      <c r="DK35" s="120"/>
      <c r="DL35" s="123"/>
      <c r="DM35" s="204"/>
      <c r="DN35" s="216"/>
      <c r="DO35" s="45"/>
      <c r="DP35" s="45"/>
      <c r="DQ35" s="227">
        <f t="shared" si="10"/>
        <v>0</v>
      </c>
      <c r="DS35" s="121">
        <v>44408</v>
      </c>
      <c r="DT35" s="120">
        <v>1654</v>
      </c>
      <c r="DU35" s="118">
        <v>871.9</v>
      </c>
      <c r="DV35" s="120"/>
      <c r="DW35" s="123"/>
      <c r="DX35" s="204"/>
      <c r="DY35" s="88">
        <v>35.881560000000007</v>
      </c>
      <c r="DZ35" s="329"/>
      <c r="EA35" s="336">
        <v>10.438897120000007</v>
      </c>
      <c r="EB35" s="227">
        <f t="shared" si="11"/>
        <v>46.320457120000015</v>
      </c>
      <c r="ED35" s="121">
        <v>44408</v>
      </c>
      <c r="EE35" s="120">
        <v>8630.7900000000009</v>
      </c>
      <c r="EF35" s="120">
        <v>2035.12</v>
      </c>
      <c r="EG35" s="120"/>
      <c r="EH35" s="118">
        <v>103.83</v>
      </c>
      <c r="EI35" s="204"/>
      <c r="EJ35" s="88"/>
      <c r="EK35" s="328"/>
      <c r="EL35" s="45"/>
      <c r="EM35" s="227">
        <f t="shared" si="12"/>
        <v>103.83</v>
      </c>
      <c r="EO35" s="121">
        <v>44408</v>
      </c>
      <c r="EP35" s="118">
        <v>410</v>
      </c>
      <c r="EQ35" s="117">
        <v>774.38</v>
      </c>
      <c r="ER35" s="120"/>
      <c r="ES35" s="123"/>
      <c r="ET35" s="204"/>
      <c r="EU35" s="216"/>
      <c r="EV35" s="45"/>
      <c r="EW35" s="45"/>
      <c r="EX35" s="227">
        <f t="shared" si="13"/>
        <v>0</v>
      </c>
    </row>
    <row r="36" spans="1:154" s="309" customFormat="1" ht="16.5" thickBot="1" x14ac:dyDescent="0.3">
      <c r="B36" s="246">
        <f>SUM(B5:B35)</f>
        <v>644596.67999999993</v>
      </c>
      <c r="C36" s="246">
        <f>SUM(C5:C35)</f>
        <v>119869.79000000001</v>
      </c>
      <c r="D36" s="246">
        <f>SUM(D5:D35)</f>
        <v>90189.17</v>
      </c>
      <c r="E36" s="249">
        <f>SUM(E5:E35)</f>
        <v>4843.8599999999997</v>
      </c>
      <c r="G36" s="306"/>
      <c r="H36" s="307">
        <f t="shared" ref="H36:K36" si="14">SUM(H5:H35)</f>
        <v>0</v>
      </c>
      <c r="I36" s="308">
        <f t="shared" si="14"/>
        <v>0</v>
      </c>
      <c r="J36" s="308">
        <f t="shared" si="14"/>
        <v>0</v>
      </c>
      <c r="K36" s="308">
        <f t="shared" si="14"/>
        <v>0</v>
      </c>
      <c r="N36" s="246">
        <f>SUM(N5:N35)</f>
        <v>141335.13</v>
      </c>
      <c r="O36" s="246">
        <f t="shared" ref="O36:AB36" si="15">SUM(O5:O35)</f>
        <v>21159.510000000006</v>
      </c>
      <c r="P36" s="249">
        <f>SUM(P5:P35)</f>
        <v>0</v>
      </c>
      <c r="Q36" s="246">
        <f t="shared" si="15"/>
        <v>0</v>
      </c>
      <c r="R36" s="306"/>
      <c r="S36" s="307">
        <f t="shared" ref="S36" si="16">SUM(S5:S35)</f>
        <v>614.73208000000045</v>
      </c>
      <c r="T36" s="308">
        <f t="shared" ref="T36" si="17">SUM(T5:T35)</f>
        <v>139.97614800000002</v>
      </c>
      <c r="U36" s="308">
        <f t="shared" ref="U36" si="18">SUM(U5:U35)</f>
        <v>0</v>
      </c>
      <c r="V36" s="308">
        <f t="shared" ref="V36" si="19">SUM(V5:V35)</f>
        <v>754.7082280000003</v>
      </c>
      <c r="Y36" s="246">
        <f t="shared" si="15"/>
        <v>174992.97999999998</v>
      </c>
      <c r="Z36" s="246">
        <f t="shared" si="15"/>
        <v>60881.829999999987</v>
      </c>
      <c r="AA36" s="246">
        <f>SUM(AA5:AA35)</f>
        <v>0</v>
      </c>
      <c r="AB36" s="246">
        <f t="shared" si="15"/>
        <v>4553.6899999999996</v>
      </c>
      <c r="AC36" s="306"/>
      <c r="AD36" s="307">
        <f t="shared" ref="AD36" si="20">SUM(AD5:AD35)</f>
        <v>2012.152955</v>
      </c>
      <c r="AE36" s="308">
        <f t="shared" ref="AE36" si="21">SUM(AE5:AE35)</f>
        <v>0</v>
      </c>
      <c r="AF36" s="308">
        <f t="shared" ref="AF36" si="22">SUM(AF5:AF35)</f>
        <v>0</v>
      </c>
      <c r="AG36" s="308">
        <f t="shared" ref="AG36" si="23">SUM(AG5:AG35)</f>
        <v>6565.842955000001</v>
      </c>
      <c r="AJ36" s="246">
        <f t="shared" ref="AJ36:AM36" si="24">SUM(AJ5:AJ35)</f>
        <v>101013.95999999996</v>
      </c>
      <c r="AK36" s="246">
        <f t="shared" si="24"/>
        <v>33127.4</v>
      </c>
      <c r="AL36" s="249">
        <f>SUM(AL5:AL35)</f>
        <v>0</v>
      </c>
      <c r="AM36" s="246">
        <f t="shared" si="24"/>
        <v>0</v>
      </c>
      <c r="AN36" s="306"/>
      <c r="AO36" s="307">
        <f t="shared" ref="AO36" si="25">SUM(AO5:AO35)</f>
        <v>0</v>
      </c>
      <c r="AP36" s="308">
        <f t="shared" ref="AP36" si="26">SUM(AP5:AP35)</f>
        <v>0</v>
      </c>
      <c r="AQ36" s="308">
        <f t="shared" ref="AQ36" si="27">SUM(AQ5:AQ35)</f>
        <v>0</v>
      </c>
      <c r="AR36" s="308">
        <f t="shared" ref="AR36" si="28">SUM(AR5:AR35)</f>
        <v>0</v>
      </c>
      <c r="AU36" s="246">
        <f t="shared" ref="AU36:AX36" si="29">SUM(AU5:AU35)</f>
        <v>14359.430000000004</v>
      </c>
      <c r="AV36" s="246">
        <f t="shared" si="29"/>
        <v>2922.9300000000003</v>
      </c>
      <c r="AW36" s="249">
        <f>SUM(AW5:AW35)</f>
        <v>0</v>
      </c>
      <c r="AX36" s="247">
        <f t="shared" si="29"/>
        <v>1893.7000000000003</v>
      </c>
      <c r="AY36" s="306"/>
      <c r="AZ36" s="307">
        <f t="shared" ref="AZ36" si="30">SUM(AZ5:AZ35)</f>
        <v>10290.031015</v>
      </c>
      <c r="BA36" s="308">
        <f t="shared" ref="BA36" si="31">SUM(BA5:BA35)</f>
        <v>0</v>
      </c>
      <c r="BB36" s="308">
        <f t="shared" ref="BB36" si="32">SUM(BB5:BB35)</f>
        <v>0</v>
      </c>
      <c r="BC36" s="308">
        <f t="shared" ref="BC36" si="33">SUM(BC5:BC35)</f>
        <v>12183.731015000001</v>
      </c>
      <c r="BF36" s="246">
        <f t="shared" ref="BF36:BI36" si="34">SUM(BF5:BF35)</f>
        <v>145213.36000000002</v>
      </c>
      <c r="BG36" s="246">
        <f t="shared" si="34"/>
        <v>29314.880000000005</v>
      </c>
      <c r="BH36" s="249">
        <f>SUM(BH5:BH35)</f>
        <v>0</v>
      </c>
      <c r="BI36" s="246">
        <f t="shared" si="34"/>
        <v>170.05000000000004</v>
      </c>
      <c r="BJ36" s="306"/>
      <c r="BK36" s="307">
        <f t="shared" ref="BK36" si="35">SUM(BK5:BK35)</f>
        <v>5426.3816469999992</v>
      </c>
      <c r="BL36" s="308">
        <f t="shared" ref="BL36" si="36">SUM(BL5:BL35)</f>
        <v>2116.3621309999999</v>
      </c>
      <c r="BM36" s="308">
        <f t="shared" ref="BM36" si="37">SUM(BM5:BM35)</f>
        <v>0</v>
      </c>
      <c r="BN36" s="308">
        <f t="shared" ref="BN36" si="38">SUM(BN5:BN35)</f>
        <v>7712.7937779999984</v>
      </c>
      <c r="BQ36" s="246">
        <f t="shared" ref="BQ36:BT36" si="39">SUM(BQ5:BQ35)</f>
        <v>18095.759999999998</v>
      </c>
      <c r="BR36" s="246">
        <f t="shared" si="39"/>
        <v>15870.73</v>
      </c>
      <c r="BS36" s="249">
        <f>SUM(BS5:BS35)</f>
        <v>0</v>
      </c>
      <c r="BT36" s="246">
        <f t="shared" si="39"/>
        <v>156.19999999999999</v>
      </c>
      <c r="BU36" s="306"/>
      <c r="BV36" s="307">
        <f t="shared" ref="BV36" si="40">SUM(BV5:BV35)</f>
        <v>0</v>
      </c>
      <c r="BW36" s="308">
        <f t="shared" ref="BW36" si="41">SUM(BW5:BW35)</f>
        <v>0</v>
      </c>
      <c r="BX36" s="308">
        <f t="shared" ref="BX36" si="42">SUM(BX5:BX35)</f>
        <v>0</v>
      </c>
      <c r="BY36" s="308">
        <f t="shared" ref="BY36" si="43">SUM(BY5:BY35)</f>
        <v>156.19999999999999</v>
      </c>
      <c r="CB36" s="246">
        <f t="shared" ref="CB36:CE36" si="44">SUM(CB5:CB35)</f>
        <v>634013.67999999993</v>
      </c>
      <c r="CC36" s="246">
        <f t="shared" si="44"/>
        <v>79446.609999999986</v>
      </c>
      <c r="CD36" s="249">
        <f>SUM(CD5:CD35)</f>
        <v>0</v>
      </c>
      <c r="CE36" s="247">
        <f t="shared" si="44"/>
        <v>0</v>
      </c>
      <c r="CF36" s="306"/>
      <c r="CG36" s="307">
        <f t="shared" ref="CG36" si="45">SUM(CG5:CG35)</f>
        <v>0</v>
      </c>
      <c r="CH36" s="308">
        <f t="shared" ref="CH36" si="46">SUM(CH5:CH35)</f>
        <v>0</v>
      </c>
      <c r="CI36" s="308">
        <f t="shared" ref="CI36" si="47">SUM(CI5:CI35)</f>
        <v>0</v>
      </c>
      <c r="CJ36" s="308">
        <f t="shared" ref="CJ36" si="48">SUM(CJ5:CJ35)</f>
        <v>0</v>
      </c>
      <c r="CM36" s="246">
        <f t="shared" ref="CM36:CP36" si="49">SUM(CM5:CM35)</f>
        <v>282029.73</v>
      </c>
      <c r="CN36" s="246">
        <f t="shared" si="49"/>
        <v>59463.07</v>
      </c>
      <c r="CO36" s="249">
        <f>SUM(CO5:CO35)</f>
        <v>0</v>
      </c>
      <c r="CP36" s="246">
        <f t="shared" si="49"/>
        <v>0</v>
      </c>
      <c r="CQ36" s="306"/>
      <c r="CR36" s="307">
        <f t="shared" ref="CR36" si="50">SUM(CR5:CR35)</f>
        <v>1981.0608199999995</v>
      </c>
      <c r="CS36" s="308">
        <f t="shared" ref="CS36" si="51">SUM(CS5:CS35)</f>
        <v>499.49531000000002</v>
      </c>
      <c r="CT36" s="308">
        <f t="shared" ref="CT36:CU36" si="52">SUM(CT5:CT35)</f>
        <v>0</v>
      </c>
      <c r="CU36" s="308">
        <f t="shared" si="52"/>
        <v>2480.556129999999</v>
      </c>
      <c r="CX36" s="246">
        <f t="shared" ref="CX36:DA36" si="53">SUM(CX5:CX35)</f>
        <v>173410.66999999998</v>
      </c>
      <c r="CY36" s="246">
        <f t="shared" si="53"/>
        <v>17427.62</v>
      </c>
      <c r="CZ36" s="249">
        <f>SUM(CZ5:CZ35)</f>
        <v>0</v>
      </c>
      <c r="DA36" s="246">
        <f t="shared" si="53"/>
        <v>280.7</v>
      </c>
      <c r="DB36" s="306"/>
      <c r="DC36" s="307">
        <f t="shared" ref="DC36" si="54">SUM(DC5:DC35)</f>
        <v>660.17528999999843</v>
      </c>
      <c r="DD36" s="308">
        <f t="shared" ref="DD36" si="55">SUM(DD5:DD35)</f>
        <v>236.24959000000007</v>
      </c>
      <c r="DE36" s="308">
        <f t="shared" ref="DE36" si="56">SUM(DE5:DE35)</f>
        <v>0</v>
      </c>
      <c r="DF36" s="308">
        <f t="shared" ref="DF36" si="57">SUM(DF5:DF35)</f>
        <v>1177.124879999998</v>
      </c>
      <c r="DI36" s="246">
        <f t="shared" ref="DI36:DL36" si="58">SUM(DI5:DI35)</f>
        <v>57723.86</v>
      </c>
      <c r="DJ36" s="246">
        <f t="shared" si="58"/>
        <v>0</v>
      </c>
      <c r="DK36" s="249">
        <f>SUM(DK5:DK35)</f>
        <v>0</v>
      </c>
      <c r="DL36" s="246">
        <f t="shared" si="58"/>
        <v>0</v>
      </c>
      <c r="DM36" s="306"/>
      <c r="DN36" s="307">
        <f t="shared" ref="DN36" si="59">SUM(DN5:DN35)</f>
        <v>0</v>
      </c>
      <c r="DO36" s="308">
        <f t="shared" ref="DO36" si="60">SUM(DO5:DO35)</f>
        <v>0</v>
      </c>
      <c r="DP36" s="308">
        <f t="shared" ref="DP36" si="61">SUM(DP5:DP35)</f>
        <v>0</v>
      </c>
      <c r="DQ36" s="308">
        <f t="shared" ref="DQ36" si="62">SUM(DQ5:DQ35)</f>
        <v>0</v>
      </c>
      <c r="DT36" s="246">
        <f t="shared" ref="DT36:DW36" si="63">SUM(DT5:DT35)</f>
        <v>56073.22</v>
      </c>
      <c r="DU36" s="246">
        <f t="shared" si="63"/>
        <v>17639.78</v>
      </c>
      <c r="DV36" s="249">
        <f>SUM(DV5:DV35)</f>
        <v>0</v>
      </c>
      <c r="DW36" s="246">
        <f t="shared" si="63"/>
        <v>0</v>
      </c>
      <c r="DX36" s="306"/>
      <c r="DY36" s="307">
        <f t="shared" ref="DY36" si="64">SUM(DY5:DY35)</f>
        <v>3169.4543110000004</v>
      </c>
      <c r="DZ36" s="308">
        <f t="shared" ref="DZ36" si="65">SUM(DZ5:DZ35)</f>
        <v>7655.3207620000012</v>
      </c>
      <c r="EA36" s="308">
        <f t="shared" ref="EA36" si="66">SUM(EA5:EA35)</f>
        <v>215.45501996000013</v>
      </c>
      <c r="EB36" s="308">
        <f t="shared" ref="EB36" si="67">SUM(EB5:EB35)</f>
        <v>11040.230092960004</v>
      </c>
      <c r="EE36" s="246">
        <f t="shared" ref="EE36:EH36" si="68">SUM(EE5:EE35)</f>
        <v>192019.19999999995</v>
      </c>
      <c r="EF36" s="246">
        <f t="shared" si="68"/>
        <v>63934.48000000001</v>
      </c>
      <c r="EG36" s="249">
        <f>SUM(EG5:EG35)</f>
        <v>0</v>
      </c>
      <c r="EH36" s="246">
        <f t="shared" si="68"/>
        <v>3291.9499999999989</v>
      </c>
      <c r="EI36" s="306"/>
      <c r="EJ36" s="307">
        <f t="shared" ref="EJ36" si="69">SUM(EJ5:EJ35)</f>
        <v>40.746089999999988</v>
      </c>
      <c r="EK36" s="308">
        <f t="shared" ref="EK36" si="70">SUM(EK5:EK35)</f>
        <v>104.72411</v>
      </c>
      <c r="EL36" s="308">
        <f t="shared" ref="EL36" si="71">SUM(EL5:EL35)</f>
        <v>0</v>
      </c>
      <c r="EM36" s="308">
        <f t="shared" ref="EM36" si="72">SUM(EM5:EM35)</f>
        <v>3437.4201999999987</v>
      </c>
      <c r="EP36" s="246">
        <f t="shared" ref="EP36:ES36" si="73">SUM(EP5:EP35)</f>
        <v>30721.890000000003</v>
      </c>
      <c r="EQ36" s="246">
        <f t="shared" si="73"/>
        <v>17834.210000000003</v>
      </c>
      <c r="ER36" s="249">
        <f>SUM(ER5:ER35)</f>
        <v>0</v>
      </c>
      <c r="ES36" s="246">
        <f t="shared" si="73"/>
        <v>0</v>
      </c>
      <c r="ET36" s="306"/>
      <c r="EU36" s="307">
        <f t="shared" ref="EU36" si="74">SUM(EU5:EU35)</f>
        <v>0</v>
      </c>
      <c r="EV36" s="308">
        <f t="shared" ref="EV36" si="75">SUM(EV5:EV35)</f>
        <v>0</v>
      </c>
      <c r="EW36" s="308">
        <f t="shared" ref="EW36" si="76">SUM(EW5:EW35)</f>
        <v>0</v>
      </c>
      <c r="EX36" s="308">
        <f t="shared" ref="EX36" si="77">SUM(EX5:EX35)</f>
        <v>0</v>
      </c>
    </row>
    <row r="39" spans="1:154" ht="21" x14ac:dyDescent="0.35">
      <c r="B39" s="91" t="s">
        <v>39</v>
      </c>
      <c r="N39" s="91" t="s">
        <v>40</v>
      </c>
      <c r="Y39" s="91" t="s">
        <v>41</v>
      </c>
      <c r="AJ39" s="91" t="s">
        <v>42</v>
      </c>
      <c r="AU39" s="91" t="s">
        <v>43</v>
      </c>
      <c r="BF39" s="91" t="s">
        <v>44</v>
      </c>
      <c r="BQ39" s="91" t="s">
        <v>45</v>
      </c>
      <c r="CB39" s="91" t="s">
        <v>46</v>
      </c>
      <c r="CM39" s="91" t="s">
        <v>47</v>
      </c>
      <c r="CX39" s="91" t="s">
        <v>48</v>
      </c>
      <c r="DI39" s="91" t="s">
        <v>49</v>
      </c>
      <c r="DT39" s="91" t="s">
        <v>50</v>
      </c>
      <c r="EE39" s="91" t="s">
        <v>51</v>
      </c>
      <c r="EP39" s="91" t="s">
        <v>52</v>
      </c>
    </row>
    <row r="40" spans="1:154" ht="10.5" customHeight="1" thickBot="1" x14ac:dyDescent="0.3"/>
    <row r="41" spans="1:154" x14ac:dyDescent="0.25">
      <c r="A41" s="92" t="s">
        <v>15</v>
      </c>
      <c r="B41" s="93" t="s">
        <v>16</v>
      </c>
      <c r="C41" s="94" t="s">
        <v>16</v>
      </c>
      <c r="D41" s="94" t="s">
        <v>16</v>
      </c>
      <c r="E41" s="95" t="s">
        <v>17</v>
      </c>
      <c r="F41" s="95" t="s">
        <v>17</v>
      </c>
      <c r="H41" s="232" t="s">
        <v>17</v>
      </c>
      <c r="I41" s="233" t="s">
        <v>17</v>
      </c>
      <c r="J41" s="234" t="s">
        <v>17</v>
      </c>
      <c r="K41" s="223" t="s">
        <v>23</v>
      </c>
      <c r="M41" s="92" t="s">
        <v>15</v>
      </c>
      <c r="N41" s="93" t="s">
        <v>16</v>
      </c>
      <c r="O41" s="94" t="s">
        <v>16</v>
      </c>
      <c r="P41" s="95" t="s">
        <v>17</v>
      </c>
      <c r="Q41" s="96" t="s">
        <v>17</v>
      </c>
      <c r="R41" s="212"/>
      <c r="S41" s="232" t="s">
        <v>17</v>
      </c>
      <c r="T41" s="233" t="s">
        <v>17</v>
      </c>
      <c r="U41" s="234" t="s">
        <v>17</v>
      </c>
      <c r="V41" s="223" t="s">
        <v>23</v>
      </c>
      <c r="X41" s="92" t="s">
        <v>15</v>
      </c>
      <c r="Y41" s="93" t="s">
        <v>16</v>
      </c>
      <c r="Z41" s="94" t="s">
        <v>16</v>
      </c>
      <c r="AA41" s="94" t="s">
        <v>17</v>
      </c>
      <c r="AB41" s="96" t="s">
        <v>17</v>
      </c>
      <c r="AC41" s="212"/>
      <c r="AD41" s="232" t="s">
        <v>17</v>
      </c>
      <c r="AE41" s="233" t="s">
        <v>17</v>
      </c>
      <c r="AF41" s="234" t="s">
        <v>17</v>
      </c>
      <c r="AG41" s="223" t="s">
        <v>23</v>
      </c>
      <c r="AI41" s="92" t="s">
        <v>15</v>
      </c>
      <c r="AJ41" s="93" t="s">
        <v>16</v>
      </c>
      <c r="AK41" s="94" t="s">
        <v>16</v>
      </c>
      <c r="AL41" s="95" t="s">
        <v>17</v>
      </c>
      <c r="AM41" s="96" t="s">
        <v>17</v>
      </c>
      <c r="AN41" s="212"/>
      <c r="AO41" s="232" t="s">
        <v>17</v>
      </c>
      <c r="AP41" s="233" t="s">
        <v>17</v>
      </c>
      <c r="AQ41" s="234" t="s">
        <v>17</v>
      </c>
      <c r="AR41" s="223" t="s">
        <v>23</v>
      </c>
      <c r="AT41" s="92" t="s">
        <v>15</v>
      </c>
      <c r="AU41" s="93" t="s">
        <v>16</v>
      </c>
      <c r="AV41" s="94" t="s">
        <v>16</v>
      </c>
      <c r="AW41" s="95" t="s">
        <v>17</v>
      </c>
      <c r="AX41" s="96" t="s">
        <v>17</v>
      </c>
      <c r="AY41" s="212"/>
      <c r="AZ41" s="232" t="s">
        <v>17</v>
      </c>
      <c r="BA41" s="233" t="s">
        <v>17</v>
      </c>
      <c r="BB41" s="234" t="s">
        <v>17</v>
      </c>
      <c r="BC41" s="223" t="s">
        <v>23</v>
      </c>
      <c r="BE41" s="92" t="s">
        <v>15</v>
      </c>
      <c r="BF41" s="93" t="s">
        <v>16</v>
      </c>
      <c r="BG41" s="94" t="s">
        <v>16</v>
      </c>
      <c r="BH41" s="95" t="s">
        <v>17</v>
      </c>
      <c r="BI41" s="96" t="s">
        <v>17</v>
      </c>
      <c r="BJ41" s="212"/>
      <c r="BK41" s="232" t="s">
        <v>17</v>
      </c>
      <c r="BL41" s="233" t="s">
        <v>17</v>
      </c>
      <c r="BM41" s="234" t="s">
        <v>17</v>
      </c>
      <c r="BN41" s="223" t="s">
        <v>23</v>
      </c>
      <c r="BP41" s="92" t="s">
        <v>15</v>
      </c>
      <c r="BQ41" s="93" t="s">
        <v>16</v>
      </c>
      <c r="BR41" s="94" t="s">
        <v>16</v>
      </c>
      <c r="BS41" s="95" t="s">
        <v>17</v>
      </c>
      <c r="BT41" s="96" t="s">
        <v>17</v>
      </c>
      <c r="BU41" s="212"/>
      <c r="BV41" s="232" t="s">
        <v>17</v>
      </c>
      <c r="BW41" s="233" t="s">
        <v>17</v>
      </c>
      <c r="BX41" s="234" t="s">
        <v>17</v>
      </c>
      <c r="BY41" s="223" t="s">
        <v>23</v>
      </c>
      <c r="CA41" s="92" t="s">
        <v>15</v>
      </c>
      <c r="CB41" s="93" t="s">
        <v>16</v>
      </c>
      <c r="CC41" s="94" t="s">
        <v>16</v>
      </c>
      <c r="CD41" s="95" t="s">
        <v>17</v>
      </c>
      <c r="CE41" s="96" t="s">
        <v>17</v>
      </c>
      <c r="CF41" s="212"/>
      <c r="CG41" s="232" t="s">
        <v>17</v>
      </c>
      <c r="CH41" s="233" t="s">
        <v>17</v>
      </c>
      <c r="CI41" s="234" t="s">
        <v>17</v>
      </c>
      <c r="CJ41" s="223" t="s">
        <v>23</v>
      </c>
      <c r="CL41" s="92" t="s">
        <v>15</v>
      </c>
      <c r="CM41" s="93" t="s">
        <v>16</v>
      </c>
      <c r="CN41" s="94" t="s">
        <v>16</v>
      </c>
      <c r="CO41" s="95" t="s">
        <v>17</v>
      </c>
      <c r="CP41" s="96" t="s">
        <v>17</v>
      </c>
      <c r="CQ41" s="212"/>
      <c r="CR41" s="232" t="s">
        <v>17</v>
      </c>
      <c r="CS41" s="233" t="s">
        <v>17</v>
      </c>
      <c r="CT41" s="234" t="s">
        <v>17</v>
      </c>
      <c r="CU41" s="223" t="s">
        <v>23</v>
      </c>
      <c r="CW41" s="92" t="s">
        <v>15</v>
      </c>
      <c r="CX41" s="93" t="s">
        <v>16</v>
      </c>
      <c r="CY41" s="94" t="s">
        <v>16</v>
      </c>
      <c r="CZ41" s="95" t="s">
        <v>17</v>
      </c>
      <c r="DA41" s="96" t="s">
        <v>17</v>
      </c>
      <c r="DB41" s="212"/>
      <c r="DC41" s="232" t="s">
        <v>17</v>
      </c>
      <c r="DD41" s="233" t="s">
        <v>17</v>
      </c>
      <c r="DE41" s="234" t="s">
        <v>17</v>
      </c>
      <c r="DF41" s="223" t="s">
        <v>23</v>
      </c>
      <c r="DH41" s="92" t="s">
        <v>15</v>
      </c>
      <c r="DI41" s="93" t="s">
        <v>16</v>
      </c>
      <c r="DJ41" s="94" t="s">
        <v>16</v>
      </c>
      <c r="DK41" s="95" t="s">
        <v>17</v>
      </c>
      <c r="DL41" s="96" t="s">
        <v>17</v>
      </c>
      <c r="DM41" s="212"/>
      <c r="DN41" s="232" t="s">
        <v>17</v>
      </c>
      <c r="DO41" s="233" t="s">
        <v>17</v>
      </c>
      <c r="DP41" s="234" t="s">
        <v>17</v>
      </c>
      <c r="DQ41" s="223" t="s">
        <v>23</v>
      </c>
      <c r="DS41" s="92" t="s">
        <v>15</v>
      </c>
      <c r="DT41" s="93" t="s">
        <v>16</v>
      </c>
      <c r="DU41" s="94" t="s">
        <v>16</v>
      </c>
      <c r="DV41" s="95" t="s">
        <v>17</v>
      </c>
      <c r="DW41" s="96" t="s">
        <v>17</v>
      </c>
      <c r="DX41" s="212"/>
      <c r="DY41" s="232" t="s">
        <v>17</v>
      </c>
      <c r="DZ41" s="233" t="s">
        <v>17</v>
      </c>
      <c r="EA41" s="234" t="s">
        <v>17</v>
      </c>
      <c r="EB41" s="223" t="s">
        <v>23</v>
      </c>
      <c r="ED41" s="92" t="s">
        <v>15</v>
      </c>
      <c r="EE41" s="93" t="s">
        <v>16</v>
      </c>
      <c r="EF41" s="94" t="s">
        <v>16</v>
      </c>
      <c r="EG41" s="95" t="s">
        <v>17</v>
      </c>
      <c r="EH41" s="96" t="s">
        <v>17</v>
      </c>
      <c r="EI41" s="212"/>
      <c r="EJ41" s="232" t="s">
        <v>17</v>
      </c>
      <c r="EK41" s="233" t="s">
        <v>17</v>
      </c>
      <c r="EL41" s="234" t="s">
        <v>17</v>
      </c>
      <c r="EM41" s="223" t="s">
        <v>23</v>
      </c>
      <c r="EO41" s="92" t="s">
        <v>15</v>
      </c>
      <c r="EP41" s="93" t="s">
        <v>16</v>
      </c>
      <c r="EQ41" s="94" t="s">
        <v>16</v>
      </c>
      <c r="ER41" s="95" t="s">
        <v>17</v>
      </c>
      <c r="ES41" s="96" t="s">
        <v>17</v>
      </c>
      <c r="ET41" s="212"/>
      <c r="EU41" s="232" t="s">
        <v>17</v>
      </c>
      <c r="EV41" s="233" t="s">
        <v>17</v>
      </c>
      <c r="EW41" s="234" t="s">
        <v>17</v>
      </c>
      <c r="EX41" s="223" t="s">
        <v>23</v>
      </c>
    </row>
    <row r="42" spans="1:154" ht="15.75" thickBot="1" x14ac:dyDescent="0.3">
      <c r="A42" s="97"/>
      <c r="B42" s="98" t="s">
        <v>19</v>
      </c>
      <c r="C42" s="99" t="s">
        <v>20</v>
      </c>
      <c r="D42" s="99" t="s">
        <v>22</v>
      </c>
      <c r="E42" s="100" t="s">
        <v>22</v>
      </c>
      <c r="F42" s="100" t="s">
        <v>63</v>
      </c>
      <c r="H42" s="235" t="s">
        <v>64</v>
      </c>
      <c r="I42" s="236" t="s">
        <v>65</v>
      </c>
      <c r="J42" s="237" t="s">
        <v>66</v>
      </c>
      <c r="K42" s="238" t="s">
        <v>67</v>
      </c>
      <c r="M42" s="97"/>
      <c r="N42" s="98" t="s">
        <v>19</v>
      </c>
      <c r="O42" s="99" t="s">
        <v>20</v>
      </c>
      <c r="P42" s="100" t="s">
        <v>20</v>
      </c>
      <c r="Q42" s="101" t="s">
        <v>21</v>
      </c>
      <c r="R42" s="212"/>
      <c r="S42" s="235" t="s">
        <v>64</v>
      </c>
      <c r="T42" s="236" t="s">
        <v>65</v>
      </c>
      <c r="U42" s="237" t="s">
        <v>66</v>
      </c>
      <c r="V42" s="238" t="s">
        <v>67</v>
      </c>
      <c r="X42" s="97"/>
      <c r="Y42" s="98" t="s">
        <v>19</v>
      </c>
      <c r="Z42" s="99" t="s">
        <v>20</v>
      </c>
      <c r="AA42" s="99" t="s">
        <v>20</v>
      </c>
      <c r="AB42" s="101" t="s">
        <v>21</v>
      </c>
      <c r="AC42" s="212"/>
      <c r="AD42" s="235" t="s">
        <v>64</v>
      </c>
      <c r="AE42" s="236" t="s">
        <v>65</v>
      </c>
      <c r="AF42" s="237" t="s">
        <v>66</v>
      </c>
      <c r="AG42" s="238" t="s">
        <v>67</v>
      </c>
      <c r="AI42" s="97"/>
      <c r="AJ42" s="98" t="s">
        <v>19</v>
      </c>
      <c r="AK42" s="99" t="s">
        <v>20</v>
      </c>
      <c r="AL42" s="100" t="s">
        <v>20</v>
      </c>
      <c r="AM42" s="101" t="s">
        <v>21</v>
      </c>
      <c r="AN42" s="212"/>
      <c r="AO42" s="235" t="s">
        <v>64</v>
      </c>
      <c r="AP42" s="236" t="s">
        <v>65</v>
      </c>
      <c r="AQ42" s="237" t="s">
        <v>66</v>
      </c>
      <c r="AR42" s="238" t="s">
        <v>67</v>
      </c>
      <c r="AT42" s="97"/>
      <c r="AU42" s="98" t="s">
        <v>19</v>
      </c>
      <c r="AV42" s="99" t="s">
        <v>20</v>
      </c>
      <c r="AW42" s="100" t="s">
        <v>20</v>
      </c>
      <c r="AX42" s="101" t="s">
        <v>21</v>
      </c>
      <c r="AY42" s="212"/>
      <c r="AZ42" s="235" t="s">
        <v>64</v>
      </c>
      <c r="BA42" s="236" t="s">
        <v>65</v>
      </c>
      <c r="BB42" s="237" t="s">
        <v>66</v>
      </c>
      <c r="BC42" s="238" t="s">
        <v>67</v>
      </c>
      <c r="BE42" s="97"/>
      <c r="BF42" s="98" t="s">
        <v>19</v>
      </c>
      <c r="BG42" s="99" t="s">
        <v>20</v>
      </c>
      <c r="BH42" s="100" t="s">
        <v>20</v>
      </c>
      <c r="BI42" s="101" t="s">
        <v>21</v>
      </c>
      <c r="BJ42" s="212"/>
      <c r="BK42" s="235" t="s">
        <v>64</v>
      </c>
      <c r="BL42" s="236" t="s">
        <v>65</v>
      </c>
      <c r="BM42" s="237" t="s">
        <v>66</v>
      </c>
      <c r="BN42" s="238" t="s">
        <v>67</v>
      </c>
      <c r="BP42" s="97"/>
      <c r="BQ42" s="98" t="s">
        <v>19</v>
      </c>
      <c r="BR42" s="99" t="s">
        <v>20</v>
      </c>
      <c r="BS42" s="100" t="s">
        <v>20</v>
      </c>
      <c r="BT42" s="101" t="s">
        <v>21</v>
      </c>
      <c r="BU42" s="212"/>
      <c r="BV42" s="235" t="s">
        <v>64</v>
      </c>
      <c r="BW42" s="236" t="s">
        <v>65</v>
      </c>
      <c r="BX42" s="237" t="s">
        <v>66</v>
      </c>
      <c r="BY42" s="238" t="s">
        <v>67</v>
      </c>
      <c r="CA42" s="97"/>
      <c r="CB42" s="98" t="s">
        <v>19</v>
      </c>
      <c r="CC42" s="99" t="s">
        <v>20</v>
      </c>
      <c r="CD42" s="100" t="s">
        <v>20</v>
      </c>
      <c r="CE42" s="101" t="s">
        <v>21</v>
      </c>
      <c r="CF42" s="212"/>
      <c r="CG42" s="235" t="s">
        <v>64</v>
      </c>
      <c r="CH42" s="236" t="s">
        <v>65</v>
      </c>
      <c r="CI42" s="237" t="s">
        <v>66</v>
      </c>
      <c r="CJ42" s="238" t="s">
        <v>67</v>
      </c>
      <c r="CL42" s="97"/>
      <c r="CM42" s="98" t="s">
        <v>19</v>
      </c>
      <c r="CN42" s="99" t="s">
        <v>20</v>
      </c>
      <c r="CO42" s="100" t="s">
        <v>20</v>
      </c>
      <c r="CP42" s="101" t="s">
        <v>21</v>
      </c>
      <c r="CQ42" s="212"/>
      <c r="CR42" s="235" t="s">
        <v>64</v>
      </c>
      <c r="CS42" s="236" t="s">
        <v>65</v>
      </c>
      <c r="CT42" s="237" t="s">
        <v>66</v>
      </c>
      <c r="CU42" s="238" t="s">
        <v>67</v>
      </c>
      <c r="CW42" s="97"/>
      <c r="CX42" s="98" t="s">
        <v>19</v>
      </c>
      <c r="CY42" s="99" t="s">
        <v>20</v>
      </c>
      <c r="CZ42" s="100" t="s">
        <v>20</v>
      </c>
      <c r="DA42" s="101" t="s">
        <v>21</v>
      </c>
      <c r="DB42" s="212"/>
      <c r="DC42" s="235" t="s">
        <v>64</v>
      </c>
      <c r="DD42" s="236" t="s">
        <v>65</v>
      </c>
      <c r="DE42" s="237" t="s">
        <v>66</v>
      </c>
      <c r="DF42" s="238" t="s">
        <v>67</v>
      </c>
      <c r="DH42" s="97"/>
      <c r="DI42" s="98" t="s">
        <v>19</v>
      </c>
      <c r="DJ42" s="99" t="s">
        <v>20</v>
      </c>
      <c r="DK42" s="100" t="s">
        <v>20</v>
      </c>
      <c r="DL42" s="101" t="s">
        <v>21</v>
      </c>
      <c r="DM42" s="212"/>
      <c r="DN42" s="235" t="s">
        <v>64</v>
      </c>
      <c r="DO42" s="236" t="s">
        <v>65</v>
      </c>
      <c r="DP42" s="237" t="s">
        <v>66</v>
      </c>
      <c r="DQ42" s="238" t="s">
        <v>67</v>
      </c>
      <c r="DS42" s="97"/>
      <c r="DT42" s="98" t="s">
        <v>19</v>
      </c>
      <c r="DU42" s="99" t="s">
        <v>20</v>
      </c>
      <c r="DV42" s="100" t="s">
        <v>20</v>
      </c>
      <c r="DW42" s="101" t="s">
        <v>21</v>
      </c>
      <c r="DX42" s="212"/>
      <c r="DY42" s="235" t="s">
        <v>64</v>
      </c>
      <c r="DZ42" s="236" t="s">
        <v>65</v>
      </c>
      <c r="EA42" s="237" t="s">
        <v>66</v>
      </c>
      <c r="EB42" s="238" t="s">
        <v>67</v>
      </c>
      <c r="ED42" s="97"/>
      <c r="EE42" s="98" t="s">
        <v>19</v>
      </c>
      <c r="EF42" s="99" t="s">
        <v>20</v>
      </c>
      <c r="EG42" s="100" t="s">
        <v>20</v>
      </c>
      <c r="EH42" s="101" t="s">
        <v>21</v>
      </c>
      <c r="EI42" s="212"/>
      <c r="EJ42" s="235" t="s">
        <v>64</v>
      </c>
      <c r="EK42" s="236" t="s">
        <v>65</v>
      </c>
      <c r="EL42" s="237" t="s">
        <v>66</v>
      </c>
      <c r="EM42" s="238" t="s">
        <v>67</v>
      </c>
      <c r="EO42" s="97"/>
      <c r="EP42" s="98" t="s">
        <v>19</v>
      </c>
      <c r="EQ42" s="99" t="s">
        <v>20</v>
      </c>
      <c r="ER42" s="100" t="s">
        <v>20</v>
      </c>
      <c r="ES42" s="101" t="s">
        <v>21</v>
      </c>
      <c r="ET42" s="212"/>
      <c r="EU42" s="235" t="s">
        <v>64</v>
      </c>
      <c r="EV42" s="236" t="s">
        <v>65</v>
      </c>
      <c r="EW42" s="237" t="s">
        <v>66</v>
      </c>
      <c r="EX42" s="238" t="s">
        <v>67</v>
      </c>
    </row>
    <row r="43" spans="1:154" x14ac:dyDescent="0.25">
      <c r="A43" s="102">
        <v>44409</v>
      </c>
      <c r="B43" s="163">
        <v>18761.55</v>
      </c>
      <c r="C43" s="164">
        <v>3506.16</v>
      </c>
      <c r="D43" s="165">
        <v>2422.7800000000002</v>
      </c>
      <c r="E43" s="167">
        <v>212.33</v>
      </c>
      <c r="F43" s="166"/>
      <c r="H43" s="214"/>
      <c r="I43" s="15"/>
      <c r="J43" s="15"/>
      <c r="K43" s="225">
        <f>SUM(F43:J43)</f>
        <v>0</v>
      </c>
      <c r="M43" s="102">
        <v>44409</v>
      </c>
      <c r="N43" s="168">
        <v>5328.68</v>
      </c>
      <c r="O43" s="168">
        <v>1336.41</v>
      </c>
      <c r="P43" s="103"/>
      <c r="Q43" s="169"/>
      <c r="R43" s="204"/>
      <c r="S43" s="88">
        <v>-0.29280000000001394</v>
      </c>
      <c r="T43" s="329"/>
      <c r="U43" s="15"/>
      <c r="V43" s="225">
        <f>SUM(Q43:U43)</f>
        <v>-0.29280000000001394</v>
      </c>
      <c r="X43" s="102">
        <v>44409</v>
      </c>
      <c r="Y43" s="170">
        <v>4253.71</v>
      </c>
      <c r="Z43" s="171">
        <v>1615.82</v>
      </c>
      <c r="AA43" s="171"/>
      <c r="AB43" s="172">
        <v>142.83000000000001</v>
      </c>
      <c r="AC43" s="204"/>
      <c r="AD43" s="88">
        <v>292.397896</v>
      </c>
      <c r="AE43" s="15"/>
      <c r="AF43" s="15"/>
      <c r="AG43" s="225">
        <f>SUM(AB43:AF43)</f>
        <v>435.22789599999999</v>
      </c>
      <c r="AI43" s="102">
        <v>44409</v>
      </c>
      <c r="AJ43" s="170">
        <v>3109.06</v>
      </c>
      <c r="AK43" s="171">
        <v>449.07</v>
      </c>
      <c r="AL43" s="103"/>
      <c r="AM43" s="104"/>
      <c r="AN43" s="204"/>
      <c r="AO43" s="214"/>
      <c r="AP43" s="15"/>
      <c r="AQ43" s="15"/>
      <c r="AR43" s="225">
        <f>SUM(AM43:AQ43)</f>
        <v>0</v>
      </c>
      <c r="AT43" s="102">
        <v>44409</v>
      </c>
      <c r="AU43" s="173">
        <v>450</v>
      </c>
      <c r="AV43" s="173">
        <v>110.33</v>
      </c>
      <c r="AW43" s="103"/>
      <c r="AX43" s="172"/>
      <c r="AY43" s="204"/>
      <c r="AZ43" s="88">
        <v>189.07923400000004</v>
      </c>
      <c r="BA43" s="15"/>
      <c r="BB43" s="15"/>
      <c r="BC43" s="225">
        <f>SUM(AX43:BB43)</f>
        <v>189.07923400000004</v>
      </c>
      <c r="BE43" s="102">
        <v>44409</v>
      </c>
      <c r="BF43" s="170">
        <v>4462.57</v>
      </c>
      <c r="BG43" s="171">
        <v>977.51</v>
      </c>
      <c r="BH43" s="103"/>
      <c r="BI43" s="172">
        <v>24.89</v>
      </c>
      <c r="BJ43" s="204"/>
      <c r="BK43" s="88">
        <v>322.28435999999994</v>
      </c>
      <c r="BL43" s="329"/>
      <c r="BM43" s="15"/>
      <c r="BN43" s="225">
        <f>SUM(BI43:BM43)</f>
        <v>347.17435999999992</v>
      </c>
      <c r="BP43" s="102">
        <v>44409</v>
      </c>
      <c r="BQ43" s="171">
        <v>772.86</v>
      </c>
      <c r="BR43" s="171">
        <v>567.41</v>
      </c>
      <c r="BS43" s="103"/>
      <c r="BT43" s="174"/>
      <c r="BU43" s="204"/>
      <c r="BV43" s="214"/>
      <c r="BW43" s="15"/>
      <c r="BX43" s="15"/>
      <c r="BY43" s="225">
        <f>SUM(BT43:BX43)</f>
        <v>0</v>
      </c>
      <c r="CA43" s="102">
        <v>44409</v>
      </c>
      <c r="CB43" s="170">
        <v>20262.400000000001</v>
      </c>
      <c r="CC43" s="171">
        <v>1813.7</v>
      </c>
      <c r="CD43" s="103"/>
      <c r="CE43" s="174"/>
      <c r="CF43" s="204"/>
      <c r="CG43" s="214"/>
      <c r="CH43" s="15"/>
      <c r="CI43" s="15"/>
      <c r="CJ43" s="225">
        <f>SUM(CE43:CI43)</f>
        <v>0</v>
      </c>
      <c r="CL43" s="102">
        <v>44409</v>
      </c>
      <c r="CM43" s="170">
        <v>9555.65</v>
      </c>
      <c r="CN43" s="171">
        <v>1667.58</v>
      </c>
      <c r="CO43" s="103"/>
      <c r="CP43" s="108"/>
      <c r="CQ43" s="204"/>
      <c r="CR43" s="88">
        <v>40.777799999999999</v>
      </c>
      <c r="CS43" s="328"/>
      <c r="CT43" s="15"/>
      <c r="CU43" s="225">
        <f>SUM(CP43:CT43)</f>
        <v>40.777799999999999</v>
      </c>
      <c r="CW43" s="102">
        <v>44409</v>
      </c>
      <c r="CX43" s="170">
        <v>8542.0499999999993</v>
      </c>
      <c r="CY43" s="171">
        <v>1367.66</v>
      </c>
      <c r="CZ43" s="103"/>
      <c r="DA43" s="172">
        <v>15.02</v>
      </c>
      <c r="DB43" s="204"/>
      <c r="DC43" s="88">
        <v>39.065969999999979</v>
      </c>
      <c r="DD43" s="329">
        <v>10.239692999999988</v>
      </c>
      <c r="DE43" s="15"/>
      <c r="DF43" s="225">
        <f>SUM(DA43:DE43)</f>
        <v>64.325662999999963</v>
      </c>
      <c r="DH43" s="102">
        <v>44409</v>
      </c>
      <c r="DI43" s="170">
        <v>1285.8499999999999</v>
      </c>
      <c r="DJ43" s="106"/>
      <c r="DK43" s="103"/>
      <c r="DL43" s="108"/>
      <c r="DM43" s="204"/>
      <c r="DN43" s="214"/>
      <c r="DO43" s="15"/>
      <c r="DP43" s="15"/>
      <c r="DQ43" s="225">
        <f>SUM(DL43:DP43)</f>
        <v>0</v>
      </c>
      <c r="DS43" s="102">
        <v>44409</v>
      </c>
      <c r="DT43" s="170">
        <v>3055.09</v>
      </c>
      <c r="DU43" s="171">
        <v>692.6</v>
      </c>
      <c r="DV43" s="103"/>
      <c r="DW43" s="108"/>
      <c r="DX43" s="204"/>
      <c r="DY43" s="88">
        <v>87.342464000000021</v>
      </c>
      <c r="DZ43" s="329">
        <v>27.990482000000014</v>
      </c>
      <c r="EA43" s="337"/>
      <c r="EB43" s="225">
        <f>SUM(DW43:EA43)</f>
        <v>115.33294600000004</v>
      </c>
      <c r="ED43" s="102">
        <v>44409</v>
      </c>
      <c r="EE43" s="170">
        <v>6654.96</v>
      </c>
      <c r="EF43" s="171">
        <v>2295.2199999999998</v>
      </c>
      <c r="EG43" s="103"/>
      <c r="EH43" s="172">
        <v>106.57</v>
      </c>
      <c r="EI43" s="204"/>
      <c r="EJ43" s="88"/>
      <c r="EK43" s="15"/>
      <c r="EL43" s="15"/>
      <c r="EM43" s="225">
        <f>SUM(EH43:EL43)</f>
        <v>106.57</v>
      </c>
      <c r="EO43" s="102">
        <v>44409</v>
      </c>
      <c r="EP43" s="175">
        <v>586.28</v>
      </c>
      <c r="EQ43" s="176">
        <v>819.41</v>
      </c>
      <c r="ER43" s="103"/>
      <c r="ES43" s="108"/>
      <c r="ET43" s="204"/>
      <c r="EU43" s="214"/>
      <c r="EV43" s="15"/>
      <c r="EW43" s="15"/>
      <c r="EX43" s="225">
        <f>SUM(ES43:EW43)</f>
        <v>0</v>
      </c>
    </row>
    <row r="44" spans="1:154" x14ac:dyDescent="0.25">
      <c r="A44" s="109">
        <v>44410</v>
      </c>
      <c r="B44" s="177">
        <v>19802.810000000001</v>
      </c>
      <c r="C44" s="178">
        <v>3278.71</v>
      </c>
      <c r="D44" s="179">
        <v>4263.12</v>
      </c>
      <c r="E44" s="181">
        <v>147.86000000000001</v>
      </c>
      <c r="F44" s="180"/>
      <c r="H44" s="215"/>
      <c r="I44" s="28"/>
      <c r="J44" s="28"/>
      <c r="K44" s="226">
        <f t="shared" ref="K44:K73" si="78">SUM(F44:J44)</f>
        <v>0</v>
      </c>
      <c r="M44" s="109">
        <v>44410</v>
      </c>
      <c r="N44" s="182">
        <v>3425.73</v>
      </c>
      <c r="O44" s="182">
        <v>1354.82</v>
      </c>
      <c r="P44" s="110"/>
      <c r="Q44" s="183"/>
      <c r="R44" s="204"/>
      <c r="S44" s="88">
        <v>0.86335999999994328</v>
      </c>
      <c r="T44" s="329"/>
      <c r="U44" s="28"/>
      <c r="V44" s="226">
        <f t="shared" ref="V44:V73" si="79">SUM(Q44:U44)</f>
        <v>0.86335999999994328</v>
      </c>
      <c r="X44" s="109">
        <v>44410</v>
      </c>
      <c r="Y44" s="184">
        <v>4342.55</v>
      </c>
      <c r="Z44" s="185">
        <v>1876.75</v>
      </c>
      <c r="AA44" s="185"/>
      <c r="AB44" s="186">
        <v>150.84</v>
      </c>
      <c r="AC44" s="204"/>
      <c r="AD44" s="88">
        <v>10.479000000000042</v>
      </c>
      <c r="AE44" s="28"/>
      <c r="AF44" s="28"/>
      <c r="AG44" s="226">
        <f t="shared" ref="AG44:AG73" si="80">SUM(AB44:AF44)</f>
        <v>161.31900000000005</v>
      </c>
      <c r="AI44" s="109">
        <v>44410</v>
      </c>
      <c r="AJ44" s="184">
        <v>2516.4699999999998</v>
      </c>
      <c r="AK44" s="185">
        <v>479.03</v>
      </c>
      <c r="AL44" s="110"/>
      <c r="AM44" s="111"/>
      <c r="AN44" s="204"/>
      <c r="AO44" s="215"/>
      <c r="AP44" s="28"/>
      <c r="AQ44" s="28"/>
      <c r="AR44" s="226">
        <f t="shared" ref="AR44:AR73" si="81">SUM(AM44:AQ44)</f>
        <v>0</v>
      </c>
      <c r="AT44" s="109">
        <v>44410</v>
      </c>
      <c r="AU44" s="185">
        <v>891.96</v>
      </c>
      <c r="AV44" s="185">
        <v>47.74</v>
      </c>
      <c r="AW44" s="110"/>
      <c r="AX44" s="186"/>
      <c r="AY44" s="204"/>
      <c r="AZ44" s="88">
        <v>221.00913999999977</v>
      </c>
      <c r="BA44" s="28"/>
      <c r="BB44" s="28"/>
      <c r="BC44" s="226">
        <f>SUM(AX44:BB44)</f>
        <v>221.00913999999977</v>
      </c>
      <c r="BE44" s="109">
        <v>44410</v>
      </c>
      <c r="BF44" s="184">
        <v>3883.9</v>
      </c>
      <c r="BG44" s="185">
        <v>903.77</v>
      </c>
      <c r="BH44" s="110"/>
      <c r="BI44" s="186"/>
      <c r="BJ44" s="204"/>
      <c r="BK44" s="88">
        <v>136.16377999999997</v>
      </c>
      <c r="BL44" s="329"/>
      <c r="BM44" s="28"/>
      <c r="BN44" s="226">
        <f>SUM(BI44:BM44)</f>
        <v>136.16377999999997</v>
      </c>
      <c r="BP44" s="109">
        <v>44410</v>
      </c>
      <c r="BQ44" s="185">
        <v>435.98</v>
      </c>
      <c r="BR44" s="185">
        <v>761.17</v>
      </c>
      <c r="BS44" s="110"/>
      <c r="BT44" s="187"/>
      <c r="BU44" s="204"/>
      <c r="BV44" s="215"/>
      <c r="BW44" s="28"/>
      <c r="BX44" s="28"/>
      <c r="BY44" s="226">
        <f>SUM(BT44:BX44)</f>
        <v>0</v>
      </c>
      <c r="CA44" s="109">
        <v>44410</v>
      </c>
      <c r="CB44" s="184">
        <v>21224.63</v>
      </c>
      <c r="CC44" s="185">
        <v>2907.33</v>
      </c>
      <c r="CD44" s="110"/>
      <c r="CE44" s="187"/>
      <c r="CF44" s="204"/>
      <c r="CG44" s="215"/>
      <c r="CH44" s="28"/>
      <c r="CI44" s="28"/>
      <c r="CJ44" s="226">
        <f>SUM(CE44:CI44)</f>
        <v>0</v>
      </c>
      <c r="CL44" s="109">
        <v>44410</v>
      </c>
      <c r="CM44" s="184">
        <v>5157.5200000000004</v>
      </c>
      <c r="CN44" s="185">
        <v>1450.5</v>
      </c>
      <c r="CO44" s="110"/>
      <c r="CP44" s="115"/>
      <c r="CQ44" s="204"/>
      <c r="CR44" s="88"/>
      <c r="CS44" s="328"/>
      <c r="CT44" s="28"/>
      <c r="CU44" s="226">
        <f>SUM(CP44:CT44)</f>
        <v>0</v>
      </c>
      <c r="CW44" s="109">
        <v>44410</v>
      </c>
      <c r="CX44" s="184">
        <v>3863.54</v>
      </c>
      <c r="CY44" s="185">
        <v>2904.7</v>
      </c>
      <c r="CZ44" s="110"/>
      <c r="DA44" s="186">
        <v>3.4</v>
      </c>
      <c r="DB44" s="204"/>
      <c r="DC44" s="88">
        <v>10.902620000000013</v>
      </c>
      <c r="DD44" s="329"/>
      <c r="DE44" s="28"/>
      <c r="DF44" s="226">
        <f>SUM(DA44:DE44)</f>
        <v>14.302620000000013</v>
      </c>
      <c r="DH44" s="109">
        <v>44410</v>
      </c>
      <c r="DI44" s="184">
        <v>1402.19</v>
      </c>
      <c r="DJ44" s="113"/>
      <c r="DK44" s="110"/>
      <c r="DL44" s="115"/>
      <c r="DM44" s="204"/>
      <c r="DN44" s="215"/>
      <c r="DO44" s="28"/>
      <c r="DP44" s="28"/>
      <c r="DQ44" s="226">
        <f>SUM(DL44:DP44)</f>
        <v>0</v>
      </c>
      <c r="DS44" s="109">
        <v>44410</v>
      </c>
      <c r="DT44" s="184">
        <v>2784.66</v>
      </c>
      <c r="DU44" s="185">
        <v>593.05999999999995</v>
      </c>
      <c r="DV44" s="110"/>
      <c r="DW44" s="115"/>
      <c r="DX44" s="204"/>
      <c r="DY44" s="88">
        <v>58.453141000000031</v>
      </c>
      <c r="DZ44" s="329">
        <v>170.15999999999985</v>
      </c>
      <c r="EA44" s="335">
        <v>9.4664329599999917</v>
      </c>
      <c r="EB44" s="226">
        <f>SUM(DW44:EA44)</f>
        <v>238.07957395999986</v>
      </c>
      <c r="ED44" s="109">
        <v>44410</v>
      </c>
      <c r="EE44" s="184">
        <v>6979.91</v>
      </c>
      <c r="EF44" s="185">
        <v>2276.5500000000002</v>
      </c>
      <c r="EG44" s="110"/>
      <c r="EH44" s="186">
        <v>127.67</v>
      </c>
      <c r="EI44" s="204"/>
      <c r="EJ44" s="88">
        <v>5.9354699999999809</v>
      </c>
      <c r="EK44" s="28"/>
      <c r="EL44" s="28"/>
      <c r="EM44" s="226">
        <f>SUM(EH44:EL44)</f>
        <v>133.60546999999997</v>
      </c>
      <c r="EO44" s="109">
        <v>44410</v>
      </c>
      <c r="EP44" s="188">
        <v>978.37</v>
      </c>
      <c r="EQ44" s="189">
        <v>753.97</v>
      </c>
      <c r="ER44" s="110"/>
      <c r="ES44" s="115"/>
      <c r="ET44" s="204"/>
      <c r="EU44" s="215"/>
      <c r="EV44" s="28"/>
      <c r="EW44" s="28"/>
      <c r="EX44" s="226">
        <f>SUM(ES44:EW44)</f>
        <v>0</v>
      </c>
    </row>
    <row r="45" spans="1:154" x14ac:dyDescent="0.25">
      <c r="A45" s="109">
        <v>44411</v>
      </c>
      <c r="B45" s="177">
        <v>14825.72</v>
      </c>
      <c r="C45" s="178">
        <v>2330.54</v>
      </c>
      <c r="D45" s="179">
        <v>2475.5700000000002</v>
      </c>
      <c r="E45" s="191">
        <v>73.95</v>
      </c>
      <c r="F45" s="190"/>
      <c r="H45" s="215"/>
      <c r="I45" s="28"/>
      <c r="J45" s="28"/>
      <c r="K45" s="226">
        <f t="shared" si="78"/>
        <v>0</v>
      </c>
      <c r="M45" s="109">
        <v>44411</v>
      </c>
      <c r="N45" s="182">
        <v>2350.37</v>
      </c>
      <c r="O45" s="182">
        <v>1052.22</v>
      </c>
      <c r="P45" s="110"/>
      <c r="Q45" s="183"/>
      <c r="R45" s="204"/>
      <c r="S45" s="88">
        <v>27.809220000000039</v>
      </c>
      <c r="T45" s="329"/>
      <c r="U45" s="28"/>
      <c r="V45" s="226">
        <f t="shared" si="79"/>
        <v>27.809220000000039</v>
      </c>
      <c r="X45" s="109">
        <v>44411</v>
      </c>
      <c r="Y45" s="184">
        <v>3642.2</v>
      </c>
      <c r="Z45" s="185">
        <v>1628.8</v>
      </c>
      <c r="AA45" s="185"/>
      <c r="AB45" s="186">
        <v>198.78</v>
      </c>
      <c r="AC45" s="204"/>
      <c r="AD45" s="88">
        <v>13.931358000000017</v>
      </c>
      <c r="AE45" s="28"/>
      <c r="AF45" s="28"/>
      <c r="AG45" s="226">
        <f t="shared" si="80"/>
        <v>212.71135800000002</v>
      </c>
      <c r="AI45" s="109">
        <v>44411</v>
      </c>
      <c r="AJ45" s="184">
        <v>1416.19</v>
      </c>
      <c r="AK45" s="185">
        <v>398.93</v>
      </c>
      <c r="AL45" s="110"/>
      <c r="AM45" s="111"/>
      <c r="AN45" s="204"/>
      <c r="AO45" s="215"/>
      <c r="AP45" s="28"/>
      <c r="AQ45" s="28"/>
      <c r="AR45" s="226">
        <f t="shared" si="81"/>
        <v>0</v>
      </c>
      <c r="AT45" s="109">
        <v>44411</v>
      </c>
      <c r="AU45" s="185">
        <v>762.61</v>
      </c>
      <c r="AV45" s="185">
        <v>101.08</v>
      </c>
      <c r="AW45" s="110"/>
      <c r="AX45" s="186"/>
      <c r="AY45" s="204"/>
      <c r="AZ45" s="88">
        <v>216.45514300000002</v>
      </c>
      <c r="BA45" s="28"/>
      <c r="BB45" s="28"/>
      <c r="BC45" s="226">
        <f t="shared" ref="BC45:BC73" si="82">SUM(AX45:BB45)</f>
        <v>216.45514300000002</v>
      </c>
      <c r="BE45" s="109">
        <v>44411</v>
      </c>
      <c r="BF45" s="184">
        <v>3546.1</v>
      </c>
      <c r="BG45" s="185">
        <v>621.26</v>
      </c>
      <c r="BH45" s="110"/>
      <c r="BI45" s="186"/>
      <c r="BJ45" s="204"/>
      <c r="BK45" s="88">
        <v>76.960520000000002</v>
      </c>
      <c r="BL45" s="329"/>
      <c r="BM45" s="28"/>
      <c r="BN45" s="226">
        <f t="shared" ref="BN45:BN73" si="83">SUM(BI45:BM45)</f>
        <v>76.960520000000002</v>
      </c>
      <c r="BP45" s="109">
        <v>44411</v>
      </c>
      <c r="BQ45" s="185">
        <v>897.28</v>
      </c>
      <c r="BR45" s="185">
        <v>300.2</v>
      </c>
      <c r="BS45" s="110"/>
      <c r="BT45" s="187"/>
      <c r="BU45" s="204"/>
      <c r="BV45" s="215"/>
      <c r="BW45" s="28"/>
      <c r="BX45" s="28"/>
      <c r="BY45" s="226">
        <f t="shared" ref="BY45:BY73" si="84">SUM(BT45:BX45)</f>
        <v>0</v>
      </c>
      <c r="CA45" s="109">
        <v>44411</v>
      </c>
      <c r="CB45" s="184">
        <v>16483.59</v>
      </c>
      <c r="CC45" s="185">
        <v>2032.63</v>
      </c>
      <c r="CD45" s="110"/>
      <c r="CE45" s="187"/>
      <c r="CF45" s="204"/>
      <c r="CG45" s="215"/>
      <c r="CH45" s="28"/>
      <c r="CI45" s="28"/>
      <c r="CJ45" s="226">
        <f t="shared" ref="CJ45:CJ73" si="85">SUM(CE45:CI45)</f>
        <v>0</v>
      </c>
      <c r="CL45" s="109">
        <v>44411</v>
      </c>
      <c r="CM45" s="184">
        <v>5607.24</v>
      </c>
      <c r="CN45" s="185">
        <v>1115.21</v>
      </c>
      <c r="CO45" s="110"/>
      <c r="CP45" s="115"/>
      <c r="CQ45" s="204"/>
      <c r="CR45" s="88"/>
      <c r="CS45" s="328"/>
      <c r="CT45" s="28"/>
      <c r="CU45" s="226">
        <f t="shared" ref="CU45:CU73" si="86">SUM(CP45:CT45)</f>
        <v>0</v>
      </c>
      <c r="CW45" s="109">
        <v>44411</v>
      </c>
      <c r="CX45" s="184">
        <v>1638.33</v>
      </c>
      <c r="CY45" s="185">
        <v>3283.48</v>
      </c>
      <c r="CZ45" s="110"/>
      <c r="DA45" s="186">
        <v>12.52</v>
      </c>
      <c r="DB45" s="204"/>
      <c r="DC45" s="88">
        <v>3.9494999999999507</v>
      </c>
      <c r="DD45" s="329"/>
      <c r="DE45" s="28"/>
      <c r="DF45" s="226">
        <f t="shared" ref="DF45:DF73" si="87">SUM(DA45:DE45)</f>
        <v>16.46949999999995</v>
      </c>
      <c r="DH45" s="109">
        <v>44411</v>
      </c>
      <c r="DI45" s="184">
        <v>1446.08</v>
      </c>
      <c r="DJ45" s="113"/>
      <c r="DK45" s="110"/>
      <c r="DL45" s="115"/>
      <c r="DM45" s="204"/>
      <c r="DN45" s="215"/>
      <c r="DO45" s="28"/>
      <c r="DP45" s="28"/>
      <c r="DQ45" s="226">
        <f t="shared" ref="DQ45:DQ73" si="88">SUM(DL45:DP45)</f>
        <v>0</v>
      </c>
      <c r="DS45" s="109">
        <v>44411</v>
      </c>
      <c r="DT45" s="184">
        <v>1411.56</v>
      </c>
      <c r="DU45" s="185">
        <v>479.34</v>
      </c>
      <c r="DV45" s="110"/>
      <c r="DW45" s="115"/>
      <c r="DX45" s="204"/>
      <c r="DY45" s="88">
        <v>18.465041000000014</v>
      </c>
      <c r="DZ45" s="329"/>
      <c r="EA45" s="335"/>
      <c r="EB45" s="226">
        <f t="shared" ref="EB45:EB73" si="89">SUM(DW45:EA45)</f>
        <v>18.465041000000014</v>
      </c>
      <c r="ED45" s="109">
        <v>44411</v>
      </c>
      <c r="EE45" s="184">
        <v>6105.91</v>
      </c>
      <c r="EF45" s="185">
        <v>1371.02</v>
      </c>
      <c r="EG45" s="110"/>
      <c r="EH45" s="186">
        <v>44.74</v>
      </c>
      <c r="EI45" s="204"/>
      <c r="EJ45" s="88"/>
      <c r="EK45" s="28"/>
      <c r="EL45" s="28"/>
      <c r="EM45" s="226">
        <f t="shared" ref="EM45:EM73" si="90">SUM(EH45:EL45)</f>
        <v>44.74</v>
      </c>
      <c r="EO45" s="109">
        <v>44411</v>
      </c>
      <c r="EP45" s="188">
        <v>1056.42</v>
      </c>
      <c r="EQ45" s="184">
        <v>682.3</v>
      </c>
      <c r="ER45" s="110"/>
      <c r="ES45" s="115"/>
      <c r="ET45" s="204"/>
      <c r="EU45" s="215"/>
      <c r="EV45" s="28"/>
      <c r="EW45" s="28"/>
      <c r="EX45" s="226">
        <f t="shared" ref="EX45:EX73" si="91">SUM(ES45:EW45)</f>
        <v>0</v>
      </c>
    </row>
    <row r="46" spans="1:154" x14ac:dyDescent="0.25">
      <c r="A46" s="109">
        <v>44412</v>
      </c>
      <c r="B46" s="177">
        <v>17014.91</v>
      </c>
      <c r="C46" s="178">
        <v>3171.36</v>
      </c>
      <c r="D46" s="179">
        <v>2294.9</v>
      </c>
      <c r="E46" s="191">
        <v>162.91</v>
      </c>
      <c r="F46" s="190"/>
      <c r="H46" s="215"/>
      <c r="I46" s="28"/>
      <c r="J46" s="28"/>
      <c r="K46" s="226">
        <f t="shared" si="78"/>
        <v>0</v>
      </c>
      <c r="M46" s="109">
        <v>44412</v>
      </c>
      <c r="N46" s="182">
        <v>4114.92</v>
      </c>
      <c r="O46" s="182">
        <v>747.26</v>
      </c>
      <c r="P46" s="110"/>
      <c r="Q46" s="183"/>
      <c r="R46" s="204"/>
      <c r="S46" s="88">
        <v>27.576860000000025</v>
      </c>
      <c r="T46" s="329"/>
      <c r="U46" s="28"/>
      <c r="V46" s="226">
        <f t="shared" si="79"/>
        <v>27.576860000000025</v>
      </c>
      <c r="X46" s="109">
        <v>44412</v>
      </c>
      <c r="Y46" s="184">
        <v>5680.86</v>
      </c>
      <c r="Z46" s="185">
        <v>1815.53</v>
      </c>
      <c r="AA46" s="185"/>
      <c r="AB46" s="186">
        <v>244.02</v>
      </c>
      <c r="AC46" s="204"/>
      <c r="AD46" s="88">
        <v>31.179960000000051</v>
      </c>
      <c r="AE46" s="28"/>
      <c r="AF46" s="28"/>
      <c r="AG46" s="226">
        <f t="shared" si="80"/>
        <v>275.19996000000003</v>
      </c>
      <c r="AI46" s="109">
        <v>44412</v>
      </c>
      <c r="AJ46" s="184">
        <v>2723.86</v>
      </c>
      <c r="AK46" s="185">
        <v>549.75</v>
      </c>
      <c r="AL46" s="110"/>
      <c r="AM46" s="111"/>
      <c r="AN46" s="204"/>
      <c r="AO46" s="215"/>
      <c r="AP46" s="28"/>
      <c r="AQ46" s="28"/>
      <c r="AR46" s="226">
        <f t="shared" si="81"/>
        <v>0</v>
      </c>
      <c r="AT46" s="109">
        <v>44412</v>
      </c>
      <c r="AU46" s="185">
        <v>1638.6</v>
      </c>
      <c r="AV46" s="185">
        <v>126.33</v>
      </c>
      <c r="AW46" s="110"/>
      <c r="AX46" s="186">
        <v>331.5</v>
      </c>
      <c r="AY46" s="204"/>
      <c r="AZ46" s="88">
        <v>177.54027900000006</v>
      </c>
      <c r="BA46" s="28"/>
      <c r="BB46" s="28"/>
      <c r="BC46" s="226">
        <f t="shared" si="82"/>
        <v>509.04027900000006</v>
      </c>
      <c r="BE46" s="109">
        <v>44412</v>
      </c>
      <c r="BF46" s="184">
        <v>3589.85</v>
      </c>
      <c r="BG46" s="185">
        <v>673.61</v>
      </c>
      <c r="BH46" s="110"/>
      <c r="BI46" s="186"/>
      <c r="BJ46" s="204"/>
      <c r="BK46" s="88">
        <v>284.99739999999997</v>
      </c>
      <c r="BL46" s="329">
        <v>84</v>
      </c>
      <c r="BM46" s="28"/>
      <c r="BN46" s="226">
        <f t="shared" si="83"/>
        <v>368.99739999999997</v>
      </c>
      <c r="BP46" s="109">
        <v>44412</v>
      </c>
      <c r="BQ46" s="185">
        <v>247.11</v>
      </c>
      <c r="BR46" s="185">
        <v>666.29</v>
      </c>
      <c r="BS46" s="110"/>
      <c r="BT46" s="187"/>
      <c r="BU46" s="204"/>
      <c r="BV46" s="215"/>
      <c r="BW46" s="28"/>
      <c r="BX46" s="28"/>
      <c r="BY46" s="226">
        <f t="shared" si="84"/>
        <v>0</v>
      </c>
      <c r="CA46" s="109">
        <v>44412</v>
      </c>
      <c r="CB46" s="184">
        <v>16544.240000000002</v>
      </c>
      <c r="CC46" s="185">
        <v>2479.38</v>
      </c>
      <c r="CD46" s="110"/>
      <c r="CE46" s="187"/>
      <c r="CF46" s="204"/>
      <c r="CG46" s="215"/>
      <c r="CH46" s="28"/>
      <c r="CI46" s="28"/>
      <c r="CJ46" s="226">
        <f t="shared" si="85"/>
        <v>0</v>
      </c>
      <c r="CL46" s="109">
        <v>44412</v>
      </c>
      <c r="CM46" s="184">
        <v>8470.59</v>
      </c>
      <c r="CN46" s="185">
        <v>2228.1</v>
      </c>
      <c r="CO46" s="110"/>
      <c r="CP46" s="115"/>
      <c r="CQ46" s="204"/>
      <c r="CR46" s="88">
        <v>66.889900000000011</v>
      </c>
      <c r="CS46" s="328">
        <v>84.626109999999983</v>
      </c>
      <c r="CT46" s="28"/>
      <c r="CU46" s="226">
        <f t="shared" si="86"/>
        <v>151.51600999999999</v>
      </c>
      <c r="CW46" s="109">
        <v>44412</v>
      </c>
      <c r="CX46" s="184">
        <v>7251.08</v>
      </c>
      <c r="CY46" s="185">
        <v>3039.8</v>
      </c>
      <c r="CZ46" s="110"/>
      <c r="DA46" s="186">
        <v>43.83</v>
      </c>
      <c r="DB46" s="204"/>
      <c r="DC46" s="88">
        <v>-19.286860000000019</v>
      </c>
      <c r="DD46" s="329"/>
      <c r="DE46" s="28"/>
      <c r="DF46" s="226">
        <f t="shared" si="87"/>
        <v>24.54313999999998</v>
      </c>
      <c r="DH46" s="109">
        <v>44412</v>
      </c>
      <c r="DI46" s="184">
        <v>1597.37</v>
      </c>
      <c r="DJ46" s="113"/>
      <c r="DK46" s="110"/>
      <c r="DL46" s="115"/>
      <c r="DM46" s="204"/>
      <c r="DN46" s="215"/>
      <c r="DO46" s="28"/>
      <c r="DP46" s="28"/>
      <c r="DQ46" s="226">
        <f t="shared" si="88"/>
        <v>0</v>
      </c>
      <c r="DS46" s="109">
        <v>44412</v>
      </c>
      <c r="DT46" s="184">
        <v>2768.8</v>
      </c>
      <c r="DU46" s="185">
        <v>555.89</v>
      </c>
      <c r="DV46" s="110"/>
      <c r="DW46" s="115"/>
      <c r="DX46" s="204"/>
      <c r="DY46" s="88">
        <v>114.71556300000002</v>
      </c>
      <c r="DZ46" s="329">
        <v>6.299677999999993</v>
      </c>
      <c r="EA46" s="335"/>
      <c r="EB46" s="226">
        <f t="shared" si="89"/>
        <v>121.015241</v>
      </c>
      <c r="ED46" s="109">
        <v>44412</v>
      </c>
      <c r="EE46" s="184">
        <v>7569.11</v>
      </c>
      <c r="EF46" s="185">
        <v>1575.5</v>
      </c>
      <c r="EG46" s="110"/>
      <c r="EH46" s="186">
        <v>128.30000000000001</v>
      </c>
      <c r="EI46" s="204"/>
      <c r="EJ46" s="88"/>
      <c r="EK46" s="28"/>
      <c r="EL46" s="28"/>
      <c r="EM46" s="226">
        <f t="shared" si="90"/>
        <v>128.30000000000001</v>
      </c>
      <c r="EO46" s="109">
        <v>44412</v>
      </c>
      <c r="EP46" s="188">
        <v>1329.78</v>
      </c>
      <c r="EQ46" s="184">
        <v>816.21</v>
      </c>
      <c r="ER46" s="110"/>
      <c r="ES46" s="115"/>
      <c r="ET46" s="204"/>
      <c r="EU46" s="215"/>
      <c r="EV46" s="28"/>
      <c r="EW46" s="28"/>
      <c r="EX46" s="226">
        <f t="shared" si="91"/>
        <v>0</v>
      </c>
    </row>
    <row r="47" spans="1:154" x14ac:dyDescent="0.25">
      <c r="A47" s="109">
        <v>44413</v>
      </c>
      <c r="B47" s="177">
        <v>18520.84</v>
      </c>
      <c r="C47" s="178">
        <v>3599.46</v>
      </c>
      <c r="D47" s="179">
        <v>2593.38</v>
      </c>
      <c r="E47" s="191">
        <v>177.44</v>
      </c>
      <c r="F47" s="180"/>
      <c r="H47" s="215"/>
      <c r="I47" s="28"/>
      <c r="J47" s="28"/>
      <c r="K47" s="226">
        <f t="shared" si="78"/>
        <v>0</v>
      </c>
      <c r="M47" s="109">
        <v>44413</v>
      </c>
      <c r="N47" s="182">
        <v>4768.22</v>
      </c>
      <c r="O47" s="182">
        <v>603.21</v>
      </c>
      <c r="P47" s="110"/>
      <c r="Q47" s="183"/>
      <c r="R47" s="204"/>
      <c r="S47" s="88">
        <v>27.92090000000033</v>
      </c>
      <c r="T47" s="329"/>
      <c r="U47" s="28"/>
      <c r="V47" s="226">
        <f t="shared" si="79"/>
        <v>27.92090000000033</v>
      </c>
      <c r="X47" s="109">
        <v>44413</v>
      </c>
      <c r="Y47" s="184">
        <v>3709.05</v>
      </c>
      <c r="Z47" s="185">
        <v>1498.68</v>
      </c>
      <c r="AA47" s="185"/>
      <c r="AB47" s="186">
        <v>141.65</v>
      </c>
      <c r="AC47" s="204"/>
      <c r="AD47" s="88">
        <v>30.094791999999984</v>
      </c>
      <c r="AE47" s="28"/>
      <c r="AF47" s="28"/>
      <c r="AG47" s="226">
        <f t="shared" si="80"/>
        <v>171.74479199999999</v>
      </c>
      <c r="AI47" s="109">
        <v>44413</v>
      </c>
      <c r="AJ47" s="184">
        <v>4126.97</v>
      </c>
      <c r="AK47" s="185">
        <v>674.95</v>
      </c>
      <c r="AL47" s="110"/>
      <c r="AM47" s="111"/>
      <c r="AN47" s="204"/>
      <c r="AO47" s="215"/>
      <c r="AP47" s="28"/>
      <c r="AQ47" s="28"/>
      <c r="AR47" s="226">
        <f t="shared" si="81"/>
        <v>0</v>
      </c>
      <c r="AT47" s="109">
        <v>44413</v>
      </c>
      <c r="AU47" s="185">
        <v>277.7</v>
      </c>
      <c r="AV47" s="185">
        <v>103.9</v>
      </c>
      <c r="AW47" s="110"/>
      <c r="AX47" s="186"/>
      <c r="AY47" s="204"/>
      <c r="AZ47" s="88">
        <v>134.55868900000002</v>
      </c>
      <c r="BA47" s="28"/>
      <c r="BB47" s="28"/>
      <c r="BC47" s="226">
        <f t="shared" si="82"/>
        <v>134.55868900000002</v>
      </c>
      <c r="BE47" s="109">
        <v>44413</v>
      </c>
      <c r="BF47" s="184">
        <v>5105.3</v>
      </c>
      <c r="BG47" s="185">
        <v>869.99</v>
      </c>
      <c r="BH47" s="110"/>
      <c r="BI47" s="186"/>
      <c r="BJ47" s="204"/>
      <c r="BK47" s="88">
        <v>195.63205999999994</v>
      </c>
      <c r="BL47" s="329">
        <v>26.460999999999977</v>
      </c>
      <c r="BM47" s="28"/>
      <c r="BN47" s="226">
        <f t="shared" si="83"/>
        <v>222.09305999999992</v>
      </c>
      <c r="BP47" s="109">
        <v>44413</v>
      </c>
      <c r="BQ47" s="185">
        <v>1416.47</v>
      </c>
      <c r="BR47" s="185">
        <v>963.54</v>
      </c>
      <c r="BS47" s="110"/>
      <c r="BT47" s="187"/>
      <c r="BU47" s="204"/>
      <c r="BV47" s="215"/>
      <c r="BW47" s="28"/>
      <c r="BX47" s="28"/>
      <c r="BY47" s="226">
        <f t="shared" si="84"/>
        <v>0</v>
      </c>
      <c r="CA47" s="109">
        <v>44413</v>
      </c>
      <c r="CB47" s="184">
        <v>16232.97</v>
      </c>
      <c r="CC47" s="185">
        <v>1905.21</v>
      </c>
      <c r="CD47" s="110"/>
      <c r="CE47" s="187"/>
      <c r="CF47" s="204"/>
      <c r="CG47" s="215"/>
      <c r="CH47" s="28"/>
      <c r="CI47" s="28"/>
      <c r="CJ47" s="226">
        <f t="shared" si="85"/>
        <v>0</v>
      </c>
      <c r="CL47" s="109">
        <v>44413</v>
      </c>
      <c r="CM47" s="184">
        <v>10869.63</v>
      </c>
      <c r="CN47" s="185">
        <v>2057.4</v>
      </c>
      <c r="CO47" s="110"/>
      <c r="CP47" s="115"/>
      <c r="CQ47" s="204"/>
      <c r="CR47" s="88"/>
      <c r="CS47" s="328">
        <v>104.77955000000003</v>
      </c>
      <c r="CT47" s="28"/>
      <c r="CU47" s="226">
        <f t="shared" si="86"/>
        <v>104.77955000000003</v>
      </c>
      <c r="CW47" s="109">
        <v>44413</v>
      </c>
      <c r="CX47" s="184">
        <v>5776.06</v>
      </c>
      <c r="CY47" s="185">
        <v>1637.42</v>
      </c>
      <c r="CZ47" s="110"/>
      <c r="DA47" s="186">
        <v>7.4</v>
      </c>
      <c r="DB47" s="204"/>
      <c r="DC47" s="88">
        <v>43.651249999999983</v>
      </c>
      <c r="DD47" s="329"/>
      <c r="DE47" s="28"/>
      <c r="DF47" s="226">
        <f t="shared" si="87"/>
        <v>51.051249999999982</v>
      </c>
      <c r="DH47" s="109">
        <v>44413</v>
      </c>
      <c r="DI47" s="184">
        <v>1713.13</v>
      </c>
      <c r="DJ47" s="113"/>
      <c r="DK47" s="110"/>
      <c r="DL47" s="115"/>
      <c r="DM47" s="204"/>
      <c r="DN47" s="215"/>
      <c r="DO47" s="28"/>
      <c r="DP47" s="28"/>
      <c r="DQ47" s="226">
        <f t="shared" si="88"/>
        <v>0</v>
      </c>
      <c r="DS47" s="109">
        <v>44413</v>
      </c>
      <c r="DT47" s="184">
        <v>4073.39</v>
      </c>
      <c r="DU47" s="185">
        <v>645.85</v>
      </c>
      <c r="DV47" s="110"/>
      <c r="DW47" s="115"/>
      <c r="DX47" s="204"/>
      <c r="DY47" s="88">
        <v>56.877433000000067</v>
      </c>
      <c r="DZ47" s="329">
        <v>389.459383</v>
      </c>
      <c r="EA47" s="335"/>
      <c r="EB47" s="226">
        <f t="shared" si="89"/>
        <v>446.33681600000006</v>
      </c>
      <c r="ED47" s="109">
        <v>44413</v>
      </c>
      <c r="EE47" s="184">
        <v>6084.31</v>
      </c>
      <c r="EF47" s="185">
        <v>1969.38</v>
      </c>
      <c r="EG47" s="110"/>
      <c r="EH47" s="186">
        <v>111.05</v>
      </c>
      <c r="EI47" s="204"/>
      <c r="EJ47" s="88"/>
      <c r="EK47" s="28"/>
      <c r="EL47" s="28"/>
      <c r="EM47" s="226">
        <f t="shared" si="90"/>
        <v>111.05</v>
      </c>
      <c r="EO47" s="109">
        <v>44413</v>
      </c>
      <c r="EP47" s="188">
        <v>802.77</v>
      </c>
      <c r="EQ47" s="184">
        <v>506.84</v>
      </c>
      <c r="ER47" s="110"/>
      <c r="ES47" s="115"/>
      <c r="ET47" s="204"/>
      <c r="EU47" s="215"/>
      <c r="EV47" s="28"/>
      <c r="EW47" s="28"/>
      <c r="EX47" s="226">
        <f t="shared" si="91"/>
        <v>0</v>
      </c>
    </row>
    <row r="48" spans="1:154" x14ac:dyDescent="0.25">
      <c r="A48" s="109">
        <v>44414</v>
      </c>
      <c r="B48" s="177">
        <v>16047.95</v>
      </c>
      <c r="C48" s="178">
        <v>3323.74</v>
      </c>
      <c r="D48" s="179">
        <v>2682.14</v>
      </c>
      <c r="E48" s="191">
        <v>66.319999999999993</v>
      </c>
      <c r="F48" s="190"/>
      <c r="H48" s="215"/>
      <c r="I48" s="28"/>
      <c r="J48" s="28"/>
      <c r="K48" s="226">
        <f t="shared" si="78"/>
        <v>0</v>
      </c>
      <c r="M48" s="109">
        <v>44414</v>
      </c>
      <c r="N48" s="182">
        <v>4765.88</v>
      </c>
      <c r="O48" s="182">
        <v>727.9</v>
      </c>
      <c r="P48" s="110"/>
      <c r="Q48" s="183"/>
      <c r="R48" s="204"/>
      <c r="S48" s="88">
        <v>58.575199999999981</v>
      </c>
      <c r="T48" s="329"/>
      <c r="U48" s="28"/>
      <c r="V48" s="226">
        <f t="shared" si="79"/>
        <v>58.575199999999981</v>
      </c>
      <c r="X48" s="109">
        <v>44414</v>
      </c>
      <c r="Y48" s="184">
        <v>3545.09</v>
      </c>
      <c r="Z48" s="185">
        <v>1324.6</v>
      </c>
      <c r="AA48" s="185"/>
      <c r="AB48" s="186">
        <v>141.35</v>
      </c>
      <c r="AC48" s="204"/>
      <c r="AD48" s="88">
        <v>5.2141739999999857</v>
      </c>
      <c r="AE48" s="28"/>
      <c r="AF48" s="28"/>
      <c r="AG48" s="226">
        <f t="shared" si="80"/>
        <v>146.56417399999998</v>
      </c>
      <c r="AI48" s="109">
        <v>44414</v>
      </c>
      <c r="AJ48" s="184">
        <v>3713.89</v>
      </c>
      <c r="AK48" s="185">
        <v>629.22</v>
      </c>
      <c r="AL48" s="110"/>
      <c r="AM48" s="111"/>
      <c r="AN48" s="204"/>
      <c r="AO48" s="215"/>
      <c r="AP48" s="28"/>
      <c r="AQ48" s="28"/>
      <c r="AR48" s="226">
        <f t="shared" si="81"/>
        <v>0</v>
      </c>
      <c r="AT48" s="109">
        <v>44414</v>
      </c>
      <c r="AU48" s="185">
        <v>505.54</v>
      </c>
      <c r="AV48" s="185">
        <v>0</v>
      </c>
      <c r="AW48" s="110"/>
      <c r="AX48" s="186"/>
      <c r="AY48" s="204"/>
      <c r="AZ48" s="88">
        <v>177.09768700000004</v>
      </c>
      <c r="BA48" s="28"/>
      <c r="BB48" s="28"/>
      <c r="BC48" s="226">
        <f t="shared" si="82"/>
        <v>177.09768700000004</v>
      </c>
      <c r="BE48" s="109">
        <v>44414</v>
      </c>
      <c r="BF48" s="184">
        <v>3479.04</v>
      </c>
      <c r="BG48" s="185">
        <v>705.63</v>
      </c>
      <c r="BH48" s="110"/>
      <c r="BI48" s="186"/>
      <c r="BJ48" s="204"/>
      <c r="BK48" s="88">
        <v>173.95565999999999</v>
      </c>
      <c r="BL48" s="329"/>
      <c r="BM48" s="28"/>
      <c r="BN48" s="226">
        <f t="shared" si="83"/>
        <v>173.95565999999999</v>
      </c>
      <c r="BP48" s="109">
        <v>44414</v>
      </c>
      <c r="BQ48" s="185">
        <v>160</v>
      </c>
      <c r="BR48" s="185">
        <v>433.76</v>
      </c>
      <c r="BS48" s="110"/>
      <c r="BT48" s="187"/>
      <c r="BU48" s="204"/>
      <c r="BV48" s="215"/>
      <c r="BW48" s="28"/>
      <c r="BX48" s="28"/>
      <c r="BY48" s="226">
        <f t="shared" si="84"/>
        <v>0</v>
      </c>
      <c r="CA48" s="109">
        <v>44414</v>
      </c>
      <c r="CB48" s="184">
        <v>16954.919999999998</v>
      </c>
      <c r="CC48" s="185">
        <v>2237.44</v>
      </c>
      <c r="CD48" s="110"/>
      <c r="CE48" s="187"/>
      <c r="CF48" s="204"/>
      <c r="CG48" s="215"/>
      <c r="CH48" s="28"/>
      <c r="CI48" s="28"/>
      <c r="CJ48" s="226">
        <f t="shared" si="85"/>
        <v>0</v>
      </c>
      <c r="CL48" s="109">
        <v>44414</v>
      </c>
      <c r="CM48" s="184">
        <v>6921.21</v>
      </c>
      <c r="CN48" s="185">
        <v>1612.09</v>
      </c>
      <c r="CO48" s="110"/>
      <c r="CP48" s="115"/>
      <c r="CQ48" s="204"/>
      <c r="CR48" s="88"/>
      <c r="CS48" s="328"/>
      <c r="CT48" s="28"/>
      <c r="CU48" s="226">
        <f t="shared" si="86"/>
        <v>0</v>
      </c>
      <c r="CW48" s="109">
        <v>44414</v>
      </c>
      <c r="CX48" s="184">
        <v>9294.31</v>
      </c>
      <c r="CY48" s="185">
        <v>2523.12</v>
      </c>
      <c r="CZ48" s="110"/>
      <c r="DA48" s="186">
        <v>10.55</v>
      </c>
      <c r="DB48" s="204"/>
      <c r="DC48" s="88">
        <v>2.7136799999999681</v>
      </c>
      <c r="DD48" s="329">
        <v>5.4214699999998857</v>
      </c>
      <c r="DE48" s="28"/>
      <c r="DF48" s="226">
        <f t="shared" si="87"/>
        <v>18.685149999999854</v>
      </c>
      <c r="DH48" s="109">
        <v>44414</v>
      </c>
      <c r="DI48" s="184">
        <v>1615.04</v>
      </c>
      <c r="DJ48" s="113"/>
      <c r="DK48" s="110"/>
      <c r="DL48" s="115"/>
      <c r="DM48" s="204"/>
      <c r="DN48" s="215"/>
      <c r="DO48" s="28"/>
      <c r="DP48" s="28"/>
      <c r="DQ48" s="226">
        <f t="shared" si="88"/>
        <v>0</v>
      </c>
      <c r="DS48" s="109">
        <v>44414</v>
      </c>
      <c r="DT48" s="184">
        <v>1247.78</v>
      </c>
      <c r="DU48" s="185">
        <v>434.72</v>
      </c>
      <c r="DV48" s="110"/>
      <c r="DW48" s="115"/>
      <c r="DX48" s="204"/>
      <c r="DY48" s="88">
        <v>3.5500000000000114</v>
      </c>
      <c r="DZ48" s="329"/>
      <c r="EA48" s="335"/>
      <c r="EB48" s="226">
        <f t="shared" si="89"/>
        <v>3.5500000000000114</v>
      </c>
      <c r="ED48" s="109">
        <v>44414</v>
      </c>
      <c r="EE48" s="184">
        <v>6384.03</v>
      </c>
      <c r="EF48" s="185">
        <v>1356.22</v>
      </c>
      <c r="EG48" s="110"/>
      <c r="EH48" s="186">
        <v>56.38</v>
      </c>
      <c r="EI48" s="204"/>
      <c r="EJ48" s="88"/>
      <c r="EK48" s="28"/>
      <c r="EL48" s="28"/>
      <c r="EM48" s="226">
        <f t="shared" si="90"/>
        <v>56.38</v>
      </c>
      <c r="EO48" s="109">
        <v>44414</v>
      </c>
      <c r="EP48" s="188">
        <v>785.35</v>
      </c>
      <c r="EQ48" s="184">
        <v>714.4</v>
      </c>
      <c r="ER48" s="110"/>
      <c r="ES48" s="115"/>
      <c r="ET48" s="204"/>
      <c r="EU48" s="215"/>
      <c r="EV48" s="28"/>
      <c r="EW48" s="28"/>
      <c r="EX48" s="226">
        <f t="shared" si="91"/>
        <v>0</v>
      </c>
    </row>
    <row r="49" spans="1:154" x14ac:dyDescent="0.25">
      <c r="A49" s="109">
        <v>44415</v>
      </c>
      <c r="B49" s="177">
        <v>20375.84</v>
      </c>
      <c r="C49" s="178">
        <v>2585.48</v>
      </c>
      <c r="D49" s="179">
        <v>3908.03</v>
      </c>
      <c r="E49" s="191">
        <v>190.16</v>
      </c>
      <c r="F49" s="190"/>
      <c r="H49" s="215"/>
      <c r="I49" s="28"/>
      <c r="J49" s="28"/>
      <c r="K49" s="226">
        <f t="shared" si="78"/>
        <v>0</v>
      </c>
      <c r="M49" s="109">
        <v>44415</v>
      </c>
      <c r="N49" s="182">
        <v>5668.49</v>
      </c>
      <c r="O49" s="182">
        <v>525.99</v>
      </c>
      <c r="P49" s="110"/>
      <c r="Q49" s="183"/>
      <c r="R49" s="204"/>
      <c r="S49" s="88">
        <v>21.588359999999994</v>
      </c>
      <c r="T49" s="329"/>
      <c r="U49" s="28"/>
      <c r="V49" s="226">
        <f t="shared" si="79"/>
        <v>21.588359999999994</v>
      </c>
      <c r="X49" s="109">
        <v>44415</v>
      </c>
      <c r="Y49" s="184">
        <v>4056.4</v>
      </c>
      <c r="Z49" s="185">
        <v>1750.37</v>
      </c>
      <c r="AA49" s="185"/>
      <c r="AB49" s="186">
        <v>159.6</v>
      </c>
      <c r="AC49" s="204"/>
      <c r="AD49" s="88">
        <v>121.24000000000007</v>
      </c>
      <c r="AE49" s="28"/>
      <c r="AF49" s="28"/>
      <c r="AG49" s="226">
        <f t="shared" si="80"/>
        <v>280.84000000000003</v>
      </c>
      <c r="AI49" s="109">
        <v>44415</v>
      </c>
      <c r="AJ49" s="184">
        <v>2383.04</v>
      </c>
      <c r="AK49" s="185">
        <v>417.36</v>
      </c>
      <c r="AL49" s="110"/>
      <c r="AM49" s="111"/>
      <c r="AN49" s="204"/>
      <c r="AO49" s="215"/>
      <c r="AP49" s="28"/>
      <c r="AQ49" s="28"/>
      <c r="AR49" s="226">
        <f t="shared" si="81"/>
        <v>0</v>
      </c>
      <c r="AT49" s="109">
        <v>44415</v>
      </c>
      <c r="AU49" s="185">
        <v>555</v>
      </c>
      <c r="AV49" s="185">
        <v>0</v>
      </c>
      <c r="AW49" s="110"/>
      <c r="AX49" s="186"/>
      <c r="AY49" s="204"/>
      <c r="AZ49" s="88">
        <v>79.733115000000026</v>
      </c>
      <c r="BA49" s="28"/>
      <c r="BB49" s="28"/>
      <c r="BC49" s="226">
        <f t="shared" si="82"/>
        <v>79.733115000000026</v>
      </c>
      <c r="BE49" s="109">
        <v>44415</v>
      </c>
      <c r="BF49" s="184">
        <v>3514.61</v>
      </c>
      <c r="BG49" s="185">
        <v>858.03</v>
      </c>
      <c r="BH49" s="110"/>
      <c r="BI49" s="186"/>
      <c r="BJ49" s="204"/>
      <c r="BK49" s="88">
        <v>190.93773999999996</v>
      </c>
      <c r="BL49" s="329">
        <v>113.56941999999997</v>
      </c>
      <c r="BM49" s="28"/>
      <c r="BN49" s="226">
        <f t="shared" si="83"/>
        <v>304.50715999999994</v>
      </c>
      <c r="BP49" s="109">
        <v>44415</v>
      </c>
      <c r="BQ49" s="185">
        <v>874.37</v>
      </c>
      <c r="BR49" s="185">
        <v>480.31</v>
      </c>
      <c r="BS49" s="110"/>
      <c r="BT49" s="187"/>
      <c r="BU49" s="204"/>
      <c r="BV49" s="215"/>
      <c r="BW49" s="28"/>
      <c r="BX49" s="28"/>
      <c r="BY49" s="226">
        <f t="shared" si="84"/>
        <v>0</v>
      </c>
      <c r="CA49" s="109">
        <v>44415</v>
      </c>
      <c r="CB49" s="184">
        <v>15637.03</v>
      </c>
      <c r="CC49" s="185">
        <v>2121.27</v>
      </c>
      <c r="CD49" s="110"/>
      <c r="CE49" s="187"/>
      <c r="CF49" s="204"/>
      <c r="CG49" s="215"/>
      <c r="CH49" s="28"/>
      <c r="CI49" s="28"/>
      <c r="CJ49" s="226">
        <f t="shared" si="85"/>
        <v>0</v>
      </c>
      <c r="CL49" s="109">
        <v>44415</v>
      </c>
      <c r="CM49" s="184">
        <v>8641.4699999999993</v>
      </c>
      <c r="CN49" s="185">
        <v>1702.98</v>
      </c>
      <c r="CO49" s="110"/>
      <c r="CP49" s="115"/>
      <c r="CQ49" s="204"/>
      <c r="CR49" s="88"/>
      <c r="CS49" s="328">
        <v>2.7045400000000015</v>
      </c>
      <c r="CT49" s="28"/>
      <c r="CU49" s="226">
        <f t="shared" si="86"/>
        <v>2.7045400000000015</v>
      </c>
      <c r="CW49" s="109">
        <v>44415</v>
      </c>
      <c r="CX49" s="184">
        <v>4659.32</v>
      </c>
      <c r="CY49" s="185">
        <v>2437.12</v>
      </c>
      <c r="CZ49" s="110"/>
      <c r="DA49" s="186">
        <v>16</v>
      </c>
      <c r="DB49" s="204"/>
      <c r="DC49" s="88">
        <v>59.777579999999944</v>
      </c>
      <c r="DD49" s="329"/>
      <c r="DE49" s="28"/>
      <c r="DF49" s="226">
        <f t="shared" si="87"/>
        <v>75.777579999999944</v>
      </c>
      <c r="DH49" s="109">
        <v>44415</v>
      </c>
      <c r="DI49" s="184">
        <v>877.01</v>
      </c>
      <c r="DJ49" s="113"/>
      <c r="DK49" s="110"/>
      <c r="DL49" s="115"/>
      <c r="DM49" s="204"/>
      <c r="DN49" s="215"/>
      <c r="DO49" s="28"/>
      <c r="DP49" s="28"/>
      <c r="DQ49" s="226">
        <f t="shared" si="88"/>
        <v>0</v>
      </c>
      <c r="DS49" s="109">
        <v>44415</v>
      </c>
      <c r="DT49" s="184">
        <v>1442.01</v>
      </c>
      <c r="DU49" s="185">
        <v>510.81</v>
      </c>
      <c r="DV49" s="110"/>
      <c r="DW49" s="115"/>
      <c r="DX49" s="204"/>
      <c r="DY49" s="88">
        <v>22.372100000000046</v>
      </c>
      <c r="DZ49" s="329">
        <v>226.91000000000031</v>
      </c>
      <c r="EA49" s="335">
        <v>10.010323560000018</v>
      </c>
      <c r="EB49" s="226">
        <f t="shared" si="89"/>
        <v>259.29242356000037</v>
      </c>
      <c r="ED49" s="109">
        <v>44415</v>
      </c>
      <c r="EE49" s="184">
        <v>6502.3</v>
      </c>
      <c r="EF49" s="185">
        <v>2094.4</v>
      </c>
      <c r="EG49" s="110"/>
      <c r="EH49" s="186">
        <v>99.13</v>
      </c>
      <c r="EI49" s="204"/>
      <c r="EJ49" s="88"/>
      <c r="EK49" s="28"/>
      <c r="EL49" s="28"/>
      <c r="EM49" s="226">
        <f t="shared" si="90"/>
        <v>99.13</v>
      </c>
      <c r="EO49" s="109">
        <v>44415</v>
      </c>
      <c r="EP49" s="188">
        <v>1099.5899999999999</v>
      </c>
      <c r="EQ49" s="184">
        <v>867.2</v>
      </c>
      <c r="ER49" s="110"/>
      <c r="ES49" s="115"/>
      <c r="ET49" s="204"/>
      <c r="EU49" s="215"/>
      <c r="EV49" s="28"/>
      <c r="EW49" s="28"/>
      <c r="EX49" s="226">
        <f t="shared" si="91"/>
        <v>0</v>
      </c>
    </row>
    <row r="50" spans="1:154" x14ac:dyDescent="0.25">
      <c r="A50" s="109">
        <v>44416</v>
      </c>
      <c r="B50" s="177">
        <v>18516.39</v>
      </c>
      <c r="C50" s="178">
        <v>3981.17</v>
      </c>
      <c r="D50" s="179">
        <v>2853.91</v>
      </c>
      <c r="E50" s="191">
        <v>160.63999999999999</v>
      </c>
      <c r="F50" s="190"/>
      <c r="H50" s="215"/>
      <c r="I50" s="28"/>
      <c r="J50" s="28"/>
      <c r="K50" s="226">
        <f t="shared" si="78"/>
        <v>0</v>
      </c>
      <c r="M50" s="109">
        <v>44416</v>
      </c>
      <c r="N50" s="182">
        <v>3933.03</v>
      </c>
      <c r="O50" s="182">
        <v>678.48</v>
      </c>
      <c r="P50" s="110"/>
      <c r="Q50" s="183"/>
      <c r="R50" s="204"/>
      <c r="S50" s="88">
        <v>23.164070000000052</v>
      </c>
      <c r="T50" s="329"/>
      <c r="U50" s="28"/>
      <c r="V50" s="226">
        <f t="shared" si="79"/>
        <v>23.164070000000052</v>
      </c>
      <c r="X50" s="109">
        <v>44416</v>
      </c>
      <c r="Y50" s="184">
        <v>4653.63</v>
      </c>
      <c r="Z50" s="185">
        <v>1404.07</v>
      </c>
      <c r="AA50" s="185"/>
      <c r="AB50" s="186">
        <v>113.74</v>
      </c>
      <c r="AC50" s="204"/>
      <c r="AD50" s="88">
        <v>36.300000000000026</v>
      </c>
      <c r="AE50" s="28"/>
      <c r="AF50" s="28"/>
      <c r="AG50" s="226">
        <f t="shared" si="80"/>
        <v>150.04000000000002</v>
      </c>
      <c r="AI50" s="109">
        <v>44416</v>
      </c>
      <c r="AJ50" s="184">
        <v>3141.69</v>
      </c>
      <c r="AK50" s="185">
        <v>388.61</v>
      </c>
      <c r="AL50" s="110"/>
      <c r="AM50" s="111"/>
      <c r="AN50" s="204"/>
      <c r="AO50" s="215"/>
      <c r="AP50" s="28"/>
      <c r="AQ50" s="28"/>
      <c r="AR50" s="226">
        <f t="shared" si="81"/>
        <v>0</v>
      </c>
      <c r="AT50" s="109">
        <v>44416</v>
      </c>
      <c r="AU50" s="185">
        <v>582.75</v>
      </c>
      <c r="AV50" s="185">
        <v>73.91</v>
      </c>
      <c r="AW50" s="110"/>
      <c r="AX50" s="186"/>
      <c r="AY50" s="204"/>
      <c r="AZ50" s="88">
        <v>128.68689899999998</v>
      </c>
      <c r="BA50" s="28"/>
      <c r="BB50" s="28"/>
      <c r="BC50" s="226">
        <f t="shared" si="82"/>
        <v>128.68689899999998</v>
      </c>
      <c r="BE50" s="109">
        <v>44416</v>
      </c>
      <c r="BF50" s="184">
        <v>4914.67</v>
      </c>
      <c r="BG50" s="185">
        <v>619.20000000000005</v>
      </c>
      <c r="BH50" s="110"/>
      <c r="BI50" s="186">
        <v>47.34</v>
      </c>
      <c r="BJ50" s="204"/>
      <c r="BK50" s="88">
        <v>164.87558000000001</v>
      </c>
      <c r="BL50" s="329"/>
      <c r="BM50" s="28"/>
      <c r="BN50" s="226">
        <f t="shared" si="83"/>
        <v>212.21558000000002</v>
      </c>
      <c r="BP50" s="109">
        <v>44416</v>
      </c>
      <c r="BQ50" s="185">
        <v>951.73</v>
      </c>
      <c r="BR50" s="185">
        <v>312.63</v>
      </c>
      <c r="BS50" s="110"/>
      <c r="BT50" s="187"/>
      <c r="BU50" s="204"/>
      <c r="BV50" s="215"/>
      <c r="BW50" s="28"/>
      <c r="BX50" s="28"/>
      <c r="BY50" s="226">
        <f t="shared" si="84"/>
        <v>0</v>
      </c>
      <c r="CA50" s="109">
        <v>44416</v>
      </c>
      <c r="CB50" s="184">
        <v>16563.650000000001</v>
      </c>
      <c r="CC50" s="185">
        <v>2052.46</v>
      </c>
      <c r="CD50" s="110"/>
      <c r="CE50" s="187"/>
      <c r="CF50" s="204"/>
      <c r="CG50" s="215"/>
      <c r="CH50" s="28"/>
      <c r="CI50" s="28"/>
      <c r="CJ50" s="226">
        <f t="shared" si="85"/>
        <v>0</v>
      </c>
      <c r="CL50" s="109">
        <v>44416</v>
      </c>
      <c r="CM50" s="184">
        <v>9113.31</v>
      </c>
      <c r="CN50" s="185">
        <v>2199.06</v>
      </c>
      <c r="CO50" s="110"/>
      <c r="CP50" s="115"/>
      <c r="CQ50" s="204"/>
      <c r="CR50" s="88">
        <v>176.53443999999996</v>
      </c>
      <c r="CS50" s="328"/>
      <c r="CT50" s="28"/>
      <c r="CU50" s="226">
        <f t="shared" si="86"/>
        <v>176.53443999999996</v>
      </c>
      <c r="CW50" s="109">
        <v>44416</v>
      </c>
      <c r="CX50" s="184">
        <v>6952.31</v>
      </c>
      <c r="CY50" s="185">
        <v>2244.59</v>
      </c>
      <c r="CZ50" s="110"/>
      <c r="DA50" s="186">
        <v>38.840000000000003</v>
      </c>
      <c r="DB50" s="204"/>
      <c r="DC50" s="88">
        <v>-3.2691899999998455</v>
      </c>
      <c r="DD50" s="329">
        <v>25.682210000000168</v>
      </c>
      <c r="DE50" s="28"/>
      <c r="DF50" s="226">
        <f t="shared" si="87"/>
        <v>61.253020000000326</v>
      </c>
      <c r="DH50" s="109">
        <v>44416</v>
      </c>
      <c r="DI50" s="184">
        <v>1438.01</v>
      </c>
      <c r="DJ50" s="113"/>
      <c r="DK50" s="110"/>
      <c r="DL50" s="115"/>
      <c r="DM50" s="204"/>
      <c r="DN50" s="215"/>
      <c r="DO50" s="28"/>
      <c r="DP50" s="28"/>
      <c r="DQ50" s="226">
        <f t="shared" si="88"/>
        <v>0</v>
      </c>
      <c r="DS50" s="109">
        <v>44416</v>
      </c>
      <c r="DT50" s="184">
        <v>2460.38</v>
      </c>
      <c r="DU50" s="185">
        <v>353.84</v>
      </c>
      <c r="DV50" s="110"/>
      <c r="DW50" s="115"/>
      <c r="DX50" s="204"/>
      <c r="DY50" s="88">
        <v>55.067925000000002</v>
      </c>
      <c r="DZ50" s="329">
        <v>269.22121000000027</v>
      </c>
      <c r="EA50" s="335">
        <v>10.337198999999998</v>
      </c>
      <c r="EB50" s="226">
        <f t="shared" si="89"/>
        <v>334.62633400000027</v>
      </c>
      <c r="ED50" s="109">
        <v>44416</v>
      </c>
      <c r="EE50" s="184">
        <v>7162.9</v>
      </c>
      <c r="EF50" s="185">
        <v>1769.8</v>
      </c>
      <c r="EG50" s="110"/>
      <c r="EH50" s="186">
        <v>92.65</v>
      </c>
      <c r="EI50" s="204"/>
      <c r="EJ50" s="88"/>
      <c r="EK50" s="28"/>
      <c r="EL50" s="28"/>
      <c r="EM50" s="226">
        <f t="shared" si="90"/>
        <v>92.65</v>
      </c>
      <c r="EO50" s="109">
        <v>44416</v>
      </c>
      <c r="EP50" s="188">
        <v>990.93</v>
      </c>
      <c r="EQ50" s="184">
        <v>1215.45</v>
      </c>
      <c r="ER50" s="110"/>
      <c r="ES50" s="115"/>
      <c r="ET50" s="204"/>
      <c r="EU50" s="215"/>
      <c r="EV50" s="28"/>
      <c r="EW50" s="28"/>
      <c r="EX50" s="226">
        <f t="shared" si="91"/>
        <v>0</v>
      </c>
    </row>
    <row r="51" spans="1:154" x14ac:dyDescent="0.25">
      <c r="A51" s="109">
        <v>44417</v>
      </c>
      <c r="B51" s="177">
        <v>20823.310000000001</v>
      </c>
      <c r="C51" s="178">
        <v>3899.2</v>
      </c>
      <c r="D51" s="179">
        <v>3075.48</v>
      </c>
      <c r="E51" s="181">
        <v>147.11000000000001</v>
      </c>
      <c r="F51" s="180"/>
      <c r="H51" s="215"/>
      <c r="I51" s="28"/>
      <c r="J51" s="28"/>
      <c r="K51" s="226">
        <f t="shared" si="78"/>
        <v>0</v>
      </c>
      <c r="M51" s="109">
        <v>44417</v>
      </c>
      <c r="N51" s="182">
        <v>3000.83</v>
      </c>
      <c r="O51" s="182">
        <v>1191.42</v>
      </c>
      <c r="P51" s="110"/>
      <c r="Q51" s="183"/>
      <c r="R51" s="204"/>
      <c r="S51" s="88">
        <v>-3.8779999999999575</v>
      </c>
      <c r="T51" s="329"/>
      <c r="U51" s="28"/>
      <c r="V51" s="226">
        <f t="shared" si="79"/>
        <v>-3.8779999999999575</v>
      </c>
      <c r="X51" s="109">
        <v>44417</v>
      </c>
      <c r="Y51" s="184">
        <v>5152.84</v>
      </c>
      <c r="Z51" s="185">
        <v>2456.84</v>
      </c>
      <c r="AA51" s="185"/>
      <c r="AB51" s="186">
        <v>122.13</v>
      </c>
      <c r="AC51" s="204"/>
      <c r="AD51" s="88">
        <v>9.8126280000000179</v>
      </c>
      <c r="AE51" s="28"/>
      <c r="AF51" s="28"/>
      <c r="AG51" s="226">
        <f t="shared" si="80"/>
        <v>131.94262800000001</v>
      </c>
      <c r="AI51" s="109">
        <v>44417</v>
      </c>
      <c r="AJ51" s="184">
        <v>2307.36</v>
      </c>
      <c r="AK51" s="185">
        <v>633.33000000000004</v>
      </c>
      <c r="AL51" s="110"/>
      <c r="AM51" s="111"/>
      <c r="AN51" s="204"/>
      <c r="AO51" s="215"/>
      <c r="AP51" s="28"/>
      <c r="AQ51" s="28"/>
      <c r="AR51" s="226">
        <f t="shared" si="81"/>
        <v>0</v>
      </c>
      <c r="AT51" s="109">
        <v>44417</v>
      </c>
      <c r="AU51" s="185">
        <v>560</v>
      </c>
      <c r="AV51" s="185">
        <v>149.82</v>
      </c>
      <c r="AW51" s="110"/>
      <c r="AX51" s="186">
        <v>114.4</v>
      </c>
      <c r="AY51" s="204"/>
      <c r="AZ51" s="88">
        <v>247.55504400000012</v>
      </c>
      <c r="BA51" s="28"/>
      <c r="BB51" s="28"/>
      <c r="BC51" s="226">
        <f t="shared" si="82"/>
        <v>361.95504400000016</v>
      </c>
      <c r="BE51" s="109">
        <v>44417</v>
      </c>
      <c r="BF51" s="184">
        <v>3364.86</v>
      </c>
      <c r="BG51" s="185">
        <v>951.03</v>
      </c>
      <c r="BH51" s="110"/>
      <c r="BI51" s="186"/>
      <c r="BJ51" s="204"/>
      <c r="BK51" s="88">
        <v>270.55850999999996</v>
      </c>
      <c r="BL51" s="329"/>
      <c r="BM51" s="28"/>
      <c r="BN51" s="226">
        <f t="shared" si="83"/>
        <v>270.55850999999996</v>
      </c>
      <c r="BP51" s="109">
        <v>44417</v>
      </c>
      <c r="BQ51" s="185">
        <v>527.26</v>
      </c>
      <c r="BR51" s="185">
        <v>232.81</v>
      </c>
      <c r="BS51" s="110"/>
      <c r="BT51" s="187"/>
      <c r="BU51" s="204"/>
      <c r="BV51" s="215"/>
      <c r="BW51" s="28"/>
      <c r="BX51" s="28"/>
      <c r="BY51" s="226">
        <f t="shared" si="84"/>
        <v>0</v>
      </c>
      <c r="CA51" s="109">
        <v>44417</v>
      </c>
      <c r="CB51" s="184">
        <v>17701.349999999999</v>
      </c>
      <c r="CC51" s="185">
        <v>2866.52</v>
      </c>
      <c r="CD51" s="110"/>
      <c r="CE51" s="187"/>
      <c r="CF51" s="204"/>
      <c r="CG51" s="215"/>
      <c r="CH51" s="28"/>
      <c r="CI51" s="28"/>
      <c r="CJ51" s="226">
        <f t="shared" si="85"/>
        <v>0</v>
      </c>
      <c r="CL51" s="109">
        <v>44417</v>
      </c>
      <c r="CM51" s="184">
        <v>7122.77</v>
      </c>
      <c r="CN51" s="185">
        <v>2115.3200000000002</v>
      </c>
      <c r="CO51" s="110"/>
      <c r="CP51" s="115"/>
      <c r="CQ51" s="204"/>
      <c r="CR51" s="88">
        <v>15.500000000000007</v>
      </c>
      <c r="CS51" s="328"/>
      <c r="CT51" s="28"/>
      <c r="CU51" s="226">
        <f t="shared" si="86"/>
        <v>15.500000000000007</v>
      </c>
      <c r="CW51" s="109">
        <v>44417</v>
      </c>
      <c r="CX51" s="184">
        <v>6815.03</v>
      </c>
      <c r="CY51" s="185">
        <v>2300.9299999999998</v>
      </c>
      <c r="CZ51" s="110"/>
      <c r="DA51" s="186">
        <v>0</v>
      </c>
      <c r="DB51" s="204"/>
      <c r="DC51" s="88">
        <v>38.855509999999995</v>
      </c>
      <c r="DD51" s="329"/>
      <c r="DE51" s="28"/>
      <c r="DF51" s="226">
        <f t="shared" si="87"/>
        <v>38.855509999999995</v>
      </c>
      <c r="DH51" s="109">
        <v>44417</v>
      </c>
      <c r="DI51" s="184">
        <v>2253.63</v>
      </c>
      <c r="DJ51" s="113"/>
      <c r="DK51" s="110"/>
      <c r="DL51" s="115"/>
      <c r="DM51" s="204"/>
      <c r="DN51" s="215"/>
      <c r="DO51" s="28"/>
      <c r="DP51" s="28"/>
      <c r="DQ51" s="226">
        <f t="shared" si="88"/>
        <v>0</v>
      </c>
      <c r="DS51" s="109">
        <v>44417</v>
      </c>
      <c r="DT51" s="184">
        <v>480.03</v>
      </c>
      <c r="DU51" s="185">
        <v>333.97</v>
      </c>
      <c r="DV51" s="110"/>
      <c r="DW51" s="115"/>
      <c r="DX51" s="204"/>
      <c r="DY51" s="88">
        <v>65.023250000000075</v>
      </c>
      <c r="DZ51" s="329"/>
      <c r="EA51" s="335"/>
      <c r="EB51" s="226">
        <f t="shared" si="89"/>
        <v>65.023250000000075</v>
      </c>
      <c r="ED51" s="109">
        <v>44417</v>
      </c>
      <c r="EE51" s="184">
        <v>7808.03</v>
      </c>
      <c r="EF51" s="185">
        <v>2170.79</v>
      </c>
      <c r="EG51" s="110"/>
      <c r="EH51" s="186">
        <v>96.39</v>
      </c>
      <c r="EI51" s="204"/>
      <c r="EJ51" s="88"/>
      <c r="EK51" s="28"/>
      <c r="EL51" s="28"/>
      <c r="EM51" s="226">
        <f t="shared" si="90"/>
        <v>96.39</v>
      </c>
      <c r="EO51" s="109">
        <v>44417</v>
      </c>
      <c r="EP51" s="188">
        <v>853.11</v>
      </c>
      <c r="EQ51" s="184">
        <v>1231.6099999999999</v>
      </c>
      <c r="ER51" s="110"/>
      <c r="ES51" s="115"/>
      <c r="ET51" s="204"/>
      <c r="EU51" s="215"/>
      <c r="EV51" s="28"/>
      <c r="EW51" s="28"/>
      <c r="EX51" s="226">
        <f t="shared" si="91"/>
        <v>0</v>
      </c>
    </row>
    <row r="52" spans="1:154" x14ac:dyDescent="0.25">
      <c r="A52" s="109">
        <v>44418</v>
      </c>
      <c r="B52" s="177">
        <v>14381.84</v>
      </c>
      <c r="C52" s="178">
        <v>2338.3200000000002</v>
      </c>
      <c r="D52" s="179">
        <v>2273.08</v>
      </c>
      <c r="E52" s="181">
        <v>61.94</v>
      </c>
      <c r="F52" s="180"/>
      <c r="H52" s="215"/>
      <c r="I52" s="28"/>
      <c r="J52" s="28"/>
      <c r="K52" s="226">
        <f t="shared" si="78"/>
        <v>0</v>
      </c>
      <c r="M52" s="109">
        <v>44418</v>
      </c>
      <c r="N52" s="182">
        <v>3143.62</v>
      </c>
      <c r="O52" s="182">
        <v>556.55999999999995</v>
      </c>
      <c r="P52" s="110"/>
      <c r="Q52" s="183"/>
      <c r="R52" s="204"/>
      <c r="S52" s="88">
        <v>15.798040000000043</v>
      </c>
      <c r="T52" s="329"/>
      <c r="U52" s="28"/>
      <c r="V52" s="226">
        <f t="shared" si="79"/>
        <v>15.798040000000043</v>
      </c>
      <c r="X52" s="109">
        <v>44418</v>
      </c>
      <c r="Y52" s="184">
        <v>2979.02</v>
      </c>
      <c r="Z52" s="185">
        <v>1774.63</v>
      </c>
      <c r="AA52" s="185"/>
      <c r="AB52" s="186">
        <v>133.9</v>
      </c>
      <c r="AC52" s="204"/>
      <c r="AD52" s="88">
        <v>51.985160000000008</v>
      </c>
      <c r="AE52" s="28"/>
      <c r="AF52" s="28"/>
      <c r="AG52" s="226">
        <f t="shared" si="80"/>
        <v>185.88516000000001</v>
      </c>
      <c r="AI52" s="109">
        <v>44418</v>
      </c>
      <c r="AJ52" s="184">
        <v>2047.93</v>
      </c>
      <c r="AK52" s="185">
        <v>673.5</v>
      </c>
      <c r="AL52" s="110"/>
      <c r="AM52" s="111"/>
      <c r="AN52" s="204"/>
      <c r="AO52" s="215"/>
      <c r="AP52" s="28"/>
      <c r="AQ52" s="28"/>
      <c r="AR52" s="226">
        <f t="shared" si="81"/>
        <v>0</v>
      </c>
      <c r="AT52" s="109">
        <v>44418</v>
      </c>
      <c r="AU52" s="185">
        <v>595.92999999999995</v>
      </c>
      <c r="AV52" s="185">
        <v>141.34</v>
      </c>
      <c r="AW52" s="110"/>
      <c r="AX52" s="186"/>
      <c r="AY52" s="204"/>
      <c r="AZ52" s="88">
        <v>408.87336599999998</v>
      </c>
      <c r="BA52" s="28"/>
      <c r="BB52" s="28"/>
      <c r="BC52" s="226">
        <f t="shared" si="82"/>
        <v>408.87336599999998</v>
      </c>
      <c r="BE52" s="109">
        <v>44418</v>
      </c>
      <c r="BF52" s="184">
        <v>3604.12</v>
      </c>
      <c r="BG52" s="185">
        <v>536.07000000000005</v>
      </c>
      <c r="BH52" s="110"/>
      <c r="BI52" s="186"/>
      <c r="BJ52" s="204"/>
      <c r="BK52" s="88">
        <v>44.961990000000014</v>
      </c>
      <c r="BL52" s="329"/>
      <c r="BM52" s="28"/>
      <c r="BN52" s="226">
        <f t="shared" si="83"/>
        <v>44.961990000000014</v>
      </c>
      <c r="BP52" s="109">
        <v>44418</v>
      </c>
      <c r="BQ52" s="185">
        <v>467.54</v>
      </c>
      <c r="BR52" s="185">
        <v>217.39</v>
      </c>
      <c r="BS52" s="110"/>
      <c r="BT52" s="187"/>
      <c r="BU52" s="204"/>
      <c r="BV52" s="215"/>
      <c r="BW52" s="28"/>
      <c r="BX52" s="28"/>
      <c r="BY52" s="226">
        <f t="shared" si="84"/>
        <v>0</v>
      </c>
      <c r="CA52" s="109">
        <v>44418</v>
      </c>
      <c r="CB52" s="184">
        <v>16651.669999999998</v>
      </c>
      <c r="CC52" s="185">
        <v>2320.5500000000002</v>
      </c>
      <c r="CD52" s="110"/>
      <c r="CE52" s="187"/>
      <c r="CF52" s="204"/>
      <c r="CG52" s="215"/>
      <c r="CH52" s="28"/>
      <c r="CI52" s="28"/>
      <c r="CJ52" s="226">
        <f t="shared" si="85"/>
        <v>0</v>
      </c>
      <c r="CL52" s="109">
        <v>44418</v>
      </c>
      <c r="CM52" s="184">
        <v>4532.55</v>
      </c>
      <c r="CN52" s="185">
        <v>932</v>
      </c>
      <c r="CO52" s="110"/>
      <c r="CP52" s="115"/>
      <c r="CQ52" s="204"/>
      <c r="CR52" s="88"/>
      <c r="CS52" s="328"/>
      <c r="CT52" s="28"/>
      <c r="CU52" s="226">
        <f t="shared" si="86"/>
        <v>0</v>
      </c>
      <c r="CW52" s="109">
        <v>44418</v>
      </c>
      <c r="CX52" s="184">
        <v>5154.12</v>
      </c>
      <c r="CY52" s="185">
        <v>3252.98</v>
      </c>
      <c r="CZ52" s="110"/>
      <c r="DA52" s="186">
        <v>43.74</v>
      </c>
      <c r="DB52" s="204"/>
      <c r="DC52" s="88">
        <v>-7.9569600000000094</v>
      </c>
      <c r="DD52" s="329"/>
      <c r="DE52" s="28"/>
      <c r="DF52" s="226">
        <f t="shared" si="87"/>
        <v>35.783039999999993</v>
      </c>
      <c r="DH52" s="109">
        <v>44418</v>
      </c>
      <c r="DI52" s="184">
        <v>1401.45</v>
      </c>
      <c r="DJ52" s="113"/>
      <c r="DK52" s="110"/>
      <c r="DL52" s="115"/>
      <c r="DM52" s="204"/>
      <c r="DN52" s="215"/>
      <c r="DO52" s="28"/>
      <c r="DP52" s="28"/>
      <c r="DQ52" s="226">
        <f t="shared" si="88"/>
        <v>0</v>
      </c>
      <c r="DS52" s="109">
        <v>44418</v>
      </c>
      <c r="DT52" s="184">
        <v>1251.02</v>
      </c>
      <c r="DU52" s="185">
        <v>366.5</v>
      </c>
      <c r="DV52" s="110"/>
      <c r="DW52" s="115"/>
      <c r="DX52" s="204"/>
      <c r="DY52" s="88"/>
      <c r="DZ52" s="329"/>
      <c r="EA52" s="335">
        <v>9.8978219999999908</v>
      </c>
      <c r="EB52" s="226">
        <f t="shared" si="89"/>
        <v>9.8978219999999908</v>
      </c>
      <c r="ED52" s="109">
        <v>44418</v>
      </c>
      <c r="EE52" s="184">
        <v>4178.03</v>
      </c>
      <c r="EF52" s="185">
        <v>1470.19</v>
      </c>
      <c r="EG52" s="110"/>
      <c r="EH52" s="186">
        <v>72.84</v>
      </c>
      <c r="EI52" s="204"/>
      <c r="EJ52" s="88"/>
      <c r="EK52" s="28"/>
      <c r="EL52" s="28"/>
      <c r="EM52" s="226">
        <f t="shared" si="90"/>
        <v>72.84</v>
      </c>
      <c r="EO52" s="109">
        <v>44418</v>
      </c>
      <c r="EP52" s="188">
        <v>703.51</v>
      </c>
      <c r="EQ52" s="184">
        <v>779.78</v>
      </c>
      <c r="ER52" s="110"/>
      <c r="ES52" s="115"/>
      <c r="ET52" s="204"/>
      <c r="EU52" s="215"/>
      <c r="EV52" s="28"/>
      <c r="EW52" s="28"/>
      <c r="EX52" s="226">
        <f t="shared" si="91"/>
        <v>0</v>
      </c>
    </row>
    <row r="53" spans="1:154" x14ac:dyDescent="0.25">
      <c r="A53" s="109">
        <v>44419</v>
      </c>
      <c r="B53" s="177">
        <v>20674.830000000002</v>
      </c>
      <c r="C53" s="178">
        <v>3273.24</v>
      </c>
      <c r="D53" s="179">
        <v>3001.83</v>
      </c>
      <c r="E53" s="181">
        <v>159.28</v>
      </c>
      <c r="F53" s="180"/>
      <c r="H53" s="215"/>
      <c r="I53" s="28"/>
      <c r="J53" s="28"/>
      <c r="K53" s="226">
        <f t="shared" si="78"/>
        <v>0</v>
      </c>
      <c r="M53" s="109">
        <v>44419</v>
      </c>
      <c r="N53" s="182">
        <v>6316.68</v>
      </c>
      <c r="O53" s="182">
        <v>451.43</v>
      </c>
      <c r="P53" s="110"/>
      <c r="Q53" s="183"/>
      <c r="R53" s="204"/>
      <c r="S53" s="88">
        <v>73.380410000000055</v>
      </c>
      <c r="T53" s="329">
        <v>6.0635699999999986</v>
      </c>
      <c r="U53" s="28"/>
      <c r="V53" s="226">
        <f t="shared" si="79"/>
        <v>79.443980000000053</v>
      </c>
      <c r="X53" s="109">
        <v>44419</v>
      </c>
      <c r="Y53" s="184">
        <v>5525.86</v>
      </c>
      <c r="Z53" s="185">
        <v>1520.83</v>
      </c>
      <c r="AA53" s="185"/>
      <c r="AB53" s="186">
        <v>123.71</v>
      </c>
      <c r="AC53" s="204"/>
      <c r="AD53" s="88">
        <v>118.49999999999999</v>
      </c>
      <c r="AE53" s="28"/>
      <c r="AF53" s="28"/>
      <c r="AG53" s="226">
        <f t="shared" si="80"/>
        <v>242.20999999999998</v>
      </c>
      <c r="AI53" s="109">
        <v>44419</v>
      </c>
      <c r="AJ53" s="184">
        <v>1866.19</v>
      </c>
      <c r="AK53" s="185">
        <v>539.85</v>
      </c>
      <c r="AL53" s="110"/>
      <c r="AM53" s="111"/>
      <c r="AN53" s="204"/>
      <c r="AO53" s="215"/>
      <c r="AP53" s="28"/>
      <c r="AQ53" s="28"/>
      <c r="AR53" s="226">
        <f t="shared" si="81"/>
        <v>0</v>
      </c>
      <c r="AT53" s="109">
        <v>44419</v>
      </c>
      <c r="AU53" s="185">
        <v>667</v>
      </c>
      <c r="AV53" s="185">
        <v>22</v>
      </c>
      <c r="AW53" s="110"/>
      <c r="AX53" s="186">
        <v>52</v>
      </c>
      <c r="AY53" s="204"/>
      <c r="AZ53" s="88">
        <v>634.27057900000011</v>
      </c>
      <c r="BA53" s="28"/>
      <c r="BB53" s="28"/>
      <c r="BC53" s="226">
        <f t="shared" si="82"/>
        <v>686.27057900000011</v>
      </c>
      <c r="BE53" s="109">
        <v>44419</v>
      </c>
      <c r="BF53" s="184">
        <v>4647.4799999999996</v>
      </c>
      <c r="BG53" s="185">
        <v>1072.53</v>
      </c>
      <c r="BH53" s="110"/>
      <c r="BI53" s="186"/>
      <c r="BJ53" s="204"/>
      <c r="BK53" s="88">
        <v>291.85302999999999</v>
      </c>
      <c r="BL53" s="329">
        <v>100.11445000000002</v>
      </c>
      <c r="BM53" s="28"/>
      <c r="BN53" s="226">
        <f t="shared" si="83"/>
        <v>391.96748000000002</v>
      </c>
      <c r="BP53" s="109">
        <v>44419</v>
      </c>
      <c r="BQ53" s="185">
        <v>1909.16</v>
      </c>
      <c r="BR53" s="185">
        <v>443.46</v>
      </c>
      <c r="BS53" s="110"/>
      <c r="BT53" s="187">
        <v>54</v>
      </c>
      <c r="BU53" s="204"/>
      <c r="BV53" s="215"/>
      <c r="BW53" s="28"/>
      <c r="BX53" s="28"/>
      <c r="BY53" s="226">
        <f t="shared" si="84"/>
        <v>54</v>
      </c>
      <c r="CA53" s="109">
        <v>44419</v>
      </c>
      <c r="CB53" s="184">
        <v>18261.849999999999</v>
      </c>
      <c r="CC53" s="185">
        <v>2542.0500000000002</v>
      </c>
      <c r="CD53" s="110"/>
      <c r="CE53" s="187"/>
      <c r="CF53" s="204"/>
      <c r="CG53" s="215"/>
      <c r="CH53" s="28"/>
      <c r="CI53" s="28"/>
      <c r="CJ53" s="226">
        <f t="shared" si="85"/>
        <v>0</v>
      </c>
      <c r="CL53" s="109">
        <v>44419</v>
      </c>
      <c r="CM53" s="184">
        <v>10980.74</v>
      </c>
      <c r="CN53" s="185">
        <v>2023.44</v>
      </c>
      <c r="CO53" s="110"/>
      <c r="CP53" s="115"/>
      <c r="CQ53" s="204"/>
      <c r="CR53" s="88">
        <v>109.55249999999997</v>
      </c>
      <c r="CS53" s="328">
        <v>5.754290000000001</v>
      </c>
      <c r="CT53" s="28"/>
      <c r="CU53" s="226">
        <f t="shared" si="86"/>
        <v>115.30678999999996</v>
      </c>
      <c r="CW53" s="109">
        <v>44419</v>
      </c>
      <c r="CX53" s="184">
        <v>4646.71</v>
      </c>
      <c r="CY53" s="185">
        <v>1150.24</v>
      </c>
      <c r="CZ53" s="110"/>
      <c r="DA53" s="186">
        <v>7.15</v>
      </c>
      <c r="DB53" s="204"/>
      <c r="DC53" s="88">
        <v>-4.8026600000000741</v>
      </c>
      <c r="DD53" s="329"/>
      <c r="DE53" s="28"/>
      <c r="DF53" s="226">
        <f t="shared" si="87"/>
        <v>2.3473399999999263</v>
      </c>
      <c r="DH53" s="109">
        <v>44419</v>
      </c>
      <c r="DI53" s="184">
        <v>1759.54</v>
      </c>
      <c r="DJ53" s="113"/>
      <c r="DK53" s="110"/>
      <c r="DL53" s="115"/>
      <c r="DM53" s="204"/>
      <c r="DN53" s="215"/>
      <c r="DO53" s="28"/>
      <c r="DP53" s="28"/>
      <c r="DQ53" s="226">
        <f t="shared" si="88"/>
        <v>0</v>
      </c>
      <c r="DS53" s="109">
        <v>44419</v>
      </c>
      <c r="DT53" s="184">
        <v>3927.85</v>
      </c>
      <c r="DU53" s="185">
        <v>151.82</v>
      </c>
      <c r="DV53" s="110"/>
      <c r="DW53" s="115"/>
      <c r="DX53" s="204"/>
      <c r="DY53" s="88">
        <v>146.28303000000008</v>
      </c>
      <c r="DZ53" s="329"/>
      <c r="EA53" s="335"/>
      <c r="EB53" s="226">
        <f t="shared" si="89"/>
        <v>146.28303000000008</v>
      </c>
      <c r="ED53" s="109">
        <v>44419</v>
      </c>
      <c r="EE53" s="184">
        <v>5796.41</v>
      </c>
      <c r="EF53" s="185">
        <v>1657.79</v>
      </c>
      <c r="EG53" s="110"/>
      <c r="EH53" s="186">
        <v>89.39</v>
      </c>
      <c r="EI53" s="204"/>
      <c r="EJ53" s="88"/>
      <c r="EK53" s="28"/>
      <c r="EL53" s="28"/>
      <c r="EM53" s="226">
        <f t="shared" si="90"/>
        <v>89.39</v>
      </c>
      <c r="EO53" s="109">
        <v>44419</v>
      </c>
      <c r="EP53" s="188">
        <v>1433.23</v>
      </c>
      <c r="EQ53" s="184">
        <v>984.51</v>
      </c>
      <c r="ER53" s="110"/>
      <c r="ES53" s="115"/>
      <c r="ET53" s="204"/>
      <c r="EU53" s="215"/>
      <c r="EV53" s="28"/>
      <c r="EW53" s="28"/>
      <c r="EX53" s="226">
        <f t="shared" si="91"/>
        <v>0</v>
      </c>
    </row>
    <row r="54" spans="1:154" x14ac:dyDescent="0.25">
      <c r="A54" s="109">
        <v>44420</v>
      </c>
      <c r="B54" s="177">
        <v>19569.95</v>
      </c>
      <c r="C54" s="178">
        <v>3382.03</v>
      </c>
      <c r="D54" s="179">
        <v>3517.8</v>
      </c>
      <c r="E54" s="181">
        <v>197.36</v>
      </c>
      <c r="F54" s="180"/>
      <c r="H54" s="215"/>
      <c r="I54" s="28"/>
      <c r="J54" s="28"/>
      <c r="K54" s="226">
        <f t="shared" si="78"/>
        <v>0</v>
      </c>
      <c r="M54" s="109">
        <v>44420</v>
      </c>
      <c r="N54" s="182">
        <v>3668.68</v>
      </c>
      <c r="O54" s="182">
        <v>289.64999999999998</v>
      </c>
      <c r="P54" s="110"/>
      <c r="Q54" s="183"/>
      <c r="R54" s="204"/>
      <c r="S54" s="88">
        <v>37.293450000000085</v>
      </c>
      <c r="T54" s="329">
        <v>59.108849999999975</v>
      </c>
      <c r="U54" s="28"/>
      <c r="V54" s="226">
        <f t="shared" si="79"/>
        <v>96.402300000000054</v>
      </c>
      <c r="X54" s="109">
        <v>44420</v>
      </c>
      <c r="Y54" s="184">
        <v>7502.36</v>
      </c>
      <c r="Z54" s="185">
        <v>1458.23</v>
      </c>
      <c r="AA54" s="185"/>
      <c r="AB54" s="186">
        <v>290.87</v>
      </c>
      <c r="AC54" s="204"/>
      <c r="AD54" s="88"/>
      <c r="AE54" s="28"/>
      <c r="AF54" s="28"/>
      <c r="AG54" s="226">
        <f t="shared" si="80"/>
        <v>290.87</v>
      </c>
      <c r="AI54" s="109">
        <v>44420</v>
      </c>
      <c r="AJ54" s="184">
        <v>2620.27</v>
      </c>
      <c r="AK54" s="185">
        <v>268</v>
      </c>
      <c r="AL54" s="110"/>
      <c r="AM54" s="111"/>
      <c r="AN54" s="204"/>
      <c r="AO54" s="215"/>
      <c r="AP54" s="28"/>
      <c r="AQ54" s="28"/>
      <c r="AR54" s="226">
        <f t="shared" si="81"/>
        <v>0</v>
      </c>
      <c r="AT54" s="109">
        <v>44420</v>
      </c>
      <c r="AU54" s="185">
        <v>640</v>
      </c>
      <c r="AV54" s="185">
        <v>20</v>
      </c>
      <c r="AW54" s="110"/>
      <c r="AX54" s="186">
        <v>107.9</v>
      </c>
      <c r="AY54" s="204"/>
      <c r="AZ54" s="88">
        <v>372.64759800000013</v>
      </c>
      <c r="BA54" s="28"/>
      <c r="BB54" s="28"/>
      <c r="BC54" s="226">
        <f t="shared" si="82"/>
        <v>480.54759800000011</v>
      </c>
      <c r="BE54" s="109">
        <v>44420</v>
      </c>
      <c r="BF54" s="184">
        <v>4421.03</v>
      </c>
      <c r="BG54" s="185">
        <v>845.58</v>
      </c>
      <c r="BH54" s="110"/>
      <c r="BI54" s="186">
        <v>19.48</v>
      </c>
      <c r="BJ54" s="204"/>
      <c r="BK54" s="88">
        <v>253.37171999999993</v>
      </c>
      <c r="BL54" s="329">
        <v>23.125689999999992</v>
      </c>
      <c r="BM54" s="28"/>
      <c r="BN54" s="226">
        <f t="shared" si="83"/>
        <v>295.97740999999996</v>
      </c>
      <c r="BP54" s="109">
        <v>44420</v>
      </c>
      <c r="BQ54" s="185">
        <v>635.02</v>
      </c>
      <c r="BR54" s="185">
        <v>635.64</v>
      </c>
      <c r="BS54" s="110"/>
      <c r="BT54" s="187">
        <v>40</v>
      </c>
      <c r="BU54" s="204"/>
      <c r="BV54" s="215"/>
      <c r="BW54" s="28"/>
      <c r="BX54" s="28"/>
      <c r="BY54" s="226">
        <f t="shared" si="84"/>
        <v>40</v>
      </c>
      <c r="CA54" s="109">
        <v>44420</v>
      </c>
      <c r="CB54" s="184">
        <v>19224.82</v>
      </c>
      <c r="CC54" s="185">
        <v>2279.39</v>
      </c>
      <c r="CD54" s="110"/>
      <c r="CE54" s="187"/>
      <c r="CF54" s="204"/>
      <c r="CG54" s="215"/>
      <c r="CH54" s="28"/>
      <c r="CI54" s="28"/>
      <c r="CJ54" s="226">
        <f t="shared" si="85"/>
        <v>0</v>
      </c>
      <c r="CL54" s="109">
        <v>44420</v>
      </c>
      <c r="CM54" s="184">
        <v>10706.1</v>
      </c>
      <c r="CN54" s="185">
        <v>1821.02</v>
      </c>
      <c r="CO54" s="110"/>
      <c r="CP54" s="115"/>
      <c r="CQ54" s="204"/>
      <c r="CR54" s="88">
        <v>165.19434999999999</v>
      </c>
      <c r="CS54" s="328"/>
      <c r="CT54" s="28"/>
      <c r="CU54" s="226">
        <f t="shared" si="86"/>
        <v>165.19434999999999</v>
      </c>
      <c r="CW54" s="109">
        <v>44420</v>
      </c>
      <c r="CX54" s="184">
        <v>6891.82</v>
      </c>
      <c r="CY54" s="185">
        <v>1510.68</v>
      </c>
      <c r="CZ54" s="110"/>
      <c r="DA54" s="186">
        <v>39.86</v>
      </c>
      <c r="DB54" s="204"/>
      <c r="DC54" s="88">
        <v>46.345650000000006</v>
      </c>
      <c r="DD54" s="329">
        <v>17.149934999999999</v>
      </c>
      <c r="DE54" s="28"/>
      <c r="DF54" s="226">
        <f t="shared" si="87"/>
        <v>103.355585</v>
      </c>
      <c r="DH54" s="109">
        <v>44420</v>
      </c>
      <c r="DI54" s="184">
        <v>2280.04</v>
      </c>
      <c r="DJ54" s="113"/>
      <c r="DK54" s="110"/>
      <c r="DL54" s="115"/>
      <c r="DM54" s="204"/>
      <c r="DN54" s="215"/>
      <c r="DO54" s="28"/>
      <c r="DP54" s="28"/>
      <c r="DQ54" s="226">
        <f t="shared" si="88"/>
        <v>0</v>
      </c>
      <c r="DS54" s="109">
        <v>44420</v>
      </c>
      <c r="DT54" s="184">
        <v>1020</v>
      </c>
      <c r="DU54" s="185">
        <v>378.91</v>
      </c>
      <c r="DV54" s="110"/>
      <c r="DW54" s="115"/>
      <c r="DX54" s="204"/>
      <c r="DY54" s="88">
        <v>71.722320000000053</v>
      </c>
      <c r="DZ54" s="329"/>
      <c r="EA54" s="335"/>
      <c r="EB54" s="226">
        <f t="shared" si="89"/>
        <v>71.722320000000053</v>
      </c>
      <c r="ED54" s="109">
        <v>44420</v>
      </c>
      <c r="EE54" s="184">
        <v>6239.88</v>
      </c>
      <c r="EF54" s="185">
        <v>2012.15</v>
      </c>
      <c r="EG54" s="110"/>
      <c r="EH54" s="186">
        <v>109.69</v>
      </c>
      <c r="EI54" s="204"/>
      <c r="EJ54" s="88"/>
      <c r="EK54" s="28"/>
      <c r="EL54" s="28"/>
      <c r="EM54" s="226">
        <f t="shared" si="90"/>
        <v>109.69</v>
      </c>
      <c r="EO54" s="109">
        <v>44420</v>
      </c>
      <c r="EP54" s="188">
        <v>1082.1400000000001</v>
      </c>
      <c r="EQ54" s="184">
        <v>1165.2</v>
      </c>
      <c r="ER54" s="110"/>
      <c r="ES54" s="115"/>
      <c r="ET54" s="204"/>
      <c r="EU54" s="215"/>
      <c r="EV54" s="28"/>
      <c r="EW54" s="28"/>
      <c r="EX54" s="226">
        <f t="shared" si="91"/>
        <v>0</v>
      </c>
    </row>
    <row r="55" spans="1:154" x14ac:dyDescent="0.25">
      <c r="A55" s="109">
        <v>44421</v>
      </c>
      <c r="B55" s="177">
        <v>17682.189999999999</v>
      </c>
      <c r="C55" s="178">
        <v>3681.78</v>
      </c>
      <c r="D55" s="179">
        <v>3282.01</v>
      </c>
      <c r="E55" s="181">
        <v>184.47</v>
      </c>
      <c r="F55" s="180"/>
      <c r="H55" s="215"/>
      <c r="I55" s="28"/>
      <c r="J55" s="28"/>
      <c r="K55" s="226">
        <f t="shared" si="78"/>
        <v>0</v>
      </c>
      <c r="M55" s="109">
        <v>44421</v>
      </c>
      <c r="N55" s="182">
        <v>3333.98</v>
      </c>
      <c r="O55" s="182">
        <v>85.03</v>
      </c>
      <c r="P55" s="110"/>
      <c r="Q55" s="192"/>
      <c r="R55" s="204"/>
      <c r="S55" s="88">
        <v>5.5049200000001406</v>
      </c>
      <c r="T55" s="329"/>
      <c r="U55" s="28"/>
      <c r="V55" s="226">
        <f t="shared" si="79"/>
        <v>5.5049200000001406</v>
      </c>
      <c r="X55" s="109">
        <v>44421</v>
      </c>
      <c r="Y55" s="184">
        <v>5796.41</v>
      </c>
      <c r="Z55" s="185">
        <v>1506.56</v>
      </c>
      <c r="AA55" s="185"/>
      <c r="AB55" s="186">
        <v>155.91999999999999</v>
      </c>
      <c r="AC55" s="204"/>
      <c r="AD55" s="88">
        <v>72.137703000000045</v>
      </c>
      <c r="AE55" s="28"/>
      <c r="AF55" s="28"/>
      <c r="AG55" s="226">
        <f t="shared" si="80"/>
        <v>228.05770300000003</v>
      </c>
      <c r="AI55" s="109">
        <v>44421</v>
      </c>
      <c r="AJ55" s="184">
        <v>3056.19</v>
      </c>
      <c r="AK55" s="185">
        <v>334.62</v>
      </c>
      <c r="AL55" s="110"/>
      <c r="AM55" s="111"/>
      <c r="AN55" s="204"/>
      <c r="AO55" s="215"/>
      <c r="AP55" s="28"/>
      <c r="AQ55" s="28"/>
      <c r="AR55" s="226">
        <f t="shared" si="81"/>
        <v>0</v>
      </c>
      <c r="AT55" s="109">
        <v>44421</v>
      </c>
      <c r="AU55" s="185">
        <v>468.05</v>
      </c>
      <c r="AV55" s="185">
        <v>0</v>
      </c>
      <c r="AW55" s="110"/>
      <c r="AX55" s="186"/>
      <c r="AY55" s="204"/>
      <c r="AZ55" s="88">
        <v>309.75684300000012</v>
      </c>
      <c r="BA55" s="28"/>
      <c r="BB55" s="28"/>
      <c r="BC55" s="226">
        <f t="shared" si="82"/>
        <v>309.75684300000012</v>
      </c>
      <c r="BE55" s="109">
        <v>44421</v>
      </c>
      <c r="BF55" s="184">
        <v>4779.3599999999997</v>
      </c>
      <c r="BG55" s="185">
        <v>754.89</v>
      </c>
      <c r="BH55" s="110"/>
      <c r="BI55" s="186">
        <v>13.88</v>
      </c>
      <c r="BJ55" s="204"/>
      <c r="BK55" s="88">
        <v>125.22544999999998</v>
      </c>
      <c r="BL55" s="329">
        <v>111.10999999999997</v>
      </c>
      <c r="BM55" s="28"/>
      <c r="BN55" s="226">
        <f t="shared" si="83"/>
        <v>250.21544999999998</v>
      </c>
      <c r="BP55" s="109">
        <v>44421</v>
      </c>
      <c r="BQ55" s="185">
        <v>1423.51</v>
      </c>
      <c r="BR55" s="185">
        <v>491.94</v>
      </c>
      <c r="BS55" s="110"/>
      <c r="BT55" s="187"/>
      <c r="BU55" s="204"/>
      <c r="BV55" s="215"/>
      <c r="BW55" s="28"/>
      <c r="BX55" s="28"/>
      <c r="BY55" s="226">
        <f t="shared" si="84"/>
        <v>0</v>
      </c>
      <c r="CA55" s="109">
        <v>44421</v>
      </c>
      <c r="CB55" s="184">
        <v>17889.759999999998</v>
      </c>
      <c r="CC55" s="185">
        <v>1758.93</v>
      </c>
      <c r="CD55" s="110"/>
      <c r="CE55" s="187"/>
      <c r="CF55" s="204"/>
      <c r="CG55" s="215"/>
      <c r="CH55" s="28"/>
      <c r="CI55" s="28"/>
      <c r="CJ55" s="226">
        <f t="shared" si="85"/>
        <v>0</v>
      </c>
      <c r="CL55" s="109">
        <v>44421</v>
      </c>
      <c r="CM55" s="184">
        <v>9015.32</v>
      </c>
      <c r="CN55" s="185">
        <v>2211.08</v>
      </c>
      <c r="CO55" s="110"/>
      <c r="CP55" s="115"/>
      <c r="CQ55" s="204"/>
      <c r="CR55" s="88">
        <v>191.79531999999998</v>
      </c>
      <c r="CS55" s="328"/>
      <c r="CT55" s="28"/>
      <c r="CU55" s="226">
        <f t="shared" si="86"/>
        <v>191.79531999999998</v>
      </c>
      <c r="CW55" s="109">
        <v>44421</v>
      </c>
      <c r="CX55" s="184">
        <v>5291.26</v>
      </c>
      <c r="CY55" s="185">
        <v>1422.01</v>
      </c>
      <c r="CZ55" s="110"/>
      <c r="DA55" s="186">
        <v>12.8</v>
      </c>
      <c r="DB55" s="204"/>
      <c r="DC55" s="88">
        <v>155.42723999999995</v>
      </c>
      <c r="DD55" s="329"/>
      <c r="DE55" s="28"/>
      <c r="DF55" s="226">
        <f t="shared" si="87"/>
        <v>168.22723999999997</v>
      </c>
      <c r="DH55" s="109">
        <v>44421</v>
      </c>
      <c r="DI55" s="184">
        <v>977.8</v>
      </c>
      <c r="DJ55" s="113"/>
      <c r="DK55" s="110"/>
      <c r="DL55" s="115"/>
      <c r="DM55" s="204"/>
      <c r="DN55" s="215"/>
      <c r="DO55" s="28"/>
      <c r="DP55" s="28"/>
      <c r="DQ55" s="226">
        <f t="shared" si="88"/>
        <v>0</v>
      </c>
      <c r="DS55" s="109">
        <v>44421</v>
      </c>
      <c r="DT55" s="184">
        <v>0</v>
      </c>
      <c r="DU55" s="185">
        <v>632.95000000000005</v>
      </c>
      <c r="DV55" s="110"/>
      <c r="DW55" s="115"/>
      <c r="DX55" s="204"/>
      <c r="DY55" s="88">
        <v>65.592330000000061</v>
      </c>
      <c r="DZ55" s="329">
        <v>46.622820000000019</v>
      </c>
      <c r="EA55" s="335"/>
      <c r="EB55" s="226">
        <f t="shared" si="89"/>
        <v>112.21515000000008</v>
      </c>
      <c r="ED55" s="109">
        <v>44421</v>
      </c>
      <c r="EE55" s="184">
        <v>8895.4</v>
      </c>
      <c r="EF55" s="185">
        <v>1520.97</v>
      </c>
      <c r="EG55" s="110"/>
      <c r="EH55" s="186">
        <v>95.06</v>
      </c>
      <c r="EI55" s="204"/>
      <c r="EJ55" s="88"/>
      <c r="EK55" s="28"/>
      <c r="EL55" s="28"/>
      <c r="EM55" s="226">
        <f t="shared" si="90"/>
        <v>95.06</v>
      </c>
      <c r="EO55" s="109">
        <v>44421</v>
      </c>
      <c r="EP55" s="188">
        <v>1160.81</v>
      </c>
      <c r="EQ55" s="184">
        <v>1265.96</v>
      </c>
      <c r="ER55" s="110"/>
      <c r="ES55" s="115"/>
      <c r="ET55" s="204"/>
      <c r="EU55" s="215"/>
      <c r="EV55" s="28"/>
      <c r="EW55" s="28"/>
      <c r="EX55" s="226">
        <f t="shared" si="91"/>
        <v>0</v>
      </c>
    </row>
    <row r="56" spans="1:154" x14ac:dyDescent="0.25">
      <c r="A56" s="109">
        <v>44422</v>
      </c>
      <c r="B56" s="177">
        <v>17807.59</v>
      </c>
      <c r="C56" s="178">
        <v>3871.3</v>
      </c>
      <c r="D56" s="179">
        <v>2673.49</v>
      </c>
      <c r="E56" s="181">
        <v>202.61</v>
      </c>
      <c r="F56" s="180"/>
      <c r="H56" s="215"/>
      <c r="I56" s="28"/>
      <c r="J56" s="28"/>
      <c r="K56" s="226">
        <f t="shared" si="78"/>
        <v>0</v>
      </c>
      <c r="M56" s="109">
        <v>44422</v>
      </c>
      <c r="N56" s="182">
        <v>3229.99</v>
      </c>
      <c r="O56" s="182">
        <v>390.9</v>
      </c>
      <c r="P56" s="110"/>
      <c r="Q56" s="183"/>
      <c r="R56" s="204"/>
      <c r="S56" s="88">
        <v>97.279860000000028</v>
      </c>
      <c r="T56" s="329"/>
      <c r="U56" s="28"/>
      <c r="V56" s="226">
        <f t="shared" si="79"/>
        <v>97.279860000000028</v>
      </c>
      <c r="X56" s="109">
        <v>44422</v>
      </c>
      <c r="Y56" s="184">
        <v>4690.91</v>
      </c>
      <c r="Z56" s="185">
        <v>1545.93</v>
      </c>
      <c r="AA56" s="185"/>
      <c r="AB56" s="186">
        <v>237.14</v>
      </c>
      <c r="AC56" s="204"/>
      <c r="AD56" s="88">
        <v>178.890432</v>
      </c>
      <c r="AE56" s="28"/>
      <c r="AF56" s="28"/>
      <c r="AG56" s="226">
        <f t="shared" si="80"/>
        <v>416.03043200000002</v>
      </c>
      <c r="AI56" s="109">
        <v>44422</v>
      </c>
      <c r="AJ56" s="184">
        <v>1814.58</v>
      </c>
      <c r="AK56" s="185">
        <v>504.72</v>
      </c>
      <c r="AL56" s="110"/>
      <c r="AM56" s="111"/>
      <c r="AN56" s="204"/>
      <c r="AO56" s="215"/>
      <c r="AP56" s="28"/>
      <c r="AQ56" s="28"/>
      <c r="AR56" s="226">
        <f t="shared" si="81"/>
        <v>0</v>
      </c>
      <c r="AT56" s="109">
        <v>44422</v>
      </c>
      <c r="AU56" s="185">
        <v>235.01</v>
      </c>
      <c r="AV56" s="185">
        <v>0</v>
      </c>
      <c r="AW56" s="110"/>
      <c r="AX56" s="186">
        <v>106.6</v>
      </c>
      <c r="AY56" s="204"/>
      <c r="AZ56" s="88">
        <v>139.06208800000007</v>
      </c>
      <c r="BA56" s="28"/>
      <c r="BB56" s="28"/>
      <c r="BC56" s="226">
        <f t="shared" si="82"/>
        <v>245.66208800000007</v>
      </c>
      <c r="BE56" s="109">
        <v>44422</v>
      </c>
      <c r="BF56" s="184">
        <v>4606.54</v>
      </c>
      <c r="BG56" s="185">
        <v>966.73</v>
      </c>
      <c r="BH56" s="110"/>
      <c r="BI56" s="186"/>
      <c r="BJ56" s="204"/>
      <c r="BK56" s="88">
        <v>158.79921999999999</v>
      </c>
      <c r="BL56" s="329">
        <v>62.227989999999977</v>
      </c>
      <c r="BM56" s="28"/>
      <c r="BN56" s="226">
        <f t="shared" si="83"/>
        <v>221.02720999999997</v>
      </c>
      <c r="BP56" s="109">
        <v>44422</v>
      </c>
      <c r="BQ56" s="185">
        <v>1210.19</v>
      </c>
      <c r="BR56" s="185">
        <v>605.48</v>
      </c>
      <c r="BS56" s="110"/>
      <c r="BT56" s="187"/>
      <c r="BU56" s="204"/>
      <c r="BV56" s="215"/>
      <c r="BW56" s="28"/>
      <c r="BX56" s="28"/>
      <c r="BY56" s="226">
        <f t="shared" si="84"/>
        <v>0</v>
      </c>
      <c r="CA56" s="109">
        <v>44422</v>
      </c>
      <c r="CB56" s="184">
        <v>17568.439999999999</v>
      </c>
      <c r="CC56" s="185">
        <v>2776.76</v>
      </c>
      <c r="CD56" s="110"/>
      <c r="CE56" s="187"/>
      <c r="CF56" s="204"/>
      <c r="CG56" s="215"/>
      <c r="CH56" s="28"/>
      <c r="CI56" s="28"/>
      <c r="CJ56" s="226">
        <f t="shared" si="85"/>
        <v>0</v>
      </c>
      <c r="CL56" s="109">
        <v>44422</v>
      </c>
      <c r="CM56" s="184">
        <v>11367.3</v>
      </c>
      <c r="CN56" s="185">
        <v>2302.52</v>
      </c>
      <c r="CO56" s="110"/>
      <c r="CP56" s="115"/>
      <c r="CQ56" s="204"/>
      <c r="CR56" s="88">
        <v>77.88</v>
      </c>
      <c r="CS56" s="328">
        <v>22.519629999999999</v>
      </c>
      <c r="CT56" s="28"/>
      <c r="CU56" s="226">
        <f t="shared" si="86"/>
        <v>100.39963</v>
      </c>
      <c r="CW56" s="109">
        <v>44422</v>
      </c>
      <c r="CX56" s="184">
        <v>6083.73</v>
      </c>
      <c r="CY56" s="185">
        <v>1435.5</v>
      </c>
      <c r="CZ56" s="110"/>
      <c r="DA56" s="186">
        <v>3.4</v>
      </c>
      <c r="DB56" s="204"/>
      <c r="DC56" s="88">
        <v>106.02060000000004</v>
      </c>
      <c r="DD56" s="329">
        <v>44.774810000000059</v>
      </c>
      <c r="DE56" s="28"/>
      <c r="DF56" s="226">
        <f t="shared" si="87"/>
        <v>154.19541000000009</v>
      </c>
      <c r="DH56" s="109">
        <v>44422</v>
      </c>
      <c r="DI56" s="184">
        <v>2115</v>
      </c>
      <c r="DJ56" s="113"/>
      <c r="DK56" s="110"/>
      <c r="DL56" s="115"/>
      <c r="DM56" s="204"/>
      <c r="DN56" s="215"/>
      <c r="DO56" s="28"/>
      <c r="DP56" s="28"/>
      <c r="DQ56" s="226">
        <f t="shared" si="88"/>
        <v>0</v>
      </c>
      <c r="DS56" s="109">
        <v>44422</v>
      </c>
      <c r="DT56" s="184">
        <v>0</v>
      </c>
      <c r="DU56" s="185">
        <v>150.02000000000001</v>
      </c>
      <c r="DV56" s="110"/>
      <c r="DW56" s="115"/>
      <c r="DX56" s="204"/>
      <c r="DY56" s="88">
        <v>120.20778000000001</v>
      </c>
      <c r="DZ56" s="329"/>
      <c r="EA56" s="335"/>
      <c r="EB56" s="226">
        <f t="shared" si="89"/>
        <v>120.20778000000001</v>
      </c>
      <c r="ED56" s="109">
        <v>44422</v>
      </c>
      <c r="EE56" s="184">
        <v>7493.76</v>
      </c>
      <c r="EF56" s="185">
        <v>1703.99</v>
      </c>
      <c r="EG56" s="110"/>
      <c r="EH56" s="186">
        <v>84.27</v>
      </c>
      <c r="EI56" s="204"/>
      <c r="EJ56" s="88">
        <v>17.25797</v>
      </c>
      <c r="EK56" s="28"/>
      <c r="EL56" s="28"/>
      <c r="EM56" s="226">
        <f t="shared" si="90"/>
        <v>101.52797</v>
      </c>
      <c r="EO56" s="109">
        <v>44422</v>
      </c>
      <c r="EP56" s="188">
        <v>756.09</v>
      </c>
      <c r="EQ56" s="184">
        <v>1166.78</v>
      </c>
      <c r="ER56" s="110"/>
      <c r="ES56" s="115"/>
      <c r="ET56" s="204"/>
      <c r="EU56" s="215"/>
      <c r="EV56" s="28"/>
      <c r="EW56" s="28"/>
      <c r="EX56" s="226">
        <f t="shared" si="91"/>
        <v>0</v>
      </c>
    </row>
    <row r="57" spans="1:154" x14ac:dyDescent="0.25">
      <c r="A57" s="109">
        <v>44423</v>
      </c>
      <c r="B57" s="177">
        <v>20823.8</v>
      </c>
      <c r="C57" s="178">
        <v>4522.32</v>
      </c>
      <c r="D57" s="179">
        <v>3162.99</v>
      </c>
      <c r="E57" s="181">
        <v>194.14</v>
      </c>
      <c r="F57" s="180"/>
      <c r="H57" s="215"/>
      <c r="I57" s="28"/>
      <c r="J57" s="28"/>
      <c r="K57" s="226">
        <f t="shared" si="78"/>
        <v>0</v>
      </c>
      <c r="M57" s="109">
        <v>44423</v>
      </c>
      <c r="N57" s="182">
        <v>7191.3</v>
      </c>
      <c r="O57" s="182">
        <v>601.29999999999995</v>
      </c>
      <c r="P57" s="110"/>
      <c r="Q57" s="183"/>
      <c r="R57" s="204"/>
      <c r="S57" s="88">
        <v>74.336439999999925</v>
      </c>
      <c r="T57" s="329"/>
      <c r="U57" s="28"/>
      <c r="V57" s="226">
        <f t="shared" si="79"/>
        <v>74.336439999999925</v>
      </c>
      <c r="X57" s="109">
        <v>44423</v>
      </c>
      <c r="Y57" s="184">
        <v>4680.84</v>
      </c>
      <c r="Z57" s="185">
        <v>2081.0100000000002</v>
      </c>
      <c r="AA57" s="185"/>
      <c r="AB57" s="186">
        <v>64.48</v>
      </c>
      <c r="AC57" s="204"/>
      <c r="AD57" s="88">
        <v>16.790796999999969</v>
      </c>
      <c r="AE57" s="28"/>
      <c r="AF57" s="28"/>
      <c r="AG57" s="226">
        <f t="shared" si="80"/>
        <v>81.270796999999973</v>
      </c>
      <c r="AI57" s="109">
        <v>44423</v>
      </c>
      <c r="AJ57" s="184">
        <v>2385.85</v>
      </c>
      <c r="AK57" s="185">
        <v>350.58</v>
      </c>
      <c r="AL57" s="110"/>
      <c r="AM57" s="111"/>
      <c r="AN57" s="204"/>
      <c r="AO57" s="215"/>
      <c r="AP57" s="28"/>
      <c r="AQ57" s="28"/>
      <c r="AR57" s="226">
        <f t="shared" si="81"/>
        <v>0</v>
      </c>
      <c r="AT57" s="109">
        <v>44423</v>
      </c>
      <c r="AU57" s="185">
        <v>301</v>
      </c>
      <c r="AV57" s="185">
        <v>71.98</v>
      </c>
      <c r="AW57" s="110"/>
      <c r="AX57" s="186"/>
      <c r="AY57" s="204"/>
      <c r="AZ57" s="88">
        <v>223.54410800000002</v>
      </c>
      <c r="BA57" s="28"/>
      <c r="BB57" s="28"/>
      <c r="BC57" s="226">
        <f t="shared" si="82"/>
        <v>223.54410800000002</v>
      </c>
      <c r="BE57" s="109">
        <v>44423</v>
      </c>
      <c r="BF57" s="184">
        <v>6125.74</v>
      </c>
      <c r="BG57" s="185">
        <v>1132.18</v>
      </c>
      <c r="BH57" s="110"/>
      <c r="BI57" s="186"/>
      <c r="BJ57" s="204"/>
      <c r="BK57" s="88">
        <v>200.85162999999989</v>
      </c>
      <c r="BL57" s="329">
        <v>36.155129999999986</v>
      </c>
      <c r="BM57" s="28"/>
      <c r="BN57" s="226">
        <f t="shared" si="83"/>
        <v>237.00675999999987</v>
      </c>
      <c r="BP57" s="109">
        <v>44423</v>
      </c>
      <c r="BQ57" s="185">
        <v>628.4</v>
      </c>
      <c r="BR57" s="185">
        <v>428.38</v>
      </c>
      <c r="BS57" s="110"/>
      <c r="BT57" s="187">
        <v>24</v>
      </c>
      <c r="BU57" s="204"/>
      <c r="BV57" s="215"/>
      <c r="BW57" s="28"/>
      <c r="BX57" s="28"/>
      <c r="BY57" s="226">
        <f t="shared" si="84"/>
        <v>24</v>
      </c>
      <c r="CA57" s="109">
        <v>44423</v>
      </c>
      <c r="CB57" s="184">
        <v>22724.84</v>
      </c>
      <c r="CC57" s="185">
        <v>2651.73</v>
      </c>
      <c r="CD57" s="110"/>
      <c r="CE57" s="187"/>
      <c r="CF57" s="204"/>
      <c r="CG57" s="215"/>
      <c r="CH57" s="28"/>
      <c r="CI57" s="28"/>
      <c r="CJ57" s="226">
        <f t="shared" si="85"/>
        <v>0</v>
      </c>
      <c r="CL57" s="109">
        <v>44423</v>
      </c>
      <c r="CM57" s="184">
        <v>10260.07</v>
      </c>
      <c r="CN57" s="185">
        <v>2157.17</v>
      </c>
      <c r="CO57" s="110"/>
      <c r="CP57" s="115"/>
      <c r="CQ57" s="204"/>
      <c r="CR57" s="88">
        <v>42.543000000000006</v>
      </c>
      <c r="CS57" s="328"/>
      <c r="CT57" s="28"/>
      <c r="CU57" s="226">
        <f t="shared" si="86"/>
        <v>42.543000000000006</v>
      </c>
      <c r="CW57" s="109">
        <v>44423</v>
      </c>
      <c r="CX57" s="184">
        <v>4240.41</v>
      </c>
      <c r="CY57" s="185">
        <v>2042.89</v>
      </c>
      <c r="CZ57" s="110"/>
      <c r="DA57" s="186">
        <v>0</v>
      </c>
      <c r="DB57" s="204"/>
      <c r="DC57" s="88">
        <v>113.56944999999999</v>
      </c>
      <c r="DD57" s="329">
        <v>89.318873999999937</v>
      </c>
      <c r="DE57" s="28"/>
      <c r="DF57" s="226">
        <f t="shared" si="87"/>
        <v>202.88832399999993</v>
      </c>
      <c r="DH57" s="109">
        <v>44423</v>
      </c>
      <c r="DI57" s="184">
        <v>845.08</v>
      </c>
      <c r="DJ57" s="113"/>
      <c r="DK57" s="110"/>
      <c r="DL57" s="115"/>
      <c r="DM57" s="204"/>
      <c r="DN57" s="215"/>
      <c r="DO57" s="28"/>
      <c r="DP57" s="28"/>
      <c r="DQ57" s="226">
        <f t="shared" si="88"/>
        <v>0</v>
      </c>
      <c r="DS57" s="109">
        <v>44423</v>
      </c>
      <c r="DT57" s="184">
        <v>1272.07</v>
      </c>
      <c r="DU57" s="185">
        <v>235.4</v>
      </c>
      <c r="DV57" s="110"/>
      <c r="DW57" s="115"/>
      <c r="DX57" s="204"/>
      <c r="DY57" s="88">
        <v>199.12973</v>
      </c>
      <c r="DZ57" s="329">
        <v>103.44996000000008</v>
      </c>
      <c r="EA57" s="335"/>
      <c r="EB57" s="226">
        <f t="shared" si="89"/>
        <v>302.57969000000008</v>
      </c>
      <c r="ED57" s="109">
        <v>44423</v>
      </c>
      <c r="EE57" s="184">
        <v>6135.06</v>
      </c>
      <c r="EF57" s="185">
        <v>2127.6799999999998</v>
      </c>
      <c r="EG57" s="110"/>
      <c r="EH57" s="186">
        <v>108.55</v>
      </c>
      <c r="EI57" s="204"/>
      <c r="EJ57" s="88"/>
      <c r="EK57" s="28"/>
      <c r="EL57" s="28"/>
      <c r="EM57" s="226">
        <f t="shared" si="90"/>
        <v>108.55</v>
      </c>
      <c r="EO57" s="109">
        <v>44423</v>
      </c>
      <c r="EP57" s="188">
        <v>1216.5999999999999</v>
      </c>
      <c r="EQ57" s="184">
        <v>1021.11</v>
      </c>
      <c r="ER57" s="110"/>
      <c r="ES57" s="115"/>
      <c r="ET57" s="204"/>
      <c r="EU57" s="215"/>
      <c r="EV57" s="28"/>
      <c r="EW57" s="28"/>
      <c r="EX57" s="226">
        <f t="shared" si="91"/>
        <v>0</v>
      </c>
    </row>
    <row r="58" spans="1:154" x14ac:dyDescent="0.25">
      <c r="A58" s="109">
        <v>44424</v>
      </c>
      <c r="B58" s="177">
        <v>20317.45</v>
      </c>
      <c r="C58" s="178">
        <v>4148.79</v>
      </c>
      <c r="D58" s="179">
        <v>3289.53</v>
      </c>
      <c r="E58" s="181">
        <v>169.16</v>
      </c>
      <c r="F58" s="180"/>
      <c r="H58" s="215"/>
      <c r="I58" s="28"/>
      <c r="J58" s="28"/>
      <c r="K58" s="226">
        <f t="shared" si="78"/>
        <v>0</v>
      </c>
      <c r="M58" s="109">
        <v>44424</v>
      </c>
      <c r="N58" s="182">
        <v>5703.22</v>
      </c>
      <c r="O58" s="182">
        <v>416.34</v>
      </c>
      <c r="P58" s="110"/>
      <c r="Q58" s="183"/>
      <c r="R58" s="204"/>
      <c r="S58" s="88">
        <v>49.506480000000096</v>
      </c>
      <c r="T58" s="329">
        <v>19.146950000000004</v>
      </c>
      <c r="U58" s="28"/>
      <c r="V58" s="226">
        <f t="shared" si="79"/>
        <v>68.6534300000001</v>
      </c>
      <c r="X58" s="109">
        <v>44424</v>
      </c>
      <c r="Y58" s="184">
        <v>5983.92</v>
      </c>
      <c r="Z58" s="185">
        <v>1888.9</v>
      </c>
      <c r="AA58" s="185"/>
      <c r="AB58" s="186">
        <v>26.04</v>
      </c>
      <c r="AC58" s="204"/>
      <c r="AD58" s="88">
        <v>85.499999999999943</v>
      </c>
      <c r="AE58" s="28"/>
      <c r="AF58" s="28"/>
      <c r="AG58" s="226">
        <f t="shared" si="80"/>
        <v>111.53999999999994</v>
      </c>
      <c r="AI58" s="109">
        <v>44424</v>
      </c>
      <c r="AJ58" s="184">
        <v>4159.96</v>
      </c>
      <c r="AK58" s="185">
        <v>743.01</v>
      </c>
      <c r="AL58" s="110"/>
      <c r="AM58" s="111"/>
      <c r="AN58" s="204"/>
      <c r="AO58" s="215"/>
      <c r="AP58" s="28"/>
      <c r="AQ58" s="28"/>
      <c r="AR58" s="226">
        <f t="shared" si="81"/>
        <v>0</v>
      </c>
      <c r="AT58" s="109">
        <v>44424</v>
      </c>
      <c r="AU58" s="185">
        <v>1329</v>
      </c>
      <c r="AV58" s="185">
        <v>0</v>
      </c>
      <c r="AW58" s="110"/>
      <c r="AX58" s="186"/>
      <c r="AY58" s="204"/>
      <c r="AZ58" s="88">
        <v>281.44542200000024</v>
      </c>
      <c r="BA58" s="28"/>
      <c r="BB58" s="28"/>
      <c r="BC58" s="226">
        <f t="shared" si="82"/>
        <v>281.44542200000024</v>
      </c>
      <c r="BE58" s="109">
        <v>44424</v>
      </c>
      <c r="BF58" s="184">
        <v>4507.2299999999996</v>
      </c>
      <c r="BG58" s="185">
        <v>972.01</v>
      </c>
      <c r="BH58" s="110"/>
      <c r="BI58" s="186"/>
      <c r="BJ58" s="204"/>
      <c r="BK58" s="88">
        <v>158.50860999999992</v>
      </c>
      <c r="BL58" s="329"/>
      <c r="BM58" s="28"/>
      <c r="BN58" s="226">
        <f t="shared" si="83"/>
        <v>158.50860999999992</v>
      </c>
      <c r="BP58" s="109">
        <v>44424</v>
      </c>
      <c r="BQ58" s="185">
        <v>500</v>
      </c>
      <c r="BR58" s="185">
        <v>327</v>
      </c>
      <c r="BS58" s="110"/>
      <c r="BT58" s="187"/>
      <c r="BU58" s="204"/>
      <c r="BV58" s="215"/>
      <c r="BW58" s="28"/>
      <c r="BX58" s="28"/>
      <c r="BY58" s="226">
        <f t="shared" si="84"/>
        <v>0</v>
      </c>
      <c r="CA58" s="109">
        <v>44424</v>
      </c>
      <c r="CB58" s="184">
        <v>19041.96</v>
      </c>
      <c r="CC58" s="185">
        <v>1869.27</v>
      </c>
      <c r="CD58" s="110"/>
      <c r="CE58" s="187"/>
      <c r="CF58" s="204"/>
      <c r="CG58" s="215"/>
      <c r="CH58" s="28"/>
      <c r="CI58" s="28"/>
      <c r="CJ58" s="226">
        <f t="shared" si="85"/>
        <v>0</v>
      </c>
      <c r="CL58" s="109">
        <v>44424</v>
      </c>
      <c r="CM58" s="184">
        <v>9222.56</v>
      </c>
      <c r="CN58" s="185">
        <v>1882.85</v>
      </c>
      <c r="CO58" s="110"/>
      <c r="CP58" s="115"/>
      <c r="CQ58" s="204"/>
      <c r="CR58" s="88">
        <v>36.12731999999999</v>
      </c>
      <c r="CS58" s="328">
        <v>13.00732</v>
      </c>
      <c r="CT58" s="28"/>
      <c r="CU58" s="226">
        <f t="shared" si="86"/>
        <v>49.13463999999999</v>
      </c>
      <c r="CW58" s="109">
        <v>44424</v>
      </c>
      <c r="CX58" s="184">
        <v>5681.29</v>
      </c>
      <c r="CY58" s="185">
        <v>1205.3</v>
      </c>
      <c r="CZ58" s="110"/>
      <c r="DA58" s="186">
        <v>16.12</v>
      </c>
      <c r="DB58" s="204"/>
      <c r="DC58" s="88">
        <v>162.01517000000007</v>
      </c>
      <c r="DD58" s="329"/>
      <c r="DE58" s="28"/>
      <c r="DF58" s="226">
        <f t="shared" si="87"/>
        <v>178.13517000000007</v>
      </c>
      <c r="DH58" s="109">
        <v>44424</v>
      </c>
      <c r="DI58" s="184">
        <v>1531.76</v>
      </c>
      <c r="DJ58" s="113"/>
      <c r="DK58" s="110"/>
      <c r="DL58" s="115"/>
      <c r="DM58" s="204"/>
      <c r="DN58" s="215"/>
      <c r="DO58" s="28"/>
      <c r="DP58" s="28"/>
      <c r="DQ58" s="226">
        <f t="shared" si="88"/>
        <v>0</v>
      </c>
      <c r="DS58" s="109">
        <v>44424</v>
      </c>
      <c r="DT58" s="184">
        <v>3109.74</v>
      </c>
      <c r="DU58" s="185">
        <v>559.98</v>
      </c>
      <c r="DV58" s="110"/>
      <c r="DW58" s="115"/>
      <c r="DX58" s="204"/>
      <c r="DY58" s="88">
        <v>51.536599999999964</v>
      </c>
      <c r="DZ58" s="329"/>
      <c r="EA58" s="335"/>
      <c r="EB58" s="226">
        <f t="shared" si="89"/>
        <v>51.536599999999964</v>
      </c>
      <c r="ED58" s="109">
        <v>44424</v>
      </c>
      <c r="EE58" s="184">
        <v>6790.05</v>
      </c>
      <c r="EF58" s="185">
        <v>1996.71</v>
      </c>
      <c r="EG58" s="110"/>
      <c r="EH58" s="186">
        <v>123.71</v>
      </c>
      <c r="EI58" s="204"/>
      <c r="EJ58" s="88"/>
      <c r="EK58" s="28"/>
      <c r="EL58" s="28"/>
      <c r="EM58" s="226">
        <f t="shared" si="90"/>
        <v>123.71</v>
      </c>
      <c r="EO58" s="109">
        <v>44424</v>
      </c>
      <c r="EP58" s="188">
        <v>1174.0899999999999</v>
      </c>
      <c r="EQ58" s="184">
        <v>913.6</v>
      </c>
      <c r="ER58" s="110"/>
      <c r="ES58" s="115"/>
      <c r="ET58" s="204"/>
      <c r="EU58" s="215"/>
      <c r="EV58" s="28"/>
      <c r="EW58" s="28"/>
      <c r="EX58" s="226">
        <f t="shared" si="91"/>
        <v>0</v>
      </c>
    </row>
    <row r="59" spans="1:154" x14ac:dyDescent="0.25">
      <c r="A59" s="109">
        <v>44425</v>
      </c>
      <c r="B59" s="177">
        <v>18576</v>
      </c>
      <c r="C59" s="178">
        <v>3027.89</v>
      </c>
      <c r="D59" s="179">
        <v>2186.4</v>
      </c>
      <c r="E59" s="181">
        <v>68.099999999999994</v>
      </c>
      <c r="F59" s="180"/>
      <c r="H59" s="215"/>
      <c r="I59" s="28"/>
      <c r="J59" s="28"/>
      <c r="K59" s="226">
        <f t="shared" si="78"/>
        <v>0</v>
      </c>
      <c r="M59" s="109">
        <v>44425</v>
      </c>
      <c r="N59" s="182">
        <v>3006.39</v>
      </c>
      <c r="O59" s="182">
        <v>748.22</v>
      </c>
      <c r="P59" s="110"/>
      <c r="Q59" s="183"/>
      <c r="R59" s="204"/>
      <c r="S59" s="88">
        <v>26.820239999999998</v>
      </c>
      <c r="T59" s="329"/>
      <c r="U59" s="28"/>
      <c r="V59" s="226">
        <f t="shared" si="79"/>
        <v>26.820239999999998</v>
      </c>
      <c r="X59" s="109">
        <v>44425</v>
      </c>
      <c r="Y59" s="184">
        <v>4049.92</v>
      </c>
      <c r="Z59" s="185">
        <v>1897.9</v>
      </c>
      <c r="AA59" s="185"/>
      <c r="AB59" s="186">
        <v>132</v>
      </c>
      <c r="AC59" s="204"/>
      <c r="AD59" s="88">
        <v>6.2800000000000011</v>
      </c>
      <c r="AE59" s="28"/>
      <c r="AF59" s="28"/>
      <c r="AG59" s="226">
        <f t="shared" si="80"/>
        <v>138.28</v>
      </c>
      <c r="AI59" s="109">
        <v>44425</v>
      </c>
      <c r="AJ59" s="184">
        <v>2651.28</v>
      </c>
      <c r="AK59" s="185">
        <v>456.48</v>
      </c>
      <c r="AL59" s="110"/>
      <c r="AM59" s="111"/>
      <c r="AN59" s="204"/>
      <c r="AO59" s="215"/>
      <c r="AP59" s="28"/>
      <c r="AQ59" s="28"/>
      <c r="AR59" s="226">
        <f t="shared" si="81"/>
        <v>0</v>
      </c>
      <c r="AT59" s="109">
        <v>44425</v>
      </c>
      <c r="AU59" s="185">
        <v>536</v>
      </c>
      <c r="AV59" s="185">
        <v>30</v>
      </c>
      <c r="AW59" s="110"/>
      <c r="AX59" s="186"/>
      <c r="AY59" s="204"/>
      <c r="AZ59" s="88">
        <v>309.89992800000039</v>
      </c>
      <c r="BA59" s="28"/>
      <c r="BB59" s="28"/>
      <c r="BC59" s="226">
        <f t="shared" si="82"/>
        <v>309.89992800000039</v>
      </c>
      <c r="BE59" s="109">
        <v>44425</v>
      </c>
      <c r="BF59" s="184">
        <v>3470.76</v>
      </c>
      <c r="BG59" s="185">
        <v>792.94</v>
      </c>
      <c r="BH59" s="110"/>
      <c r="BI59" s="186"/>
      <c r="BJ59" s="204"/>
      <c r="BK59" s="88">
        <v>89.736439999999988</v>
      </c>
      <c r="BL59" s="329">
        <v>245.02763999999996</v>
      </c>
      <c r="BM59" s="28"/>
      <c r="BN59" s="226">
        <f t="shared" si="83"/>
        <v>334.76407999999992</v>
      </c>
      <c r="BP59" s="109">
        <v>44425</v>
      </c>
      <c r="BQ59" s="185">
        <v>537.71</v>
      </c>
      <c r="BR59" s="185">
        <v>429.87</v>
      </c>
      <c r="BS59" s="110"/>
      <c r="BT59" s="187"/>
      <c r="BU59" s="204"/>
      <c r="BV59" s="215"/>
      <c r="BW59" s="28"/>
      <c r="BX59" s="28"/>
      <c r="BY59" s="226">
        <f t="shared" si="84"/>
        <v>0</v>
      </c>
      <c r="CA59" s="109">
        <v>44425</v>
      </c>
      <c r="CB59" s="184">
        <v>18120.060000000001</v>
      </c>
      <c r="CC59" s="185">
        <v>2054.5100000000002</v>
      </c>
      <c r="CD59" s="110"/>
      <c r="CE59" s="187"/>
      <c r="CF59" s="204"/>
      <c r="CG59" s="215"/>
      <c r="CH59" s="28"/>
      <c r="CI59" s="28"/>
      <c r="CJ59" s="226">
        <f t="shared" si="85"/>
        <v>0</v>
      </c>
      <c r="CL59" s="109">
        <v>44425</v>
      </c>
      <c r="CM59" s="184">
        <v>5792.97</v>
      </c>
      <c r="CN59" s="185">
        <v>1555.63</v>
      </c>
      <c r="CO59" s="110"/>
      <c r="CP59" s="115"/>
      <c r="CQ59" s="204"/>
      <c r="CR59" s="88">
        <v>90.087689999999952</v>
      </c>
      <c r="CS59" s="328"/>
      <c r="CT59" s="28"/>
      <c r="CU59" s="226">
        <f t="shared" si="86"/>
        <v>90.087689999999952</v>
      </c>
      <c r="CW59" s="109">
        <v>44425</v>
      </c>
      <c r="CX59" s="184">
        <v>4754.7299999999996</v>
      </c>
      <c r="CY59" s="185">
        <v>2016.83</v>
      </c>
      <c r="CZ59" s="110"/>
      <c r="DA59" s="186">
        <v>0</v>
      </c>
      <c r="DB59" s="204"/>
      <c r="DC59" s="88">
        <v>114.39000000000003</v>
      </c>
      <c r="DD59" s="329">
        <v>70.784162000000009</v>
      </c>
      <c r="DE59" s="28"/>
      <c r="DF59" s="226">
        <f t="shared" si="87"/>
        <v>185.17416200000002</v>
      </c>
      <c r="DH59" s="109">
        <v>44425</v>
      </c>
      <c r="DI59" s="184">
        <v>1799.5</v>
      </c>
      <c r="DJ59" s="113"/>
      <c r="DK59" s="110"/>
      <c r="DL59" s="115"/>
      <c r="DM59" s="204"/>
      <c r="DN59" s="215"/>
      <c r="DO59" s="28"/>
      <c r="DP59" s="28"/>
      <c r="DQ59" s="226">
        <f t="shared" si="88"/>
        <v>0</v>
      </c>
      <c r="DS59" s="109">
        <v>44425</v>
      </c>
      <c r="DT59" s="184">
        <v>695.02</v>
      </c>
      <c r="DU59" s="185">
        <v>480.71</v>
      </c>
      <c r="DV59" s="110"/>
      <c r="DW59" s="115"/>
      <c r="DX59" s="204"/>
      <c r="DY59" s="88">
        <v>33.017459999999971</v>
      </c>
      <c r="DZ59" s="329">
        <v>286.29568000000017</v>
      </c>
      <c r="EA59" s="335"/>
      <c r="EB59" s="226">
        <f t="shared" si="89"/>
        <v>319.31314000000015</v>
      </c>
      <c r="ED59" s="109">
        <v>44425</v>
      </c>
      <c r="EE59" s="184">
        <v>4857.49</v>
      </c>
      <c r="EF59" s="185">
        <v>2135.11</v>
      </c>
      <c r="EG59" s="110"/>
      <c r="EH59" s="186">
        <v>98.18</v>
      </c>
      <c r="EI59" s="204"/>
      <c r="EJ59" s="88"/>
      <c r="EK59" s="28"/>
      <c r="EL59" s="28"/>
      <c r="EM59" s="226">
        <f t="shared" si="90"/>
        <v>98.18</v>
      </c>
      <c r="EO59" s="109">
        <v>44425</v>
      </c>
      <c r="EP59" s="188">
        <v>659.66</v>
      </c>
      <c r="EQ59" s="184">
        <v>700.35</v>
      </c>
      <c r="ER59" s="110"/>
      <c r="ES59" s="115"/>
      <c r="ET59" s="204"/>
      <c r="EU59" s="215"/>
      <c r="EV59" s="28"/>
      <c r="EW59" s="28"/>
      <c r="EX59" s="226">
        <f t="shared" si="91"/>
        <v>0</v>
      </c>
    </row>
    <row r="60" spans="1:154" x14ac:dyDescent="0.25">
      <c r="A60" s="109">
        <v>44426</v>
      </c>
      <c r="B60" s="177">
        <v>24944.91</v>
      </c>
      <c r="C60" s="178">
        <v>3530.11</v>
      </c>
      <c r="D60" s="179">
        <v>4512.58</v>
      </c>
      <c r="E60" s="181">
        <v>233.71</v>
      </c>
      <c r="F60" s="180"/>
      <c r="H60" s="215"/>
      <c r="I60" s="28"/>
      <c r="J60" s="28"/>
      <c r="K60" s="226">
        <f t="shared" si="78"/>
        <v>0</v>
      </c>
      <c r="M60" s="109">
        <v>44426</v>
      </c>
      <c r="N60" s="182">
        <v>7621.86</v>
      </c>
      <c r="O60" s="182">
        <v>531.63</v>
      </c>
      <c r="P60" s="110"/>
      <c r="Q60" s="192"/>
      <c r="R60" s="204"/>
      <c r="S60" s="88">
        <v>43.244719999999901</v>
      </c>
      <c r="T60" s="329"/>
      <c r="U60" s="28"/>
      <c r="V60" s="226">
        <f t="shared" si="79"/>
        <v>43.244719999999901</v>
      </c>
      <c r="X60" s="109">
        <v>44426</v>
      </c>
      <c r="Y60" s="184">
        <v>5937.99</v>
      </c>
      <c r="Z60" s="185">
        <v>1970.82</v>
      </c>
      <c r="AA60" s="185"/>
      <c r="AB60" s="186">
        <v>342.85</v>
      </c>
      <c r="AC60" s="204"/>
      <c r="AD60" s="88">
        <v>15.376342999999963</v>
      </c>
      <c r="AE60" s="28"/>
      <c r="AF60" s="28"/>
      <c r="AG60" s="226">
        <f t="shared" si="80"/>
        <v>358.22634299999999</v>
      </c>
      <c r="AI60" s="109">
        <v>44426</v>
      </c>
      <c r="AJ60" s="184">
        <v>1850.8</v>
      </c>
      <c r="AK60" s="185">
        <v>305.79000000000002</v>
      </c>
      <c r="AL60" s="110"/>
      <c r="AM60" s="111"/>
      <c r="AN60" s="204"/>
      <c r="AO60" s="215"/>
      <c r="AP60" s="28"/>
      <c r="AQ60" s="28"/>
      <c r="AR60" s="226">
        <f t="shared" si="81"/>
        <v>0</v>
      </c>
      <c r="AT60" s="109">
        <v>44426</v>
      </c>
      <c r="AU60" s="185">
        <v>709.91</v>
      </c>
      <c r="AV60" s="185">
        <v>0</v>
      </c>
      <c r="AW60" s="110"/>
      <c r="AX60" s="186">
        <v>117</v>
      </c>
      <c r="AY60" s="204"/>
      <c r="AZ60" s="88">
        <v>150.43961000000002</v>
      </c>
      <c r="BA60" s="28"/>
      <c r="BB60" s="28"/>
      <c r="BC60" s="226">
        <f t="shared" si="82"/>
        <v>267.43961000000002</v>
      </c>
      <c r="BE60" s="109">
        <v>44426</v>
      </c>
      <c r="BF60" s="184">
        <v>4997.8999999999996</v>
      </c>
      <c r="BG60" s="185">
        <v>712.01</v>
      </c>
      <c r="BH60" s="110"/>
      <c r="BI60" s="186">
        <v>38.14</v>
      </c>
      <c r="BJ60" s="204"/>
      <c r="BK60" s="88">
        <v>300.9509299999998</v>
      </c>
      <c r="BL60" s="329"/>
      <c r="BM60" s="28"/>
      <c r="BN60" s="226">
        <f t="shared" si="83"/>
        <v>339.09092999999979</v>
      </c>
      <c r="BP60" s="109">
        <v>44426</v>
      </c>
      <c r="BQ60" s="185">
        <v>844.42</v>
      </c>
      <c r="BR60" s="185">
        <v>439.16</v>
      </c>
      <c r="BS60" s="110"/>
      <c r="BT60" s="187"/>
      <c r="BU60" s="204"/>
      <c r="BV60" s="215"/>
      <c r="BW60" s="28"/>
      <c r="BX60" s="28"/>
      <c r="BY60" s="226">
        <f t="shared" si="84"/>
        <v>0</v>
      </c>
      <c r="CA60" s="109">
        <v>44426</v>
      </c>
      <c r="CB60" s="184">
        <v>18858.41</v>
      </c>
      <c r="CC60" s="185">
        <v>2219.3000000000002</v>
      </c>
      <c r="CD60" s="110"/>
      <c r="CE60" s="187"/>
      <c r="CF60" s="204"/>
      <c r="CG60" s="215"/>
      <c r="CH60" s="28"/>
      <c r="CI60" s="28"/>
      <c r="CJ60" s="226">
        <f t="shared" si="85"/>
        <v>0</v>
      </c>
      <c r="CL60" s="109">
        <v>44426</v>
      </c>
      <c r="CM60" s="184">
        <v>11224.38</v>
      </c>
      <c r="CN60" s="185">
        <v>3090.78</v>
      </c>
      <c r="CO60" s="110"/>
      <c r="CP60" s="115"/>
      <c r="CQ60" s="204"/>
      <c r="CR60" s="88">
        <v>90.430769999999967</v>
      </c>
      <c r="CS60" s="328">
        <v>209.6657899999999</v>
      </c>
      <c r="CT60" s="28"/>
      <c r="CU60" s="226">
        <f t="shared" si="86"/>
        <v>300.09655999999984</v>
      </c>
      <c r="CW60" s="109">
        <v>44426</v>
      </c>
      <c r="CX60" s="184">
        <v>2951.35</v>
      </c>
      <c r="CY60" s="185">
        <v>810.92</v>
      </c>
      <c r="CZ60" s="110"/>
      <c r="DA60" s="186">
        <v>12</v>
      </c>
      <c r="DB60" s="204"/>
      <c r="DC60" s="88">
        <v>175.07976899999989</v>
      </c>
      <c r="DD60" s="329"/>
      <c r="DE60" s="28"/>
      <c r="DF60" s="226">
        <f t="shared" si="87"/>
        <v>187.07976899999989</v>
      </c>
      <c r="DH60" s="109">
        <v>44426</v>
      </c>
      <c r="DI60" s="184">
        <v>1590.03</v>
      </c>
      <c r="DJ60" s="113"/>
      <c r="DK60" s="110"/>
      <c r="DL60" s="115"/>
      <c r="DM60" s="204"/>
      <c r="DN60" s="215"/>
      <c r="DO60" s="28"/>
      <c r="DP60" s="28"/>
      <c r="DQ60" s="226">
        <f t="shared" si="88"/>
        <v>0</v>
      </c>
      <c r="DS60" s="109">
        <v>44426</v>
      </c>
      <c r="DT60" s="184">
        <v>2244.6799999999998</v>
      </c>
      <c r="DU60" s="185">
        <v>0</v>
      </c>
      <c r="DV60" s="110"/>
      <c r="DW60" s="115"/>
      <c r="DX60" s="204"/>
      <c r="DY60" s="88">
        <v>164.46876800000001</v>
      </c>
      <c r="DZ60" s="329">
        <v>16.710320999999993</v>
      </c>
      <c r="EA60" s="335"/>
      <c r="EB60" s="226">
        <f t="shared" si="89"/>
        <v>181.179089</v>
      </c>
      <c r="ED60" s="109">
        <v>44426</v>
      </c>
      <c r="EE60" s="184">
        <v>5372.87</v>
      </c>
      <c r="EF60" s="185">
        <v>1819.85</v>
      </c>
      <c r="EG60" s="110"/>
      <c r="EH60" s="186">
        <v>91.51</v>
      </c>
      <c r="EI60" s="204"/>
      <c r="EJ60" s="88"/>
      <c r="EK60" s="28"/>
      <c r="EL60" s="28"/>
      <c r="EM60" s="226">
        <f t="shared" si="90"/>
        <v>91.51</v>
      </c>
      <c r="EO60" s="109">
        <v>44426</v>
      </c>
      <c r="EP60" s="188">
        <v>1244.47</v>
      </c>
      <c r="EQ60" s="184">
        <v>668.95</v>
      </c>
      <c r="ER60" s="110"/>
      <c r="ES60" s="115"/>
      <c r="ET60" s="204"/>
      <c r="EU60" s="215"/>
      <c r="EV60" s="28"/>
      <c r="EW60" s="28"/>
      <c r="EX60" s="226">
        <f t="shared" si="91"/>
        <v>0</v>
      </c>
    </row>
    <row r="61" spans="1:154" x14ac:dyDescent="0.25">
      <c r="A61" s="109">
        <v>44427</v>
      </c>
      <c r="B61" s="177">
        <v>18499.259999999998</v>
      </c>
      <c r="C61" s="178">
        <v>4103.93</v>
      </c>
      <c r="D61" s="179">
        <v>4819.74</v>
      </c>
      <c r="E61" s="181">
        <v>210.8</v>
      </c>
      <c r="F61" s="180"/>
      <c r="H61" s="215"/>
      <c r="I61" s="28"/>
      <c r="J61" s="28"/>
      <c r="K61" s="226">
        <f t="shared" si="78"/>
        <v>0</v>
      </c>
      <c r="M61" s="109">
        <v>44427</v>
      </c>
      <c r="N61" s="182">
        <v>4963.28</v>
      </c>
      <c r="O61" s="182">
        <v>388.36</v>
      </c>
      <c r="P61" s="110"/>
      <c r="Q61" s="183"/>
      <c r="R61" s="204"/>
      <c r="S61" s="88">
        <v>160.55666000000019</v>
      </c>
      <c r="T61" s="329"/>
      <c r="U61" s="28"/>
      <c r="V61" s="226">
        <f t="shared" si="79"/>
        <v>160.55666000000019</v>
      </c>
      <c r="X61" s="109">
        <v>44427</v>
      </c>
      <c r="Y61" s="184">
        <v>4640.59</v>
      </c>
      <c r="Z61" s="185">
        <v>1851.31</v>
      </c>
      <c r="AA61" s="185"/>
      <c r="AB61" s="186">
        <v>110.52</v>
      </c>
      <c r="AC61" s="204"/>
      <c r="AD61" s="88">
        <v>349.31775699999992</v>
      </c>
      <c r="AE61" s="28"/>
      <c r="AF61" s="28"/>
      <c r="AG61" s="226">
        <f t="shared" si="80"/>
        <v>459.8377569999999</v>
      </c>
      <c r="AI61" s="109">
        <v>44427</v>
      </c>
      <c r="AJ61" s="184">
        <v>3785.28</v>
      </c>
      <c r="AK61" s="185">
        <v>428.9</v>
      </c>
      <c r="AL61" s="110"/>
      <c r="AM61" s="111"/>
      <c r="AN61" s="204"/>
      <c r="AO61" s="215"/>
      <c r="AP61" s="28"/>
      <c r="AQ61" s="28"/>
      <c r="AR61" s="226">
        <f t="shared" si="81"/>
        <v>0</v>
      </c>
      <c r="AT61" s="109">
        <v>44427</v>
      </c>
      <c r="AU61" s="185">
        <v>280</v>
      </c>
      <c r="AV61" s="185">
        <v>84</v>
      </c>
      <c r="AW61" s="110"/>
      <c r="AX61" s="186"/>
      <c r="AY61" s="204"/>
      <c r="AZ61" s="88">
        <v>84.198810000000051</v>
      </c>
      <c r="BA61" s="28"/>
      <c r="BB61" s="28"/>
      <c r="BC61" s="226">
        <f t="shared" si="82"/>
        <v>84.198810000000051</v>
      </c>
      <c r="BE61" s="109">
        <v>44427</v>
      </c>
      <c r="BF61" s="184">
        <v>4521.38</v>
      </c>
      <c r="BG61" s="185">
        <v>925.22</v>
      </c>
      <c r="BH61" s="110"/>
      <c r="BI61" s="186"/>
      <c r="BJ61" s="204"/>
      <c r="BK61" s="88">
        <v>184.26496999999992</v>
      </c>
      <c r="BL61" s="329"/>
      <c r="BM61" s="28"/>
      <c r="BN61" s="226">
        <f t="shared" si="83"/>
        <v>184.26496999999992</v>
      </c>
      <c r="BP61" s="109">
        <v>44427</v>
      </c>
      <c r="BQ61" s="185">
        <v>442.8</v>
      </c>
      <c r="BR61" s="185">
        <v>475.43</v>
      </c>
      <c r="BS61" s="110"/>
      <c r="BT61" s="187">
        <v>35.950000000000003</v>
      </c>
      <c r="BU61" s="204"/>
      <c r="BV61" s="215"/>
      <c r="BW61" s="28"/>
      <c r="BX61" s="28"/>
      <c r="BY61" s="226">
        <f t="shared" si="84"/>
        <v>35.950000000000003</v>
      </c>
      <c r="CA61" s="109">
        <v>44427</v>
      </c>
      <c r="CB61" s="184">
        <v>18394.95</v>
      </c>
      <c r="CC61" s="185">
        <v>2469.38</v>
      </c>
      <c r="CD61" s="110"/>
      <c r="CE61" s="187"/>
      <c r="CF61" s="204"/>
      <c r="CG61" s="215"/>
      <c r="CH61" s="28"/>
      <c r="CI61" s="28"/>
      <c r="CJ61" s="226">
        <f t="shared" si="85"/>
        <v>0</v>
      </c>
      <c r="CL61" s="109">
        <v>44427</v>
      </c>
      <c r="CM61" s="184">
        <v>11454.2</v>
      </c>
      <c r="CN61" s="185">
        <v>2534.2800000000002</v>
      </c>
      <c r="CO61" s="110"/>
      <c r="CP61" s="115"/>
      <c r="CQ61" s="204"/>
      <c r="CR61" s="88">
        <v>151.70537000000002</v>
      </c>
      <c r="CS61" s="328">
        <v>258.42311999999987</v>
      </c>
      <c r="CT61" s="28"/>
      <c r="CU61" s="226">
        <f t="shared" si="86"/>
        <v>410.12848999999989</v>
      </c>
      <c r="CW61" s="109">
        <v>44427</v>
      </c>
      <c r="CX61" s="184">
        <v>3942.21</v>
      </c>
      <c r="CY61" s="185">
        <v>1072.4000000000001</v>
      </c>
      <c r="CZ61" s="110"/>
      <c r="DA61" s="186">
        <v>7.2</v>
      </c>
      <c r="DB61" s="204"/>
      <c r="DC61" s="88">
        <v>222.96448600000016</v>
      </c>
      <c r="DD61" s="329">
        <v>226.29993300000029</v>
      </c>
      <c r="DE61" s="28"/>
      <c r="DF61" s="226">
        <f t="shared" si="87"/>
        <v>456.46441900000048</v>
      </c>
      <c r="DH61" s="109">
        <v>44427</v>
      </c>
      <c r="DI61" s="184">
        <v>1163.03</v>
      </c>
      <c r="DJ61" s="113"/>
      <c r="DK61" s="110"/>
      <c r="DL61" s="115"/>
      <c r="DM61" s="204"/>
      <c r="DN61" s="215"/>
      <c r="DO61" s="28"/>
      <c r="DP61" s="28"/>
      <c r="DQ61" s="226">
        <f t="shared" si="88"/>
        <v>0</v>
      </c>
      <c r="DS61" s="109">
        <v>44427</v>
      </c>
      <c r="DT61" s="184">
        <v>1382.6</v>
      </c>
      <c r="DU61" s="185">
        <v>347.11</v>
      </c>
      <c r="DV61" s="110"/>
      <c r="DW61" s="115"/>
      <c r="DX61" s="204"/>
      <c r="DY61" s="88">
        <v>54.957989999999981</v>
      </c>
      <c r="DZ61" s="329">
        <v>611.68883000000005</v>
      </c>
      <c r="EA61" s="335"/>
      <c r="EB61" s="226">
        <f t="shared" si="89"/>
        <v>666.64682000000005</v>
      </c>
      <c r="ED61" s="109">
        <v>44427</v>
      </c>
      <c r="EE61" s="184">
        <v>7479.15</v>
      </c>
      <c r="EF61" s="185">
        <v>1755.13</v>
      </c>
      <c r="EG61" s="110"/>
      <c r="EH61" s="186">
        <v>81.099999999999994</v>
      </c>
      <c r="EI61" s="204"/>
      <c r="EJ61" s="88">
        <v>38.377499999999998</v>
      </c>
      <c r="EK61" s="28"/>
      <c r="EL61" s="28"/>
      <c r="EM61" s="226">
        <f t="shared" si="90"/>
        <v>119.47749999999999</v>
      </c>
      <c r="EO61" s="109">
        <v>44427</v>
      </c>
      <c r="EP61" s="188">
        <v>1310.97</v>
      </c>
      <c r="EQ61" s="184">
        <v>898.86</v>
      </c>
      <c r="ER61" s="110"/>
      <c r="ES61" s="115"/>
      <c r="ET61" s="204"/>
      <c r="EU61" s="215"/>
      <c r="EV61" s="28"/>
      <c r="EW61" s="28"/>
      <c r="EX61" s="226">
        <f t="shared" si="91"/>
        <v>0</v>
      </c>
    </row>
    <row r="62" spans="1:154" x14ac:dyDescent="0.25">
      <c r="A62" s="109">
        <v>44428</v>
      </c>
      <c r="B62" s="177">
        <v>20651.21</v>
      </c>
      <c r="C62" s="178">
        <v>4287.7299999999996</v>
      </c>
      <c r="D62" s="179">
        <v>4973.6400000000003</v>
      </c>
      <c r="E62" s="181">
        <v>225.49</v>
      </c>
      <c r="F62" s="180"/>
      <c r="H62" s="215"/>
      <c r="I62" s="28"/>
      <c r="J62" s="28"/>
      <c r="K62" s="226">
        <f t="shared" si="78"/>
        <v>0</v>
      </c>
      <c r="M62" s="109">
        <v>44428</v>
      </c>
      <c r="N62" s="182">
        <v>5462.97</v>
      </c>
      <c r="O62" s="182">
        <v>363.55</v>
      </c>
      <c r="P62" s="110"/>
      <c r="Q62" s="183"/>
      <c r="R62" s="204"/>
      <c r="S62" s="88">
        <v>68.438659999999956</v>
      </c>
      <c r="T62" s="329">
        <v>9.2175799999999981</v>
      </c>
      <c r="U62" s="28"/>
      <c r="V62" s="226">
        <f t="shared" si="79"/>
        <v>77.656239999999954</v>
      </c>
      <c r="X62" s="109">
        <v>44428</v>
      </c>
      <c r="Y62" s="184">
        <v>6912.1</v>
      </c>
      <c r="Z62" s="185">
        <v>1996.3</v>
      </c>
      <c r="AA62" s="185"/>
      <c r="AB62" s="186">
        <v>260.66000000000003</v>
      </c>
      <c r="AC62" s="204"/>
      <c r="AD62" s="88">
        <v>58.029535000000003</v>
      </c>
      <c r="AE62" s="28"/>
      <c r="AF62" s="28"/>
      <c r="AG62" s="226">
        <f t="shared" si="80"/>
        <v>318.68953500000003</v>
      </c>
      <c r="AI62" s="109">
        <v>44428</v>
      </c>
      <c r="AJ62" s="184">
        <v>3869.53</v>
      </c>
      <c r="AK62" s="185">
        <v>768.98</v>
      </c>
      <c r="AL62" s="110"/>
      <c r="AM62" s="111"/>
      <c r="AN62" s="204"/>
      <c r="AO62" s="215"/>
      <c r="AP62" s="28"/>
      <c r="AQ62" s="28"/>
      <c r="AR62" s="226">
        <f t="shared" si="81"/>
        <v>0</v>
      </c>
      <c r="AT62" s="109">
        <v>44428</v>
      </c>
      <c r="AU62" s="185">
        <v>971.03</v>
      </c>
      <c r="AV62" s="185">
        <v>107.79</v>
      </c>
      <c r="AW62" s="110"/>
      <c r="AX62" s="186"/>
      <c r="AY62" s="204"/>
      <c r="AZ62" s="88">
        <v>305.0826960000004</v>
      </c>
      <c r="BA62" s="28"/>
      <c r="BB62" s="28"/>
      <c r="BC62" s="226">
        <f t="shared" si="82"/>
        <v>305.0826960000004</v>
      </c>
      <c r="BE62" s="109">
        <v>44428</v>
      </c>
      <c r="BF62" s="184">
        <v>3837.56</v>
      </c>
      <c r="BG62" s="185">
        <v>551.92999999999995</v>
      </c>
      <c r="BH62" s="110"/>
      <c r="BI62" s="186">
        <v>38.659999999999997</v>
      </c>
      <c r="BJ62" s="204"/>
      <c r="BK62" s="88">
        <v>185.52985999999987</v>
      </c>
      <c r="BL62" s="329">
        <v>96.465879999999999</v>
      </c>
      <c r="BM62" s="28"/>
      <c r="BN62" s="226">
        <f t="shared" si="83"/>
        <v>320.65573999999987</v>
      </c>
      <c r="BP62" s="109">
        <v>44428</v>
      </c>
      <c r="BQ62" s="185">
        <v>302.56</v>
      </c>
      <c r="BR62" s="185">
        <v>190.19</v>
      </c>
      <c r="BS62" s="110"/>
      <c r="BT62" s="187">
        <v>26</v>
      </c>
      <c r="BU62" s="204"/>
      <c r="BV62" s="215"/>
      <c r="BW62" s="28"/>
      <c r="BX62" s="28"/>
      <c r="BY62" s="226">
        <f t="shared" si="84"/>
        <v>26</v>
      </c>
      <c r="CA62" s="109">
        <v>44428</v>
      </c>
      <c r="CB62" s="184">
        <v>20253.63</v>
      </c>
      <c r="CC62" s="185">
        <v>2489.2399999999998</v>
      </c>
      <c r="CD62" s="110"/>
      <c r="CE62" s="187"/>
      <c r="CF62" s="204"/>
      <c r="CG62" s="215"/>
      <c r="CH62" s="28"/>
      <c r="CI62" s="28"/>
      <c r="CJ62" s="226">
        <f t="shared" si="85"/>
        <v>0</v>
      </c>
      <c r="CL62" s="109">
        <v>44428</v>
      </c>
      <c r="CM62" s="184">
        <v>10068.15</v>
      </c>
      <c r="CN62" s="185">
        <v>2492.81</v>
      </c>
      <c r="CO62" s="110"/>
      <c r="CP62" s="115"/>
      <c r="CQ62" s="204"/>
      <c r="CR62" s="88">
        <v>92.909999999999968</v>
      </c>
      <c r="CS62" s="328">
        <v>270.08620999999988</v>
      </c>
      <c r="CT62" s="28"/>
      <c r="CU62" s="226">
        <f t="shared" si="86"/>
        <v>362.99620999999985</v>
      </c>
      <c r="CW62" s="109">
        <v>44428</v>
      </c>
      <c r="CX62" s="184">
        <v>3378.77</v>
      </c>
      <c r="CY62" s="185">
        <v>992.41</v>
      </c>
      <c r="CZ62" s="110"/>
      <c r="DA62" s="186">
        <v>0</v>
      </c>
      <c r="DB62" s="204"/>
      <c r="DC62" s="88">
        <v>80.59232400000009</v>
      </c>
      <c r="DD62" s="329">
        <v>15.639637999999991</v>
      </c>
      <c r="DE62" s="28"/>
      <c r="DF62" s="226">
        <f t="shared" si="87"/>
        <v>96.231962000000081</v>
      </c>
      <c r="DH62" s="109">
        <v>44428</v>
      </c>
      <c r="DI62" s="184">
        <v>1151.01</v>
      </c>
      <c r="DJ62" s="113"/>
      <c r="DK62" s="110"/>
      <c r="DL62" s="115"/>
      <c r="DM62" s="204"/>
      <c r="DN62" s="215"/>
      <c r="DO62" s="28"/>
      <c r="DP62" s="28"/>
      <c r="DQ62" s="226">
        <f t="shared" si="88"/>
        <v>0</v>
      </c>
      <c r="DS62" s="109">
        <v>44428</v>
      </c>
      <c r="DT62" s="184">
        <v>1227.58</v>
      </c>
      <c r="DU62" s="185">
        <v>292.64999999999998</v>
      </c>
      <c r="DV62" s="110"/>
      <c r="DW62" s="115"/>
      <c r="DX62" s="204"/>
      <c r="DY62" s="88">
        <v>42.152569999999997</v>
      </c>
      <c r="DZ62" s="329">
        <v>8.9277399999999929</v>
      </c>
      <c r="EA62" s="335"/>
      <c r="EB62" s="226">
        <f t="shared" si="89"/>
        <v>51.08030999999999</v>
      </c>
      <c r="ED62" s="109">
        <v>44428</v>
      </c>
      <c r="EE62" s="184">
        <v>7262.89</v>
      </c>
      <c r="EF62" s="185">
        <v>2252.61</v>
      </c>
      <c r="EG62" s="110"/>
      <c r="EH62" s="186">
        <v>107.9</v>
      </c>
      <c r="EI62" s="204"/>
      <c r="EJ62" s="88"/>
      <c r="EK62" s="28"/>
      <c r="EL62" s="28"/>
      <c r="EM62" s="226">
        <f t="shared" si="90"/>
        <v>107.9</v>
      </c>
      <c r="EO62" s="109">
        <v>44428</v>
      </c>
      <c r="EP62" s="188">
        <v>1266.77</v>
      </c>
      <c r="EQ62" s="184">
        <v>842.85</v>
      </c>
      <c r="ER62" s="110"/>
      <c r="ES62" s="115"/>
      <c r="ET62" s="204"/>
      <c r="EU62" s="215"/>
      <c r="EV62" s="28"/>
      <c r="EW62" s="28"/>
      <c r="EX62" s="226">
        <f t="shared" si="91"/>
        <v>0</v>
      </c>
    </row>
    <row r="63" spans="1:154" x14ac:dyDescent="0.25">
      <c r="A63" s="109">
        <v>44429</v>
      </c>
      <c r="B63" s="177">
        <v>17461.52</v>
      </c>
      <c r="C63" s="178">
        <v>4577.66</v>
      </c>
      <c r="D63" s="179">
        <v>3307.96</v>
      </c>
      <c r="E63" s="181">
        <v>162.76</v>
      </c>
      <c r="F63" s="180"/>
      <c r="H63" s="215"/>
      <c r="I63" s="28"/>
      <c r="J63" s="28"/>
      <c r="K63" s="226">
        <f t="shared" si="78"/>
        <v>0</v>
      </c>
      <c r="M63" s="109">
        <v>44429</v>
      </c>
      <c r="N63" s="182">
        <v>3413.92</v>
      </c>
      <c r="O63" s="182">
        <v>284.74</v>
      </c>
      <c r="P63" s="110"/>
      <c r="Q63" s="183"/>
      <c r="R63" s="204"/>
      <c r="S63" s="88">
        <v>108.90696000000003</v>
      </c>
      <c r="T63" s="329"/>
      <c r="U63" s="28"/>
      <c r="V63" s="226">
        <f t="shared" si="79"/>
        <v>108.90696000000003</v>
      </c>
      <c r="X63" s="109">
        <v>44429</v>
      </c>
      <c r="Y63" s="184">
        <v>4899.5</v>
      </c>
      <c r="Z63" s="185">
        <v>1712.62</v>
      </c>
      <c r="AA63" s="185"/>
      <c r="AB63" s="186">
        <v>163.53</v>
      </c>
      <c r="AC63" s="204"/>
      <c r="AD63" s="88"/>
      <c r="AE63" s="28"/>
      <c r="AF63" s="28"/>
      <c r="AG63" s="226">
        <f t="shared" si="80"/>
        <v>163.53</v>
      </c>
      <c r="AI63" s="109">
        <v>44429</v>
      </c>
      <c r="AJ63" s="184">
        <v>3288.22</v>
      </c>
      <c r="AK63" s="185">
        <v>290.42</v>
      </c>
      <c r="AL63" s="110"/>
      <c r="AM63" s="111"/>
      <c r="AN63" s="204"/>
      <c r="AO63" s="215"/>
      <c r="AP63" s="28"/>
      <c r="AQ63" s="28"/>
      <c r="AR63" s="226">
        <f t="shared" si="81"/>
        <v>0</v>
      </c>
      <c r="AT63" s="109">
        <v>44429</v>
      </c>
      <c r="AU63" s="185">
        <v>485.1</v>
      </c>
      <c r="AV63" s="185">
        <v>70</v>
      </c>
      <c r="AW63" s="110"/>
      <c r="AX63" s="186"/>
      <c r="AY63" s="204"/>
      <c r="AZ63" s="88">
        <v>262.27724200000023</v>
      </c>
      <c r="BA63" s="28"/>
      <c r="BB63" s="28"/>
      <c r="BC63" s="226">
        <f t="shared" si="82"/>
        <v>262.27724200000023</v>
      </c>
      <c r="BE63" s="109">
        <v>44429</v>
      </c>
      <c r="BF63" s="184">
        <v>4696.95</v>
      </c>
      <c r="BG63" s="185">
        <v>1318.25</v>
      </c>
      <c r="BH63" s="110"/>
      <c r="BI63" s="186">
        <v>14.1</v>
      </c>
      <c r="BJ63" s="204"/>
      <c r="BK63" s="88">
        <v>272.91608999999983</v>
      </c>
      <c r="BL63" s="329">
        <v>64.087839999999971</v>
      </c>
      <c r="BM63" s="28"/>
      <c r="BN63" s="226">
        <f t="shared" si="83"/>
        <v>351.10392999999982</v>
      </c>
      <c r="BP63" s="109">
        <v>44429</v>
      </c>
      <c r="BQ63" s="185">
        <v>388.01</v>
      </c>
      <c r="BR63" s="185">
        <v>450.11</v>
      </c>
      <c r="BS63" s="110"/>
      <c r="BT63" s="187">
        <v>0</v>
      </c>
      <c r="BU63" s="204"/>
      <c r="BV63" s="215"/>
      <c r="BW63" s="28"/>
      <c r="BX63" s="28"/>
      <c r="BY63" s="226">
        <f t="shared" si="84"/>
        <v>0</v>
      </c>
      <c r="CA63" s="109">
        <v>44429</v>
      </c>
      <c r="CB63" s="184">
        <v>16428.759999999998</v>
      </c>
      <c r="CC63" s="185">
        <v>2053.23</v>
      </c>
      <c r="CD63" s="110"/>
      <c r="CE63" s="187"/>
      <c r="CF63" s="204"/>
      <c r="CG63" s="215"/>
      <c r="CH63" s="28"/>
      <c r="CI63" s="28"/>
      <c r="CJ63" s="226">
        <f t="shared" si="85"/>
        <v>0</v>
      </c>
      <c r="CL63" s="109">
        <v>44429</v>
      </c>
      <c r="CM63" s="184">
        <v>10493.31</v>
      </c>
      <c r="CN63" s="185">
        <v>2387.1999999999998</v>
      </c>
      <c r="CO63" s="110"/>
      <c r="CP63" s="115"/>
      <c r="CQ63" s="204"/>
      <c r="CR63" s="88">
        <v>140.31316999999996</v>
      </c>
      <c r="CS63" s="328">
        <v>95.896269999999987</v>
      </c>
      <c r="CT63" s="28"/>
      <c r="CU63" s="226">
        <f t="shared" si="86"/>
        <v>236.20943999999994</v>
      </c>
      <c r="CW63" s="109">
        <v>44429</v>
      </c>
      <c r="CX63" s="184">
        <v>6000.16</v>
      </c>
      <c r="CY63" s="185">
        <v>1160.99</v>
      </c>
      <c r="CZ63" s="110"/>
      <c r="DA63" s="186">
        <v>0</v>
      </c>
      <c r="DB63" s="204"/>
      <c r="DC63" s="88">
        <v>89.6166920000001</v>
      </c>
      <c r="DD63" s="329">
        <v>16.859674000000041</v>
      </c>
      <c r="DE63" s="28"/>
      <c r="DF63" s="226">
        <f t="shared" si="87"/>
        <v>106.47636600000014</v>
      </c>
      <c r="DH63" s="109">
        <v>44429</v>
      </c>
      <c r="DI63" s="184">
        <v>1152.06</v>
      </c>
      <c r="DJ63" s="113"/>
      <c r="DK63" s="110"/>
      <c r="DL63" s="115"/>
      <c r="DM63" s="204"/>
      <c r="DN63" s="215"/>
      <c r="DO63" s="28"/>
      <c r="DP63" s="28"/>
      <c r="DQ63" s="226">
        <f t="shared" si="88"/>
        <v>0</v>
      </c>
      <c r="DS63" s="109">
        <v>44429</v>
      </c>
      <c r="DT63" s="184">
        <v>1045.6099999999999</v>
      </c>
      <c r="DU63" s="185">
        <v>339.25</v>
      </c>
      <c r="DV63" s="110"/>
      <c r="DW63" s="115"/>
      <c r="DX63" s="204"/>
      <c r="DY63" s="88">
        <v>192.26579999999996</v>
      </c>
      <c r="DZ63" s="329">
        <v>33.138080000000031</v>
      </c>
      <c r="EA63" s="335"/>
      <c r="EB63" s="226">
        <f t="shared" si="89"/>
        <v>225.40387999999999</v>
      </c>
      <c r="ED63" s="109">
        <v>44429</v>
      </c>
      <c r="EE63" s="184">
        <v>6061.22</v>
      </c>
      <c r="EF63" s="185">
        <v>2203.34</v>
      </c>
      <c r="EG63" s="110"/>
      <c r="EH63" s="186">
        <v>90.31</v>
      </c>
      <c r="EI63" s="204"/>
      <c r="EJ63" s="88"/>
      <c r="EK63" s="28"/>
      <c r="EL63" s="28"/>
      <c r="EM63" s="226">
        <f t="shared" si="90"/>
        <v>90.31</v>
      </c>
      <c r="EO63" s="109">
        <v>44429</v>
      </c>
      <c r="EP63" s="188">
        <v>1092.8699999999999</v>
      </c>
      <c r="EQ63" s="184">
        <v>1042.93</v>
      </c>
      <c r="ER63" s="110"/>
      <c r="ES63" s="115"/>
      <c r="ET63" s="204"/>
      <c r="EU63" s="215"/>
      <c r="EV63" s="28"/>
      <c r="EW63" s="28"/>
      <c r="EX63" s="226">
        <f t="shared" si="91"/>
        <v>0</v>
      </c>
    </row>
    <row r="64" spans="1:154" x14ac:dyDescent="0.25">
      <c r="A64" s="109">
        <v>44430</v>
      </c>
      <c r="B64" s="177">
        <v>20230.05</v>
      </c>
      <c r="C64" s="178">
        <v>4255.1400000000003</v>
      </c>
      <c r="D64" s="179">
        <v>4073.23</v>
      </c>
      <c r="E64" s="181">
        <v>214.2</v>
      </c>
      <c r="F64" s="180"/>
      <c r="H64" s="215"/>
      <c r="I64" s="28"/>
      <c r="J64" s="28"/>
      <c r="K64" s="226">
        <f t="shared" si="78"/>
        <v>0</v>
      </c>
      <c r="M64" s="109">
        <v>44430</v>
      </c>
      <c r="N64" s="182">
        <v>4934.8599999999997</v>
      </c>
      <c r="O64" s="182">
        <v>350.46</v>
      </c>
      <c r="P64" s="119"/>
      <c r="Q64" s="183"/>
      <c r="R64" s="204"/>
      <c r="S64" s="88">
        <v>44.926440000000042</v>
      </c>
      <c r="T64" s="329"/>
      <c r="U64" s="28"/>
      <c r="V64" s="226">
        <f t="shared" si="79"/>
        <v>44.926440000000042</v>
      </c>
      <c r="X64" s="109">
        <v>44430</v>
      </c>
      <c r="Y64" s="184">
        <v>6105.3</v>
      </c>
      <c r="Z64" s="185">
        <v>1640.79</v>
      </c>
      <c r="AA64" s="185"/>
      <c r="AB64" s="186">
        <v>218.95</v>
      </c>
      <c r="AC64" s="204"/>
      <c r="AD64" s="88">
        <v>253.66577599999977</v>
      </c>
      <c r="AE64" s="28"/>
      <c r="AF64" s="28"/>
      <c r="AG64" s="226">
        <f t="shared" si="80"/>
        <v>472.61577599999976</v>
      </c>
      <c r="AI64" s="109">
        <v>44430</v>
      </c>
      <c r="AJ64" s="184">
        <v>2886.86</v>
      </c>
      <c r="AK64" s="185">
        <v>654.82000000000005</v>
      </c>
      <c r="AL64" s="119"/>
      <c r="AM64" s="111"/>
      <c r="AN64" s="204"/>
      <c r="AO64" s="215"/>
      <c r="AP64" s="28"/>
      <c r="AQ64" s="28"/>
      <c r="AR64" s="226">
        <f t="shared" si="81"/>
        <v>0</v>
      </c>
      <c r="AT64" s="109">
        <v>44430</v>
      </c>
      <c r="AU64" s="185">
        <v>530</v>
      </c>
      <c r="AV64" s="185">
        <v>0</v>
      </c>
      <c r="AW64" s="119"/>
      <c r="AX64" s="186">
        <v>110.5</v>
      </c>
      <c r="AY64" s="204"/>
      <c r="AZ64" s="88">
        <v>149.77140800000024</v>
      </c>
      <c r="BA64" s="28"/>
      <c r="BB64" s="28"/>
      <c r="BC64" s="226">
        <f t="shared" si="82"/>
        <v>260.27140800000024</v>
      </c>
      <c r="BE64" s="109">
        <v>44430</v>
      </c>
      <c r="BF64" s="184">
        <v>5138.8500000000004</v>
      </c>
      <c r="BG64" s="185">
        <v>827.4</v>
      </c>
      <c r="BH64" s="119"/>
      <c r="BI64" s="186">
        <v>14.4</v>
      </c>
      <c r="BJ64" s="204"/>
      <c r="BK64" s="88">
        <v>193.04126999999994</v>
      </c>
      <c r="BL64" s="329">
        <v>31.847049999999989</v>
      </c>
      <c r="BM64" s="28"/>
      <c r="BN64" s="226">
        <f t="shared" si="83"/>
        <v>239.28831999999994</v>
      </c>
      <c r="BP64" s="109">
        <v>44430</v>
      </c>
      <c r="BQ64" s="185">
        <v>532.12</v>
      </c>
      <c r="BR64" s="185">
        <v>237.86</v>
      </c>
      <c r="BS64" s="119"/>
      <c r="BT64" s="187">
        <v>29.8</v>
      </c>
      <c r="BU64" s="204"/>
      <c r="BV64" s="215"/>
      <c r="BW64" s="28"/>
      <c r="BX64" s="28"/>
      <c r="BY64" s="226">
        <f t="shared" si="84"/>
        <v>29.8</v>
      </c>
      <c r="CA64" s="109">
        <v>44430</v>
      </c>
      <c r="CB64" s="184">
        <v>21385.42</v>
      </c>
      <c r="CC64" s="185">
        <v>2893.8</v>
      </c>
      <c r="CD64" s="119"/>
      <c r="CE64" s="187"/>
      <c r="CF64" s="204"/>
      <c r="CG64" s="215"/>
      <c r="CH64" s="28"/>
      <c r="CI64" s="28"/>
      <c r="CJ64" s="226">
        <f t="shared" si="85"/>
        <v>0</v>
      </c>
      <c r="CL64" s="109">
        <v>44430</v>
      </c>
      <c r="CM64" s="184">
        <v>9321.8700000000008</v>
      </c>
      <c r="CN64" s="185">
        <v>2140.87</v>
      </c>
      <c r="CO64" s="119"/>
      <c r="CP64" s="115"/>
      <c r="CQ64" s="204"/>
      <c r="CR64" s="88">
        <v>56.97566999999998</v>
      </c>
      <c r="CS64" s="328">
        <v>234.73973999999995</v>
      </c>
      <c r="CT64" s="28"/>
      <c r="CU64" s="226">
        <f t="shared" si="86"/>
        <v>291.71540999999991</v>
      </c>
      <c r="CW64" s="109">
        <v>44430</v>
      </c>
      <c r="CX64" s="184">
        <v>5753.85</v>
      </c>
      <c r="CY64" s="185">
        <v>1505.56</v>
      </c>
      <c r="CZ64" s="119"/>
      <c r="DA64" s="186">
        <v>7.2</v>
      </c>
      <c r="DB64" s="204"/>
      <c r="DC64" s="88">
        <v>61.609180000000052</v>
      </c>
      <c r="DD64" s="329">
        <v>25.100004000000013</v>
      </c>
      <c r="DE64" s="28"/>
      <c r="DF64" s="226">
        <f t="shared" si="87"/>
        <v>93.909184000000067</v>
      </c>
      <c r="DH64" s="109">
        <v>44430</v>
      </c>
      <c r="DI64" s="184">
        <v>1773.02</v>
      </c>
      <c r="DJ64" s="120"/>
      <c r="DK64" s="119"/>
      <c r="DL64" s="115"/>
      <c r="DM64" s="204"/>
      <c r="DN64" s="215"/>
      <c r="DO64" s="28"/>
      <c r="DP64" s="28"/>
      <c r="DQ64" s="226">
        <f t="shared" si="88"/>
        <v>0</v>
      </c>
      <c r="DS64" s="109">
        <v>44430</v>
      </c>
      <c r="DT64" s="184">
        <v>834.07</v>
      </c>
      <c r="DU64" s="185">
        <v>470.39</v>
      </c>
      <c r="DV64" s="119"/>
      <c r="DW64" s="115"/>
      <c r="DX64" s="204"/>
      <c r="DY64" s="88">
        <v>17.318989999999985</v>
      </c>
      <c r="DZ64" s="329">
        <v>101.76283000000006</v>
      </c>
      <c r="EA64" s="335"/>
      <c r="EB64" s="226">
        <f t="shared" si="89"/>
        <v>119.08182000000005</v>
      </c>
      <c r="ED64" s="109">
        <v>44430</v>
      </c>
      <c r="EE64" s="184">
        <v>6456.85</v>
      </c>
      <c r="EF64" s="185">
        <v>1575.18</v>
      </c>
      <c r="EG64" s="119"/>
      <c r="EH64" s="186">
        <v>105.75</v>
      </c>
      <c r="EI64" s="204"/>
      <c r="EJ64" s="88"/>
      <c r="EK64" s="28"/>
      <c r="EL64" s="28"/>
      <c r="EM64" s="226">
        <f t="shared" si="90"/>
        <v>105.75</v>
      </c>
      <c r="EO64" s="109">
        <v>44430</v>
      </c>
      <c r="EP64" s="188">
        <v>727.58</v>
      </c>
      <c r="EQ64" s="184">
        <v>754.58</v>
      </c>
      <c r="ER64" s="119"/>
      <c r="ES64" s="115"/>
      <c r="ET64" s="204"/>
      <c r="EU64" s="215"/>
      <c r="EV64" s="28"/>
      <c r="EW64" s="28"/>
      <c r="EX64" s="226">
        <f t="shared" si="91"/>
        <v>0</v>
      </c>
    </row>
    <row r="65" spans="1:154" x14ac:dyDescent="0.25">
      <c r="A65" s="109">
        <v>44431</v>
      </c>
      <c r="B65" s="177">
        <v>21375.98</v>
      </c>
      <c r="C65" s="178">
        <v>3744.16</v>
      </c>
      <c r="D65" s="179">
        <v>3225.5</v>
      </c>
      <c r="E65" s="181">
        <v>165.54</v>
      </c>
      <c r="F65" s="180"/>
      <c r="H65" s="215"/>
      <c r="I65" s="28"/>
      <c r="J65" s="28"/>
      <c r="K65" s="226">
        <f t="shared" si="78"/>
        <v>0</v>
      </c>
      <c r="M65" s="109">
        <v>44431</v>
      </c>
      <c r="N65" s="182">
        <v>2410.84</v>
      </c>
      <c r="O65" s="182">
        <v>354.27</v>
      </c>
      <c r="P65" s="119"/>
      <c r="Q65" s="183"/>
      <c r="R65" s="204"/>
      <c r="S65" s="88">
        <v>47.335440000000133</v>
      </c>
      <c r="T65" s="329"/>
      <c r="U65" s="28"/>
      <c r="V65" s="226">
        <f t="shared" si="79"/>
        <v>47.335440000000133</v>
      </c>
      <c r="X65" s="109">
        <v>44431</v>
      </c>
      <c r="Y65" s="184">
        <v>6561.71</v>
      </c>
      <c r="Z65" s="185">
        <v>2157.61</v>
      </c>
      <c r="AA65" s="185"/>
      <c r="AB65" s="186">
        <v>81.78</v>
      </c>
      <c r="AC65" s="204"/>
      <c r="AD65" s="88"/>
      <c r="AE65" s="28"/>
      <c r="AF65" s="28"/>
      <c r="AG65" s="226">
        <f t="shared" si="80"/>
        <v>81.78</v>
      </c>
      <c r="AI65" s="109">
        <v>44431</v>
      </c>
      <c r="AJ65" s="184">
        <v>2069.63</v>
      </c>
      <c r="AK65" s="185">
        <v>501.58</v>
      </c>
      <c r="AL65" s="119"/>
      <c r="AM65" s="111"/>
      <c r="AN65" s="204"/>
      <c r="AO65" s="215"/>
      <c r="AP65" s="28"/>
      <c r="AQ65" s="28"/>
      <c r="AR65" s="226">
        <f t="shared" si="81"/>
        <v>0</v>
      </c>
      <c r="AT65" s="109">
        <v>44431</v>
      </c>
      <c r="AU65" s="185">
        <v>682.36</v>
      </c>
      <c r="AV65" s="185">
        <v>0</v>
      </c>
      <c r="AW65" s="119"/>
      <c r="AX65" s="186"/>
      <c r="AY65" s="204"/>
      <c r="AZ65" s="88">
        <v>195.22462400000009</v>
      </c>
      <c r="BA65" s="28"/>
      <c r="BB65" s="28"/>
      <c r="BC65" s="226">
        <f t="shared" si="82"/>
        <v>195.22462400000009</v>
      </c>
      <c r="BE65" s="109">
        <v>44431</v>
      </c>
      <c r="BF65" s="184">
        <v>4238.05</v>
      </c>
      <c r="BG65" s="185">
        <v>849.84</v>
      </c>
      <c r="BH65" s="119"/>
      <c r="BI65" s="186"/>
      <c r="BJ65" s="204"/>
      <c r="BK65" s="88">
        <v>188.75973999999994</v>
      </c>
      <c r="BL65" s="329"/>
      <c r="BM65" s="28"/>
      <c r="BN65" s="226">
        <f t="shared" si="83"/>
        <v>188.75973999999994</v>
      </c>
      <c r="BP65" s="109">
        <v>44431</v>
      </c>
      <c r="BQ65" s="185">
        <v>585</v>
      </c>
      <c r="BR65" s="185">
        <v>586.88</v>
      </c>
      <c r="BS65" s="119"/>
      <c r="BT65" s="187">
        <v>0</v>
      </c>
      <c r="BU65" s="204"/>
      <c r="BV65" s="215"/>
      <c r="BW65" s="28"/>
      <c r="BX65" s="28"/>
      <c r="BY65" s="226">
        <f t="shared" si="84"/>
        <v>0</v>
      </c>
      <c r="CA65" s="109">
        <v>44431</v>
      </c>
      <c r="CB65" s="184">
        <v>22983.52</v>
      </c>
      <c r="CC65" s="185">
        <v>2062.84</v>
      </c>
      <c r="CD65" s="119"/>
      <c r="CE65" s="187"/>
      <c r="CF65" s="204"/>
      <c r="CG65" s="215"/>
      <c r="CH65" s="28"/>
      <c r="CI65" s="28"/>
      <c r="CJ65" s="226">
        <f t="shared" si="85"/>
        <v>0</v>
      </c>
      <c r="CL65" s="109">
        <v>44431</v>
      </c>
      <c r="CM65" s="184">
        <v>6553.41</v>
      </c>
      <c r="CN65" s="185">
        <v>2432.86</v>
      </c>
      <c r="CO65" s="119"/>
      <c r="CP65" s="115"/>
      <c r="CQ65" s="204"/>
      <c r="CR65" s="88"/>
      <c r="CS65" s="328">
        <v>107.86836999999998</v>
      </c>
      <c r="CT65" s="28"/>
      <c r="CU65" s="226">
        <f t="shared" si="86"/>
        <v>107.86836999999998</v>
      </c>
      <c r="CW65" s="109">
        <v>44431</v>
      </c>
      <c r="CX65" s="184">
        <v>4768.1099999999997</v>
      </c>
      <c r="CY65" s="185">
        <v>856.76</v>
      </c>
      <c r="CZ65" s="119"/>
      <c r="DA65" s="186">
        <v>0</v>
      </c>
      <c r="DB65" s="204"/>
      <c r="DC65" s="88">
        <v>1.9500000000000028</v>
      </c>
      <c r="DD65" s="329">
        <v>53.531455000000108</v>
      </c>
      <c r="DE65" s="28"/>
      <c r="DF65" s="226">
        <f t="shared" si="87"/>
        <v>55.481455000000111</v>
      </c>
      <c r="DH65" s="109">
        <v>44431</v>
      </c>
      <c r="DI65" s="184">
        <v>1637.37</v>
      </c>
      <c r="DJ65" s="120"/>
      <c r="DK65" s="119"/>
      <c r="DL65" s="115"/>
      <c r="DM65" s="204"/>
      <c r="DN65" s="215"/>
      <c r="DO65" s="28"/>
      <c r="DP65" s="28"/>
      <c r="DQ65" s="226">
        <f t="shared" si="88"/>
        <v>0</v>
      </c>
      <c r="DS65" s="109">
        <v>44431</v>
      </c>
      <c r="DT65" s="184">
        <v>1003.92</v>
      </c>
      <c r="DU65" s="185">
        <v>315.57</v>
      </c>
      <c r="DV65" s="119"/>
      <c r="DW65" s="115"/>
      <c r="DX65" s="204"/>
      <c r="DY65" s="88">
        <v>26.64311</v>
      </c>
      <c r="DZ65" s="329">
        <v>72.875699999999995</v>
      </c>
      <c r="EA65" s="335">
        <v>14.842970800000018</v>
      </c>
      <c r="EB65" s="226">
        <f t="shared" si="89"/>
        <v>114.36178080000002</v>
      </c>
      <c r="ED65" s="109">
        <v>44431</v>
      </c>
      <c r="EE65" s="184">
        <v>5690.8</v>
      </c>
      <c r="EF65" s="185">
        <v>1537.23</v>
      </c>
      <c r="EG65" s="119"/>
      <c r="EH65" s="186">
        <v>95.62</v>
      </c>
      <c r="EI65" s="204"/>
      <c r="EJ65" s="88">
        <v>19.349999999999994</v>
      </c>
      <c r="EK65" s="28"/>
      <c r="EL65" s="28"/>
      <c r="EM65" s="226">
        <f t="shared" si="90"/>
        <v>114.97</v>
      </c>
      <c r="EO65" s="109">
        <v>44431</v>
      </c>
      <c r="EP65" s="188">
        <v>1174.31</v>
      </c>
      <c r="EQ65" s="184">
        <v>1103.96</v>
      </c>
      <c r="ER65" s="119"/>
      <c r="ES65" s="115"/>
      <c r="ET65" s="204"/>
      <c r="EU65" s="215"/>
      <c r="EV65" s="28"/>
      <c r="EW65" s="28"/>
      <c r="EX65" s="226">
        <f t="shared" si="91"/>
        <v>0</v>
      </c>
    </row>
    <row r="66" spans="1:154" x14ac:dyDescent="0.25">
      <c r="A66" s="109">
        <v>44432</v>
      </c>
      <c r="B66" s="177">
        <v>17738.3</v>
      </c>
      <c r="C66" s="178">
        <v>2626.73</v>
      </c>
      <c r="D66" s="179">
        <v>2189.9299999999998</v>
      </c>
      <c r="E66" s="181">
        <v>50.48</v>
      </c>
      <c r="F66" s="180"/>
      <c r="H66" s="215"/>
      <c r="I66" s="28"/>
      <c r="J66" s="28"/>
      <c r="K66" s="226">
        <f t="shared" si="78"/>
        <v>0</v>
      </c>
      <c r="M66" s="109">
        <v>44432</v>
      </c>
      <c r="N66" s="182">
        <v>3549.9</v>
      </c>
      <c r="O66" s="182">
        <v>547.15</v>
      </c>
      <c r="P66" s="119"/>
      <c r="Q66" s="183"/>
      <c r="R66" s="204"/>
      <c r="S66" s="88">
        <v>68.99949999999987</v>
      </c>
      <c r="T66" s="329"/>
      <c r="U66" s="28"/>
      <c r="V66" s="226">
        <f t="shared" si="79"/>
        <v>68.99949999999987</v>
      </c>
      <c r="X66" s="109">
        <v>44432</v>
      </c>
      <c r="Y66" s="184">
        <v>5586.14</v>
      </c>
      <c r="Z66" s="185">
        <v>1534.94</v>
      </c>
      <c r="AA66" s="185"/>
      <c r="AB66" s="186">
        <v>207.95</v>
      </c>
      <c r="AC66" s="204"/>
      <c r="AD66" s="88">
        <v>43.181351999999976</v>
      </c>
      <c r="AE66" s="28"/>
      <c r="AF66" s="28"/>
      <c r="AG66" s="226">
        <f t="shared" si="80"/>
        <v>251.13135199999996</v>
      </c>
      <c r="AI66" s="109">
        <v>44432</v>
      </c>
      <c r="AJ66" s="184">
        <v>3277.14</v>
      </c>
      <c r="AK66" s="185">
        <v>401.27</v>
      </c>
      <c r="AL66" s="119"/>
      <c r="AM66" s="111"/>
      <c r="AN66" s="204"/>
      <c r="AO66" s="215"/>
      <c r="AP66" s="28"/>
      <c r="AQ66" s="28"/>
      <c r="AR66" s="226">
        <f t="shared" si="81"/>
        <v>0</v>
      </c>
      <c r="AT66" s="109">
        <v>44432</v>
      </c>
      <c r="AU66" s="185">
        <v>338.48</v>
      </c>
      <c r="AV66" s="185">
        <v>40.1</v>
      </c>
      <c r="AW66" s="119"/>
      <c r="AX66" s="186"/>
      <c r="AY66" s="204"/>
      <c r="AZ66" s="88">
        <v>139.99970400000015</v>
      </c>
      <c r="BA66" s="28"/>
      <c r="BB66" s="28"/>
      <c r="BC66" s="226">
        <f t="shared" si="82"/>
        <v>139.99970400000015</v>
      </c>
      <c r="BE66" s="109">
        <v>44432</v>
      </c>
      <c r="BF66" s="184">
        <v>3229.68</v>
      </c>
      <c r="BG66" s="185">
        <v>605.82000000000005</v>
      </c>
      <c r="BH66" s="119"/>
      <c r="BI66" s="186"/>
      <c r="BJ66" s="204"/>
      <c r="BK66" s="88">
        <v>139.41098999999991</v>
      </c>
      <c r="BL66" s="329"/>
      <c r="BM66" s="28"/>
      <c r="BN66" s="226">
        <f t="shared" si="83"/>
        <v>139.41098999999991</v>
      </c>
      <c r="BP66" s="109">
        <v>44432</v>
      </c>
      <c r="BQ66" s="185">
        <v>587.03</v>
      </c>
      <c r="BR66" s="185">
        <v>410.02</v>
      </c>
      <c r="BS66" s="119"/>
      <c r="BT66" s="187">
        <v>0</v>
      </c>
      <c r="BU66" s="204"/>
      <c r="BV66" s="215"/>
      <c r="BW66" s="28"/>
      <c r="BX66" s="28"/>
      <c r="BY66" s="226">
        <f t="shared" si="84"/>
        <v>0</v>
      </c>
      <c r="CA66" s="109">
        <v>44432</v>
      </c>
      <c r="CB66" s="184">
        <v>15001.09</v>
      </c>
      <c r="CC66" s="185">
        <v>1685.99</v>
      </c>
      <c r="CD66" s="119"/>
      <c r="CE66" s="187"/>
      <c r="CF66" s="204"/>
      <c r="CG66" s="215"/>
      <c r="CH66" s="28"/>
      <c r="CI66" s="28"/>
      <c r="CJ66" s="226">
        <f t="shared" si="85"/>
        <v>0</v>
      </c>
      <c r="CL66" s="109">
        <v>44432</v>
      </c>
      <c r="CM66" s="184">
        <v>4350.1899999999996</v>
      </c>
      <c r="CN66" s="185">
        <v>858.37</v>
      </c>
      <c r="CO66" s="119"/>
      <c r="CP66" s="115"/>
      <c r="CQ66" s="204"/>
      <c r="CR66" s="88"/>
      <c r="CS66" s="328">
        <v>49.527909999999977</v>
      </c>
      <c r="CT66" s="28"/>
      <c r="CU66" s="226">
        <f t="shared" si="86"/>
        <v>49.527909999999977</v>
      </c>
      <c r="CW66" s="109">
        <v>44432</v>
      </c>
      <c r="CX66" s="184">
        <v>3662.13</v>
      </c>
      <c r="CY66" s="185">
        <v>787.94</v>
      </c>
      <c r="CZ66" s="119"/>
      <c r="DA66" s="186">
        <v>5</v>
      </c>
      <c r="DB66" s="204"/>
      <c r="DC66" s="88">
        <v>23.05430699999998</v>
      </c>
      <c r="DD66" s="329">
        <v>12.919583999999986</v>
      </c>
      <c r="DE66" s="28"/>
      <c r="DF66" s="226">
        <f t="shared" si="87"/>
        <v>40.973890999999966</v>
      </c>
      <c r="DH66" s="109">
        <v>44432</v>
      </c>
      <c r="DI66" s="184">
        <v>954.32</v>
      </c>
      <c r="DJ66" s="120"/>
      <c r="DK66" s="119"/>
      <c r="DL66" s="115"/>
      <c r="DM66" s="204"/>
      <c r="DN66" s="215"/>
      <c r="DO66" s="28"/>
      <c r="DP66" s="28"/>
      <c r="DQ66" s="226">
        <f t="shared" si="88"/>
        <v>0</v>
      </c>
      <c r="DS66" s="109">
        <v>44432</v>
      </c>
      <c r="DT66" s="184">
        <v>2176.02</v>
      </c>
      <c r="DU66" s="185">
        <v>415.48</v>
      </c>
      <c r="DV66" s="119"/>
      <c r="DW66" s="115"/>
      <c r="DX66" s="204"/>
      <c r="DY66" s="88">
        <v>51.920139999999947</v>
      </c>
      <c r="DZ66" s="329">
        <v>475.13631999999996</v>
      </c>
      <c r="EA66" s="335"/>
      <c r="EB66" s="226">
        <f t="shared" si="89"/>
        <v>527.0564599999999</v>
      </c>
      <c r="ED66" s="109">
        <v>44432</v>
      </c>
      <c r="EE66" s="184">
        <v>3907.34</v>
      </c>
      <c r="EF66" s="185">
        <v>950.14</v>
      </c>
      <c r="EG66" s="119"/>
      <c r="EH66" s="186">
        <v>84.96</v>
      </c>
      <c r="EI66" s="204"/>
      <c r="EJ66" s="88"/>
      <c r="EK66" s="28"/>
      <c r="EL66" s="28"/>
      <c r="EM66" s="226">
        <f t="shared" si="90"/>
        <v>84.96</v>
      </c>
      <c r="EO66" s="109">
        <v>44432</v>
      </c>
      <c r="EP66" s="188">
        <v>549.70000000000005</v>
      </c>
      <c r="EQ66" s="184">
        <v>861.44</v>
      </c>
      <c r="ER66" s="119"/>
      <c r="ES66" s="115"/>
      <c r="ET66" s="204"/>
      <c r="EU66" s="215"/>
      <c r="EV66" s="28"/>
      <c r="EW66" s="28"/>
      <c r="EX66" s="226">
        <f t="shared" si="91"/>
        <v>0</v>
      </c>
    </row>
    <row r="67" spans="1:154" x14ac:dyDescent="0.25">
      <c r="A67" s="109">
        <v>44433</v>
      </c>
      <c r="B67" s="177">
        <v>22828.01</v>
      </c>
      <c r="C67" s="178">
        <v>4594.4399999999996</v>
      </c>
      <c r="D67" s="179">
        <v>2997.5</v>
      </c>
      <c r="E67" s="181">
        <v>190.39</v>
      </c>
      <c r="F67" s="180"/>
      <c r="H67" s="215"/>
      <c r="I67" s="28"/>
      <c r="J67" s="28"/>
      <c r="K67" s="226">
        <f t="shared" si="78"/>
        <v>0</v>
      </c>
      <c r="M67" s="109">
        <v>44433</v>
      </c>
      <c r="N67" s="182">
        <v>5190.3999999999996</v>
      </c>
      <c r="O67" s="182">
        <v>246.5</v>
      </c>
      <c r="P67" s="119"/>
      <c r="Q67" s="192"/>
      <c r="R67" s="204"/>
      <c r="S67" s="88">
        <v>45.313379999999874</v>
      </c>
      <c r="T67" s="329"/>
      <c r="U67" s="28"/>
      <c r="V67" s="226">
        <f t="shared" si="79"/>
        <v>45.313379999999874</v>
      </c>
      <c r="X67" s="109">
        <v>44433</v>
      </c>
      <c r="Y67" s="184">
        <v>5973.51</v>
      </c>
      <c r="Z67" s="185">
        <v>1458.05</v>
      </c>
      <c r="AA67" s="185"/>
      <c r="AB67" s="186">
        <v>308.23</v>
      </c>
      <c r="AC67" s="204"/>
      <c r="AD67" s="88">
        <v>142.65604499999989</v>
      </c>
      <c r="AE67" s="28"/>
      <c r="AF67" s="28"/>
      <c r="AG67" s="226">
        <f t="shared" si="80"/>
        <v>450.88604499999991</v>
      </c>
      <c r="AI67" s="109">
        <v>44433</v>
      </c>
      <c r="AJ67" s="184">
        <v>2421.23</v>
      </c>
      <c r="AK67" s="185">
        <v>394.46</v>
      </c>
      <c r="AL67" s="119"/>
      <c r="AM67" s="111"/>
      <c r="AN67" s="204"/>
      <c r="AO67" s="215"/>
      <c r="AP67" s="28"/>
      <c r="AQ67" s="28"/>
      <c r="AR67" s="226">
        <f t="shared" si="81"/>
        <v>0</v>
      </c>
      <c r="AT67" s="109">
        <v>44433</v>
      </c>
      <c r="AU67" s="185">
        <v>252.05</v>
      </c>
      <c r="AV67" s="185">
        <v>0</v>
      </c>
      <c r="AW67" s="119"/>
      <c r="AX67" s="186"/>
      <c r="AY67" s="204"/>
      <c r="AZ67" s="88">
        <v>387.61881600000038</v>
      </c>
      <c r="BA67" s="28"/>
      <c r="BB67" s="28"/>
      <c r="BC67" s="226">
        <f t="shared" si="82"/>
        <v>387.61881600000038</v>
      </c>
      <c r="BE67" s="109">
        <v>44433</v>
      </c>
      <c r="BF67" s="184">
        <v>4044.26</v>
      </c>
      <c r="BG67" s="185">
        <v>950.34</v>
      </c>
      <c r="BH67" s="119"/>
      <c r="BI67" s="186">
        <v>12.81</v>
      </c>
      <c r="BJ67" s="204"/>
      <c r="BK67" s="88">
        <v>284.46295999999978</v>
      </c>
      <c r="BL67" s="329">
        <v>19.82700999999998</v>
      </c>
      <c r="BM67" s="28"/>
      <c r="BN67" s="226">
        <f t="shared" si="83"/>
        <v>317.09996999999976</v>
      </c>
      <c r="BP67" s="109">
        <v>44433</v>
      </c>
      <c r="BQ67" s="185">
        <v>974.84</v>
      </c>
      <c r="BR67" s="185">
        <v>428.2</v>
      </c>
      <c r="BS67" s="119"/>
      <c r="BT67" s="187">
        <v>0</v>
      </c>
      <c r="BU67" s="204"/>
      <c r="BV67" s="215"/>
      <c r="BW67" s="28"/>
      <c r="BX67" s="28"/>
      <c r="BY67" s="226">
        <f t="shared" si="84"/>
        <v>0</v>
      </c>
      <c r="CA67" s="109">
        <v>44433</v>
      </c>
      <c r="CB67" s="184">
        <v>17367.009999999998</v>
      </c>
      <c r="CC67" s="185">
        <v>2411.73</v>
      </c>
      <c r="CD67" s="119"/>
      <c r="CE67" s="187"/>
      <c r="CF67" s="204"/>
      <c r="CG67" s="215"/>
      <c r="CH67" s="28"/>
      <c r="CI67" s="28"/>
      <c r="CJ67" s="226">
        <f t="shared" si="85"/>
        <v>0</v>
      </c>
      <c r="CL67" s="109">
        <v>44433</v>
      </c>
      <c r="CM67" s="184">
        <v>10118.49</v>
      </c>
      <c r="CN67" s="185">
        <v>2273.21</v>
      </c>
      <c r="CO67" s="119"/>
      <c r="CP67" s="115"/>
      <c r="CQ67" s="204"/>
      <c r="CR67" s="88">
        <v>141.08073999999999</v>
      </c>
      <c r="CS67" s="328">
        <v>71.579039999999964</v>
      </c>
      <c r="CT67" s="28"/>
      <c r="CU67" s="226">
        <f t="shared" si="86"/>
        <v>212.65977999999996</v>
      </c>
      <c r="CW67" s="109">
        <v>44433</v>
      </c>
      <c r="CX67" s="184">
        <v>4723.12</v>
      </c>
      <c r="CY67" s="185">
        <v>1526.37</v>
      </c>
      <c r="CZ67" s="119"/>
      <c r="DA67" s="186">
        <v>0</v>
      </c>
      <c r="DB67" s="204"/>
      <c r="DC67" s="88">
        <v>103.65998500000009</v>
      </c>
      <c r="DD67" s="329">
        <v>17.340019999999981</v>
      </c>
      <c r="DE67" s="28"/>
      <c r="DF67" s="226">
        <f t="shared" si="87"/>
        <v>121.00000500000007</v>
      </c>
      <c r="DH67" s="109">
        <v>44433</v>
      </c>
      <c r="DI67" s="184">
        <v>1435.47</v>
      </c>
      <c r="DJ67" s="120"/>
      <c r="DK67" s="119"/>
      <c r="DL67" s="115"/>
      <c r="DM67" s="204"/>
      <c r="DN67" s="215"/>
      <c r="DO67" s="28"/>
      <c r="DP67" s="28"/>
      <c r="DQ67" s="226">
        <f t="shared" si="88"/>
        <v>0</v>
      </c>
      <c r="DS67" s="109">
        <v>44433</v>
      </c>
      <c r="DT67" s="184">
        <v>2855.83</v>
      </c>
      <c r="DU67" s="185">
        <v>454.52</v>
      </c>
      <c r="DV67" s="119"/>
      <c r="DW67" s="115"/>
      <c r="DX67" s="204"/>
      <c r="DY67" s="88">
        <v>69.065809999999985</v>
      </c>
      <c r="DZ67" s="329">
        <v>70.175379999999961</v>
      </c>
      <c r="EA67" s="335"/>
      <c r="EB67" s="226">
        <f t="shared" si="89"/>
        <v>139.24118999999996</v>
      </c>
      <c r="ED67" s="109">
        <v>44433</v>
      </c>
      <c r="EE67" s="184">
        <v>7641.54</v>
      </c>
      <c r="EF67" s="185">
        <v>1984.35</v>
      </c>
      <c r="EG67" s="119"/>
      <c r="EH67" s="186">
        <v>82.12</v>
      </c>
      <c r="EI67" s="204"/>
      <c r="EJ67" s="88"/>
      <c r="EK67" s="28"/>
      <c r="EL67" s="28"/>
      <c r="EM67" s="226">
        <f t="shared" si="90"/>
        <v>82.12</v>
      </c>
      <c r="EO67" s="109">
        <v>44433</v>
      </c>
      <c r="EP67" s="188">
        <v>1105.82</v>
      </c>
      <c r="EQ67" s="184">
        <v>653.04</v>
      </c>
      <c r="ER67" s="119"/>
      <c r="ES67" s="115"/>
      <c r="ET67" s="204"/>
      <c r="EU67" s="215"/>
      <c r="EV67" s="28"/>
      <c r="EW67" s="28"/>
      <c r="EX67" s="226">
        <f t="shared" si="91"/>
        <v>0</v>
      </c>
    </row>
    <row r="68" spans="1:154" x14ac:dyDescent="0.25">
      <c r="A68" s="109">
        <v>44434</v>
      </c>
      <c r="B68" s="177">
        <v>23220.82</v>
      </c>
      <c r="C68" s="178">
        <v>3489.87</v>
      </c>
      <c r="D68" s="179">
        <v>3884.7</v>
      </c>
      <c r="E68" s="181">
        <v>193.54</v>
      </c>
      <c r="F68" s="180">
        <v>0.2</v>
      </c>
      <c r="H68" s="215"/>
      <c r="I68" s="28"/>
      <c r="J68" s="28"/>
      <c r="K68" s="226">
        <f t="shared" si="78"/>
        <v>0.2</v>
      </c>
      <c r="M68" s="109">
        <v>44434</v>
      </c>
      <c r="N68" s="182">
        <v>3135.32</v>
      </c>
      <c r="O68" s="182">
        <v>616.08000000000004</v>
      </c>
      <c r="P68" s="119"/>
      <c r="Q68" s="192"/>
      <c r="R68" s="204"/>
      <c r="S68" s="88">
        <v>63.912439999999982</v>
      </c>
      <c r="T68" s="329">
        <v>10.171959999999984</v>
      </c>
      <c r="U68" s="28"/>
      <c r="V68" s="226">
        <f t="shared" si="79"/>
        <v>74.08439999999996</v>
      </c>
      <c r="X68" s="109">
        <v>44434</v>
      </c>
      <c r="Y68" s="184">
        <v>5276.15</v>
      </c>
      <c r="Z68" s="185">
        <v>1768.84</v>
      </c>
      <c r="AA68" s="185"/>
      <c r="AB68" s="186">
        <v>89.3</v>
      </c>
      <c r="AC68" s="204"/>
      <c r="AD68" s="88">
        <v>23.774893999999961</v>
      </c>
      <c r="AE68" s="28"/>
      <c r="AF68" s="28"/>
      <c r="AG68" s="226">
        <f t="shared" si="80"/>
        <v>113.07489399999996</v>
      </c>
      <c r="AI68" s="109">
        <v>44434</v>
      </c>
      <c r="AJ68" s="184">
        <v>2963.17</v>
      </c>
      <c r="AK68" s="185">
        <v>903.59</v>
      </c>
      <c r="AL68" s="119"/>
      <c r="AM68" s="111"/>
      <c r="AN68" s="204"/>
      <c r="AO68" s="215"/>
      <c r="AP68" s="28"/>
      <c r="AQ68" s="28"/>
      <c r="AR68" s="226">
        <f t="shared" si="81"/>
        <v>0</v>
      </c>
      <c r="AT68" s="109">
        <v>44434</v>
      </c>
      <c r="AU68" s="185">
        <v>669.04</v>
      </c>
      <c r="AV68" s="185">
        <v>0</v>
      </c>
      <c r="AW68" s="119"/>
      <c r="AX68" s="186"/>
      <c r="AY68" s="204"/>
      <c r="AZ68" s="88">
        <v>332.91340000000008</v>
      </c>
      <c r="BA68" s="28"/>
      <c r="BB68" s="28"/>
      <c r="BC68" s="226">
        <f t="shared" si="82"/>
        <v>332.91340000000008</v>
      </c>
      <c r="BE68" s="109">
        <v>44434</v>
      </c>
      <c r="BF68" s="184">
        <v>3731.19</v>
      </c>
      <c r="BG68" s="185">
        <v>987.57</v>
      </c>
      <c r="BH68" s="119"/>
      <c r="BI68" s="186">
        <v>36</v>
      </c>
      <c r="BJ68" s="204"/>
      <c r="BK68" s="88">
        <v>485.09385999999984</v>
      </c>
      <c r="BL68" s="329">
        <v>54.778929999999974</v>
      </c>
      <c r="BM68" s="28"/>
      <c r="BN68" s="226">
        <f t="shared" si="83"/>
        <v>575.87278999999978</v>
      </c>
      <c r="BP68" s="109">
        <v>44434</v>
      </c>
      <c r="BQ68" s="185">
        <v>328.99</v>
      </c>
      <c r="BR68" s="185">
        <v>658.29</v>
      </c>
      <c r="BS68" s="119"/>
      <c r="BT68" s="187">
        <v>0</v>
      </c>
      <c r="BU68" s="204"/>
      <c r="BV68" s="215"/>
      <c r="BW68" s="28"/>
      <c r="BX68" s="28"/>
      <c r="BY68" s="226">
        <f t="shared" si="84"/>
        <v>0</v>
      </c>
      <c r="CA68" s="109">
        <v>44434</v>
      </c>
      <c r="CB68" s="184">
        <v>17936.45</v>
      </c>
      <c r="CC68" s="185">
        <v>2129.1</v>
      </c>
      <c r="CD68" s="119"/>
      <c r="CE68" s="187"/>
      <c r="CF68" s="204"/>
      <c r="CG68" s="215"/>
      <c r="CH68" s="28"/>
      <c r="CI68" s="28"/>
      <c r="CJ68" s="226">
        <f t="shared" si="85"/>
        <v>0</v>
      </c>
      <c r="CL68" s="109">
        <v>44434</v>
      </c>
      <c r="CM68" s="184">
        <v>12306.86</v>
      </c>
      <c r="CN68" s="185">
        <v>2436.5100000000002</v>
      </c>
      <c r="CO68" s="119"/>
      <c r="CP68" s="115"/>
      <c r="CQ68" s="204"/>
      <c r="CR68" s="88">
        <v>3</v>
      </c>
      <c r="CS68" s="328">
        <v>245.55091999999996</v>
      </c>
      <c r="CT68" s="28"/>
      <c r="CU68" s="226">
        <f t="shared" si="86"/>
        <v>248.55091999999996</v>
      </c>
      <c r="CW68" s="109">
        <v>44434</v>
      </c>
      <c r="CX68" s="184">
        <v>7244.56</v>
      </c>
      <c r="CY68" s="185">
        <v>1335.39</v>
      </c>
      <c r="CZ68" s="119"/>
      <c r="DA68" s="186">
        <v>10.8</v>
      </c>
      <c r="DB68" s="204"/>
      <c r="DC68" s="88">
        <v>68.452936000000065</v>
      </c>
      <c r="DD68" s="329">
        <v>14.589870000000019</v>
      </c>
      <c r="DE68" s="28"/>
      <c r="DF68" s="226">
        <f t="shared" si="87"/>
        <v>93.842806000000081</v>
      </c>
      <c r="DH68" s="109">
        <v>44434</v>
      </c>
      <c r="DI68" s="184">
        <v>2449.9499999999998</v>
      </c>
      <c r="DJ68" s="120"/>
      <c r="DK68" s="119"/>
      <c r="DL68" s="115"/>
      <c r="DM68" s="204"/>
      <c r="DN68" s="215"/>
      <c r="DO68" s="28"/>
      <c r="DP68" s="28"/>
      <c r="DQ68" s="226">
        <f t="shared" si="88"/>
        <v>0</v>
      </c>
      <c r="DS68" s="109">
        <v>44434</v>
      </c>
      <c r="DT68" s="184">
        <v>3039.53</v>
      </c>
      <c r="DU68" s="185">
        <v>278.3</v>
      </c>
      <c r="DV68" s="119"/>
      <c r="DW68" s="115"/>
      <c r="DX68" s="204"/>
      <c r="DY68" s="88">
        <v>106.28356999999991</v>
      </c>
      <c r="DZ68" s="329"/>
      <c r="EA68" s="335"/>
      <c r="EB68" s="226">
        <f t="shared" si="89"/>
        <v>106.28356999999991</v>
      </c>
      <c r="ED68" s="109">
        <v>44434</v>
      </c>
      <c r="EE68" s="184">
        <v>8396.2999999999993</v>
      </c>
      <c r="EF68" s="185">
        <v>2537.9299999999998</v>
      </c>
      <c r="EG68" s="119"/>
      <c r="EH68" s="186">
        <v>51.18</v>
      </c>
      <c r="EI68" s="204"/>
      <c r="EJ68" s="88"/>
      <c r="EK68" s="28"/>
      <c r="EL68" s="28"/>
      <c r="EM68" s="226">
        <f t="shared" si="90"/>
        <v>51.18</v>
      </c>
      <c r="EO68" s="109">
        <v>44434</v>
      </c>
      <c r="EP68" s="188">
        <v>657.22</v>
      </c>
      <c r="EQ68" s="184">
        <v>677.94</v>
      </c>
      <c r="ER68" s="119"/>
      <c r="ES68" s="115"/>
      <c r="ET68" s="204"/>
      <c r="EU68" s="215"/>
      <c r="EV68" s="28"/>
      <c r="EW68" s="28"/>
      <c r="EX68" s="226">
        <f t="shared" si="91"/>
        <v>0</v>
      </c>
    </row>
    <row r="69" spans="1:154" x14ac:dyDescent="0.25">
      <c r="A69" s="109">
        <v>44435</v>
      </c>
      <c r="B69" s="177">
        <v>20394.07</v>
      </c>
      <c r="C69" s="178">
        <v>4185.9799999999996</v>
      </c>
      <c r="D69" s="179">
        <v>3961.49</v>
      </c>
      <c r="E69" s="181">
        <v>166.43</v>
      </c>
      <c r="F69" s="180"/>
      <c r="H69" s="215"/>
      <c r="I69" s="28"/>
      <c r="J69" s="28"/>
      <c r="K69" s="226">
        <f t="shared" si="78"/>
        <v>0</v>
      </c>
      <c r="M69" s="109">
        <v>44435</v>
      </c>
      <c r="N69" s="182">
        <v>3929.33</v>
      </c>
      <c r="O69" s="182">
        <v>445.75</v>
      </c>
      <c r="P69" s="119"/>
      <c r="Q69" s="192"/>
      <c r="R69" s="204"/>
      <c r="S69" s="88">
        <v>99.048469999999909</v>
      </c>
      <c r="T69" s="329">
        <v>12.401810000000012</v>
      </c>
      <c r="U69" s="28"/>
      <c r="V69" s="226">
        <f t="shared" si="79"/>
        <v>111.45027999999992</v>
      </c>
      <c r="X69" s="109">
        <v>44435</v>
      </c>
      <c r="Y69" s="184">
        <v>4325.1899999999996</v>
      </c>
      <c r="Z69" s="193">
        <v>1890.21</v>
      </c>
      <c r="AA69" s="193"/>
      <c r="AB69" s="186">
        <v>127.74</v>
      </c>
      <c r="AC69" s="204"/>
      <c r="AD69" s="88">
        <v>92.999999999999943</v>
      </c>
      <c r="AE69" s="28"/>
      <c r="AF69" s="28"/>
      <c r="AG69" s="226">
        <f t="shared" si="80"/>
        <v>220.73999999999995</v>
      </c>
      <c r="AI69" s="109">
        <v>44435</v>
      </c>
      <c r="AJ69" s="184">
        <v>2422.35</v>
      </c>
      <c r="AK69" s="185">
        <v>362.22</v>
      </c>
      <c r="AL69" s="119"/>
      <c r="AM69" s="111"/>
      <c r="AN69" s="204"/>
      <c r="AO69" s="215"/>
      <c r="AP69" s="28"/>
      <c r="AQ69" s="28"/>
      <c r="AR69" s="226">
        <f t="shared" si="81"/>
        <v>0</v>
      </c>
      <c r="AT69" s="109">
        <v>44435</v>
      </c>
      <c r="AU69" s="185">
        <v>415.9</v>
      </c>
      <c r="AV69" s="185">
        <v>195.37</v>
      </c>
      <c r="AW69" s="119"/>
      <c r="AX69" s="186">
        <v>52</v>
      </c>
      <c r="AY69" s="204"/>
      <c r="AZ69" s="88">
        <v>284.28117499999991</v>
      </c>
      <c r="BA69" s="28"/>
      <c r="BB69" s="28"/>
      <c r="BC69" s="226">
        <f t="shared" si="82"/>
        <v>336.28117499999991</v>
      </c>
      <c r="BE69" s="109">
        <v>44435</v>
      </c>
      <c r="BF69" s="184">
        <v>5737.77</v>
      </c>
      <c r="BG69" s="185">
        <v>1155.81</v>
      </c>
      <c r="BH69" s="119"/>
      <c r="BI69" s="186">
        <v>26.49</v>
      </c>
      <c r="BJ69" s="204"/>
      <c r="BK69" s="88">
        <v>313.48680999999993</v>
      </c>
      <c r="BL69" s="329">
        <v>27.728749999999991</v>
      </c>
      <c r="BM69" s="28"/>
      <c r="BN69" s="226">
        <f t="shared" si="83"/>
        <v>367.70555999999993</v>
      </c>
      <c r="BP69" s="109">
        <v>44435</v>
      </c>
      <c r="BQ69" s="185">
        <v>1317.67</v>
      </c>
      <c r="BR69" s="185">
        <v>135.78</v>
      </c>
      <c r="BS69" s="119"/>
      <c r="BT69" s="187">
        <v>40</v>
      </c>
      <c r="BU69" s="204"/>
      <c r="BV69" s="215"/>
      <c r="BW69" s="28"/>
      <c r="BX69" s="28"/>
      <c r="BY69" s="226">
        <f t="shared" si="84"/>
        <v>40</v>
      </c>
      <c r="CA69" s="109">
        <v>44435</v>
      </c>
      <c r="CB69" s="184">
        <v>19011.900000000001</v>
      </c>
      <c r="CC69" s="185">
        <v>2298.92</v>
      </c>
      <c r="CD69" s="119"/>
      <c r="CE69" s="187"/>
      <c r="CF69" s="204"/>
      <c r="CG69" s="215"/>
      <c r="CH69" s="28"/>
      <c r="CI69" s="28"/>
      <c r="CJ69" s="226">
        <f t="shared" si="85"/>
        <v>0</v>
      </c>
      <c r="CL69" s="109">
        <v>44435</v>
      </c>
      <c r="CM69" s="184">
        <v>13233.21</v>
      </c>
      <c r="CN69" s="185">
        <v>2810.3</v>
      </c>
      <c r="CO69" s="119"/>
      <c r="CP69" s="115"/>
      <c r="CQ69" s="204"/>
      <c r="CR69" s="88">
        <v>97.936339999999987</v>
      </c>
      <c r="CS69" s="328">
        <v>490.19778999999994</v>
      </c>
      <c r="CT69" s="28"/>
      <c r="CU69" s="226">
        <f t="shared" si="86"/>
        <v>588.13412999999991</v>
      </c>
      <c r="CW69" s="109">
        <v>44435</v>
      </c>
      <c r="CX69" s="184">
        <v>6998.69</v>
      </c>
      <c r="CY69" s="185">
        <v>1086.25</v>
      </c>
      <c r="CZ69" s="119"/>
      <c r="DA69" s="186">
        <v>3.48</v>
      </c>
      <c r="DB69" s="204"/>
      <c r="DC69" s="88">
        <v>129.021905</v>
      </c>
      <c r="DD69" s="329">
        <v>34.800179999999955</v>
      </c>
      <c r="DE69" s="28"/>
      <c r="DF69" s="226">
        <f t="shared" si="87"/>
        <v>167.30208499999995</v>
      </c>
      <c r="DH69" s="109">
        <v>44435</v>
      </c>
      <c r="DI69" s="184">
        <v>1340.18</v>
      </c>
      <c r="DJ69" s="120"/>
      <c r="DK69" s="119"/>
      <c r="DL69" s="115"/>
      <c r="DM69" s="204"/>
      <c r="DN69" s="215"/>
      <c r="DO69" s="28"/>
      <c r="DP69" s="28"/>
      <c r="DQ69" s="226">
        <f t="shared" si="88"/>
        <v>0</v>
      </c>
      <c r="DS69" s="109">
        <v>44435</v>
      </c>
      <c r="DT69" s="184">
        <v>720.21</v>
      </c>
      <c r="DU69" s="185">
        <v>396.6</v>
      </c>
      <c r="DV69" s="119"/>
      <c r="DW69" s="115"/>
      <c r="DX69" s="204"/>
      <c r="DY69" s="88">
        <v>55.026299999999949</v>
      </c>
      <c r="DZ69" s="329">
        <v>49.030620000000013</v>
      </c>
      <c r="EA69" s="335"/>
      <c r="EB69" s="226">
        <f t="shared" si="89"/>
        <v>104.05691999999996</v>
      </c>
      <c r="ED69" s="109">
        <v>44435</v>
      </c>
      <c r="EE69" s="184">
        <v>6373.55</v>
      </c>
      <c r="EF69" s="185">
        <v>1686.97</v>
      </c>
      <c r="EG69" s="119"/>
      <c r="EH69" s="186">
        <v>122.62</v>
      </c>
      <c r="EI69" s="204"/>
      <c r="EJ69" s="88"/>
      <c r="EK69" s="28"/>
      <c r="EL69" s="28"/>
      <c r="EM69" s="226">
        <f t="shared" si="90"/>
        <v>122.62</v>
      </c>
      <c r="EO69" s="109">
        <v>44435</v>
      </c>
      <c r="EP69" s="188">
        <v>706.09</v>
      </c>
      <c r="EQ69" s="184">
        <v>619.53</v>
      </c>
      <c r="ER69" s="119"/>
      <c r="ES69" s="115"/>
      <c r="ET69" s="204"/>
      <c r="EU69" s="215"/>
      <c r="EV69" s="28"/>
      <c r="EW69" s="28"/>
      <c r="EX69" s="226">
        <f t="shared" si="91"/>
        <v>0</v>
      </c>
    </row>
    <row r="70" spans="1:154" x14ac:dyDescent="0.25">
      <c r="A70" s="109">
        <v>44436</v>
      </c>
      <c r="B70" s="177">
        <v>23232.65</v>
      </c>
      <c r="C70" s="178">
        <v>4343.57</v>
      </c>
      <c r="D70" s="179">
        <v>4246.5600000000004</v>
      </c>
      <c r="E70" s="181">
        <v>173.12</v>
      </c>
      <c r="F70" s="180"/>
      <c r="H70" s="215"/>
      <c r="I70" s="28"/>
      <c r="J70" s="28"/>
      <c r="K70" s="226">
        <f t="shared" si="78"/>
        <v>0</v>
      </c>
      <c r="M70" s="109">
        <v>44436</v>
      </c>
      <c r="N70" s="182">
        <v>7804.16</v>
      </c>
      <c r="O70" s="182">
        <v>470.77699999999999</v>
      </c>
      <c r="P70" s="119"/>
      <c r="Q70" s="183"/>
      <c r="R70" s="204"/>
      <c r="S70" s="88">
        <v>48.040499999999966</v>
      </c>
      <c r="T70" s="329"/>
      <c r="U70" s="28"/>
      <c r="V70" s="226">
        <f t="shared" si="79"/>
        <v>48.040499999999966</v>
      </c>
      <c r="X70" s="109">
        <v>44436</v>
      </c>
      <c r="Y70" s="184">
        <v>4928.8100000000004</v>
      </c>
      <c r="Z70" s="185">
        <v>1461.8</v>
      </c>
      <c r="AA70" s="185"/>
      <c r="AB70" s="186">
        <v>327.92</v>
      </c>
      <c r="AC70" s="204"/>
      <c r="AD70" s="88"/>
      <c r="AE70" s="28"/>
      <c r="AF70" s="28"/>
      <c r="AG70" s="226">
        <f t="shared" si="80"/>
        <v>327.92</v>
      </c>
      <c r="AI70" s="109">
        <v>44436</v>
      </c>
      <c r="AJ70" s="184">
        <v>2926.7</v>
      </c>
      <c r="AK70" s="185">
        <v>710.92</v>
      </c>
      <c r="AL70" s="119"/>
      <c r="AM70" s="111"/>
      <c r="AN70" s="204"/>
      <c r="AO70" s="215"/>
      <c r="AP70" s="28"/>
      <c r="AQ70" s="28"/>
      <c r="AR70" s="226">
        <f t="shared" si="81"/>
        <v>0</v>
      </c>
      <c r="AT70" s="109">
        <v>44436</v>
      </c>
      <c r="AU70" s="185">
        <v>206</v>
      </c>
      <c r="AV70" s="185">
        <v>20</v>
      </c>
      <c r="AW70" s="119"/>
      <c r="AX70" s="186">
        <v>117</v>
      </c>
      <c r="AY70" s="204"/>
      <c r="AZ70" s="88">
        <v>243.86006600000005</v>
      </c>
      <c r="BA70" s="28"/>
      <c r="BB70" s="28"/>
      <c r="BC70" s="226">
        <f t="shared" si="82"/>
        <v>360.86006600000007</v>
      </c>
      <c r="BE70" s="109">
        <v>44436</v>
      </c>
      <c r="BF70" s="184">
        <v>5050.95</v>
      </c>
      <c r="BG70" s="185">
        <v>815.13</v>
      </c>
      <c r="BH70" s="119"/>
      <c r="BI70" s="186"/>
      <c r="BJ70" s="204"/>
      <c r="BK70" s="88">
        <v>275.54546999999997</v>
      </c>
      <c r="BL70" s="329"/>
      <c r="BM70" s="28"/>
      <c r="BN70" s="226">
        <f t="shared" si="83"/>
        <v>275.54546999999997</v>
      </c>
      <c r="BP70" s="109">
        <v>44436</v>
      </c>
      <c r="BQ70" s="185">
        <v>466.1</v>
      </c>
      <c r="BR70" s="185">
        <v>482.12</v>
      </c>
      <c r="BS70" s="119"/>
      <c r="BT70" s="187">
        <v>25.4</v>
      </c>
      <c r="BU70" s="204"/>
      <c r="BV70" s="215"/>
      <c r="BW70" s="28"/>
      <c r="BX70" s="28"/>
      <c r="BY70" s="226">
        <f t="shared" si="84"/>
        <v>25.4</v>
      </c>
      <c r="CA70" s="109">
        <v>44436</v>
      </c>
      <c r="CB70" s="184">
        <v>18535.05</v>
      </c>
      <c r="CC70" s="185">
        <v>2386.61</v>
      </c>
      <c r="CD70" s="119"/>
      <c r="CE70" s="187"/>
      <c r="CF70" s="204"/>
      <c r="CG70" s="215"/>
      <c r="CH70" s="28"/>
      <c r="CI70" s="28"/>
      <c r="CJ70" s="226">
        <f t="shared" si="85"/>
        <v>0</v>
      </c>
      <c r="CL70" s="109">
        <v>44436</v>
      </c>
      <c r="CM70" s="184">
        <v>8797.99</v>
      </c>
      <c r="CN70" s="185">
        <v>2711.62</v>
      </c>
      <c r="CO70" s="119"/>
      <c r="CP70" s="115"/>
      <c r="CQ70" s="204"/>
      <c r="CR70" s="88">
        <v>67.166839999999993</v>
      </c>
      <c r="CS70" s="328">
        <v>156.17386999999999</v>
      </c>
      <c r="CT70" s="28"/>
      <c r="CU70" s="226">
        <f t="shared" si="86"/>
        <v>223.34071</v>
      </c>
      <c r="CW70" s="109">
        <v>44436</v>
      </c>
      <c r="CX70" s="184">
        <v>3926.26</v>
      </c>
      <c r="CY70" s="185">
        <v>1208.1099999999999</v>
      </c>
      <c r="CZ70" s="119"/>
      <c r="DA70" s="186">
        <v>3.6</v>
      </c>
      <c r="DB70" s="204"/>
      <c r="DC70" s="88">
        <v>199.19417600000003</v>
      </c>
      <c r="DD70" s="329"/>
      <c r="DE70" s="28"/>
      <c r="DF70" s="226">
        <f t="shared" si="87"/>
        <v>202.79417600000002</v>
      </c>
      <c r="DH70" s="109">
        <v>44436</v>
      </c>
      <c r="DI70" s="184">
        <v>1568.19</v>
      </c>
      <c r="DJ70" s="120"/>
      <c r="DK70" s="119"/>
      <c r="DL70" s="115"/>
      <c r="DM70" s="204"/>
      <c r="DN70" s="215"/>
      <c r="DO70" s="28"/>
      <c r="DP70" s="28"/>
      <c r="DQ70" s="226">
        <f t="shared" si="88"/>
        <v>0</v>
      </c>
      <c r="DS70" s="109">
        <v>44436</v>
      </c>
      <c r="DT70" s="184">
        <v>2203.25</v>
      </c>
      <c r="DU70" s="185">
        <v>353.17</v>
      </c>
      <c r="DV70" s="119"/>
      <c r="DW70" s="115"/>
      <c r="DX70" s="204"/>
      <c r="DY70" s="88">
        <v>204.45072999999991</v>
      </c>
      <c r="DZ70" s="329">
        <v>45.630799999999979</v>
      </c>
      <c r="EA70" s="335"/>
      <c r="EB70" s="226">
        <f t="shared" si="89"/>
        <v>250.08152999999987</v>
      </c>
      <c r="ED70" s="109">
        <v>44436</v>
      </c>
      <c r="EE70" s="184">
        <v>6564.11</v>
      </c>
      <c r="EF70" s="185">
        <v>1740.99</v>
      </c>
      <c r="EG70" s="119"/>
      <c r="EH70" s="186">
        <v>107.86</v>
      </c>
      <c r="EI70" s="204"/>
      <c r="EJ70" s="88"/>
      <c r="EK70" s="28"/>
      <c r="EL70" s="28"/>
      <c r="EM70" s="226">
        <f t="shared" si="90"/>
        <v>107.86</v>
      </c>
      <c r="EO70" s="109">
        <v>44436</v>
      </c>
      <c r="EP70" s="188">
        <v>1408.63</v>
      </c>
      <c r="EQ70" s="184">
        <v>722.38</v>
      </c>
      <c r="ER70" s="119"/>
      <c r="ES70" s="115"/>
      <c r="ET70" s="204"/>
      <c r="EU70" s="215"/>
      <c r="EV70" s="28"/>
      <c r="EW70" s="28"/>
      <c r="EX70" s="226">
        <f t="shared" si="91"/>
        <v>0</v>
      </c>
    </row>
    <row r="71" spans="1:154" x14ac:dyDescent="0.25">
      <c r="A71" s="109">
        <v>44437</v>
      </c>
      <c r="B71" s="180">
        <v>26221.91</v>
      </c>
      <c r="C71" s="194">
        <v>4501.26</v>
      </c>
      <c r="D71" s="179">
        <v>3661.38</v>
      </c>
      <c r="E71" s="181">
        <v>188.99</v>
      </c>
      <c r="F71" s="180"/>
      <c r="H71" s="215"/>
      <c r="I71" s="28"/>
      <c r="J71" s="28"/>
      <c r="K71" s="226">
        <f t="shared" si="78"/>
        <v>0</v>
      </c>
      <c r="M71" s="109">
        <v>44437</v>
      </c>
      <c r="N71" s="182">
        <v>5050.3900000000003</v>
      </c>
      <c r="O71" s="182">
        <v>718.1</v>
      </c>
      <c r="P71" s="119"/>
      <c r="Q71" s="183">
        <v>34.74</v>
      </c>
      <c r="R71" s="204"/>
      <c r="S71" s="88">
        <v>77.85906999999996</v>
      </c>
      <c r="T71" s="329"/>
      <c r="U71" s="28"/>
      <c r="V71" s="226">
        <f t="shared" si="79"/>
        <v>112.59906999999995</v>
      </c>
      <c r="X71" s="109">
        <v>44437</v>
      </c>
      <c r="Y71" s="184">
        <v>5150.37</v>
      </c>
      <c r="Z71" s="185">
        <v>1926.07</v>
      </c>
      <c r="AA71" s="185"/>
      <c r="AB71" s="186">
        <v>171.33</v>
      </c>
      <c r="AC71" s="204"/>
      <c r="AD71" s="88">
        <v>124.1727929999999</v>
      </c>
      <c r="AE71" s="28"/>
      <c r="AF71" s="28"/>
      <c r="AG71" s="226">
        <f t="shared" si="80"/>
        <v>295.50279299999988</v>
      </c>
      <c r="AI71" s="109">
        <v>44437</v>
      </c>
      <c r="AJ71" s="184">
        <v>2804.7</v>
      </c>
      <c r="AK71" s="185">
        <v>514.52</v>
      </c>
      <c r="AL71" s="119"/>
      <c r="AM71" s="111"/>
      <c r="AN71" s="204"/>
      <c r="AO71" s="215"/>
      <c r="AP71" s="28"/>
      <c r="AQ71" s="28"/>
      <c r="AR71" s="226">
        <f t="shared" si="81"/>
        <v>0</v>
      </c>
      <c r="AT71" s="109">
        <v>44437</v>
      </c>
      <c r="AU71" s="185">
        <v>149</v>
      </c>
      <c r="AV71" s="185">
        <v>90</v>
      </c>
      <c r="AW71" s="119"/>
      <c r="AX71" s="186">
        <v>156</v>
      </c>
      <c r="AY71" s="204"/>
      <c r="AZ71" s="88">
        <v>275.51815200000021</v>
      </c>
      <c r="BA71" s="28"/>
      <c r="BB71" s="28"/>
      <c r="BC71" s="226">
        <f t="shared" si="82"/>
        <v>431.51815200000021</v>
      </c>
      <c r="BE71" s="109">
        <v>44437</v>
      </c>
      <c r="BF71" s="184">
        <v>5694.98</v>
      </c>
      <c r="BG71" s="185">
        <v>1192.1500000000001</v>
      </c>
      <c r="BH71" s="119"/>
      <c r="BI71" s="186"/>
      <c r="BJ71" s="204"/>
      <c r="BK71" s="88">
        <v>246.37206999999984</v>
      </c>
      <c r="BL71" s="329">
        <v>33.215619999999987</v>
      </c>
      <c r="BM71" s="28"/>
      <c r="BN71" s="226">
        <f t="shared" si="83"/>
        <v>279.58768999999984</v>
      </c>
      <c r="BP71" s="109">
        <v>44437</v>
      </c>
      <c r="BQ71" s="185">
        <v>707.36</v>
      </c>
      <c r="BR71" s="185">
        <v>587.13</v>
      </c>
      <c r="BS71" s="119"/>
      <c r="BT71" s="187">
        <v>0</v>
      </c>
      <c r="BU71" s="204"/>
      <c r="BV71" s="215"/>
      <c r="BW71" s="28"/>
      <c r="BX71" s="28"/>
      <c r="BY71" s="226">
        <f t="shared" si="84"/>
        <v>0</v>
      </c>
      <c r="CA71" s="109">
        <v>44437</v>
      </c>
      <c r="CB71" s="184">
        <v>22085.11</v>
      </c>
      <c r="CC71" s="185">
        <v>2354.3000000000002</v>
      </c>
      <c r="CD71" s="119"/>
      <c r="CE71" s="187"/>
      <c r="CF71" s="204"/>
      <c r="CG71" s="215"/>
      <c r="CH71" s="28"/>
      <c r="CI71" s="28"/>
      <c r="CJ71" s="226">
        <f t="shared" si="85"/>
        <v>0</v>
      </c>
      <c r="CL71" s="109">
        <v>44437</v>
      </c>
      <c r="CM71" s="184">
        <v>14303.92</v>
      </c>
      <c r="CN71" s="185">
        <v>2181.84</v>
      </c>
      <c r="CO71" s="119"/>
      <c r="CP71" s="115"/>
      <c r="CQ71" s="204"/>
      <c r="CR71" s="88">
        <v>102.08927</v>
      </c>
      <c r="CS71" s="328">
        <v>409.24125999999995</v>
      </c>
      <c r="CT71" s="28"/>
      <c r="CU71" s="226">
        <f t="shared" si="86"/>
        <v>511.33052999999995</v>
      </c>
      <c r="CW71" s="109">
        <v>44437</v>
      </c>
      <c r="CX71" s="184">
        <v>6006.87</v>
      </c>
      <c r="CY71" s="185">
        <v>2011.83</v>
      </c>
      <c r="CZ71" s="119"/>
      <c r="DA71" s="186">
        <v>0</v>
      </c>
      <c r="DB71" s="204"/>
      <c r="DC71" s="88">
        <v>37.534887000000083</v>
      </c>
      <c r="DD71" s="329">
        <v>18.328956000000062</v>
      </c>
      <c r="DE71" s="28"/>
      <c r="DF71" s="226">
        <f t="shared" si="87"/>
        <v>55.863843000000145</v>
      </c>
      <c r="DH71" s="109">
        <v>44437</v>
      </c>
      <c r="DI71" s="184">
        <v>1377.88</v>
      </c>
      <c r="DJ71" s="120"/>
      <c r="DK71" s="119"/>
      <c r="DL71" s="115"/>
      <c r="DM71" s="204"/>
      <c r="DN71" s="215"/>
      <c r="DO71" s="28"/>
      <c r="DP71" s="28"/>
      <c r="DQ71" s="226">
        <f t="shared" si="88"/>
        <v>0</v>
      </c>
      <c r="DS71" s="109">
        <v>44437</v>
      </c>
      <c r="DT71" s="184">
        <v>1803.86</v>
      </c>
      <c r="DU71" s="185">
        <v>346.64</v>
      </c>
      <c r="DV71" s="119"/>
      <c r="DW71" s="115"/>
      <c r="DX71" s="204"/>
      <c r="DY71" s="88">
        <v>31.467170999999979</v>
      </c>
      <c r="DZ71" s="329">
        <v>384.94118000000009</v>
      </c>
      <c r="EA71" s="335"/>
      <c r="EB71" s="226">
        <f t="shared" si="89"/>
        <v>416.40835100000004</v>
      </c>
      <c r="ED71" s="109">
        <v>44437</v>
      </c>
      <c r="EE71" s="184">
        <v>7704.18</v>
      </c>
      <c r="EF71" s="185">
        <v>1963.76</v>
      </c>
      <c r="EG71" s="119"/>
      <c r="EH71" s="186">
        <v>112.78</v>
      </c>
      <c r="EI71" s="204"/>
      <c r="EJ71" s="88"/>
      <c r="EK71" s="28"/>
      <c r="EL71" s="28"/>
      <c r="EM71" s="226">
        <f t="shared" si="90"/>
        <v>112.78</v>
      </c>
      <c r="EO71" s="109">
        <v>44437</v>
      </c>
      <c r="EP71" s="188">
        <v>954.14</v>
      </c>
      <c r="EQ71" s="184">
        <v>757.82</v>
      </c>
      <c r="ER71" s="119"/>
      <c r="ES71" s="115"/>
      <c r="ET71" s="204"/>
      <c r="EU71" s="215"/>
      <c r="EV71" s="28"/>
      <c r="EW71" s="28"/>
      <c r="EX71" s="226">
        <f t="shared" si="91"/>
        <v>0</v>
      </c>
    </row>
    <row r="72" spans="1:154" x14ac:dyDescent="0.25">
      <c r="A72" s="109">
        <v>44438</v>
      </c>
      <c r="B72" s="180">
        <v>19869.48</v>
      </c>
      <c r="C72" s="194">
        <v>3057.04</v>
      </c>
      <c r="D72" s="179">
        <v>2711.32</v>
      </c>
      <c r="E72" s="181">
        <v>97.01</v>
      </c>
      <c r="F72" s="180"/>
      <c r="H72" s="215"/>
      <c r="I72" s="28"/>
      <c r="J72" s="28"/>
      <c r="K72" s="226">
        <f t="shared" si="78"/>
        <v>0</v>
      </c>
      <c r="M72" s="109">
        <v>44438</v>
      </c>
      <c r="N72" s="182">
        <v>4517.33</v>
      </c>
      <c r="O72" s="182">
        <v>375.04</v>
      </c>
      <c r="P72" s="119"/>
      <c r="Q72" s="183"/>
      <c r="R72" s="204"/>
      <c r="S72" s="88">
        <v>48.911860000000033</v>
      </c>
      <c r="T72" s="329"/>
      <c r="U72" s="28"/>
      <c r="V72" s="226">
        <f t="shared" si="79"/>
        <v>48.911860000000033</v>
      </c>
      <c r="X72" s="109">
        <v>44438</v>
      </c>
      <c r="Y72" s="184">
        <v>5399.72</v>
      </c>
      <c r="Z72" s="185">
        <v>1559.3</v>
      </c>
      <c r="AA72" s="185"/>
      <c r="AB72" s="186">
        <v>179.06</v>
      </c>
      <c r="AC72" s="204"/>
      <c r="AD72" s="88">
        <v>55.474705999999969</v>
      </c>
      <c r="AE72" s="28"/>
      <c r="AF72" s="28"/>
      <c r="AG72" s="226">
        <f t="shared" si="80"/>
        <v>234.53470599999997</v>
      </c>
      <c r="AI72" s="109">
        <v>44438</v>
      </c>
      <c r="AJ72" s="184">
        <v>3833.48</v>
      </c>
      <c r="AK72" s="185">
        <v>619.41</v>
      </c>
      <c r="AL72" s="119"/>
      <c r="AM72" s="115"/>
      <c r="AN72" s="204"/>
      <c r="AO72" s="215"/>
      <c r="AP72" s="28"/>
      <c r="AQ72" s="28"/>
      <c r="AR72" s="226">
        <f t="shared" si="81"/>
        <v>0</v>
      </c>
      <c r="AT72" s="109">
        <v>44438</v>
      </c>
      <c r="AU72" s="185">
        <v>523.63</v>
      </c>
      <c r="AV72" s="185">
        <v>44.03</v>
      </c>
      <c r="AW72" s="119"/>
      <c r="AX72" s="186"/>
      <c r="AY72" s="204"/>
      <c r="AZ72" s="88">
        <v>241.97108000000011</v>
      </c>
      <c r="BA72" s="28"/>
      <c r="BB72" s="28"/>
      <c r="BC72" s="226">
        <f t="shared" si="82"/>
        <v>241.97108000000011</v>
      </c>
      <c r="BE72" s="109">
        <v>44438</v>
      </c>
      <c r="BF72" s="184">
        <v>4038.85</v>
      </c>
      <c r="BG72" s="185">
        <v>1095.57</v>
      </c>
      <c r="BH72" s="119"/>
      <c r="BI72" s="186">
        <v>78.52</v>
      </c>
      <c r="BJ72" s="204"/>
      <c r="BK72" s="88">
        <v>163.95506999999995</v>
      </c>
      <c r="BL72" s="329">
        <v>29.255030000000005</v>
      </c>
      <c r="BM72" s="28"/>
      <c r="BN72" s="226">
        <f t="shared" si="83"/>
        <v>271.73009999999999</v>
      </c>
      <c r="BP72" s="109">
        <v>44438</v>
      </c>
      <c r="BQ72" s="185">
        <v>568.79</v>
      </c>
      <c r="BR72" s="185">
        <v>486.92</v>
      </c>
      <c r="BS72" s="119"/>
      <c r="BT72" s="187">
        <v>0</v>
      </c>
      <c r="BU72" s="204"/>
      <c r="BV72" s="215"/>
      <c r="BW72" s="28"/>
      <c r="BX72" s="28"/>
      <c r="BY72" s="226">
        <f t="shared" si="84"/>
        <v>0</v>
      </c>
      <c r="CA72" s="109">
        <v>44438</v>
      </c>
      <c r="CB72" s="184">
        <v>22036.21</v>
      </c>
      <c r="CC72" s="185">
        <v>2224.7800000000002</v>
      </c>
      <c r="CD72" s="119"/>
      <c r="CE72" s="187"/>
      <c r="CF72" s="204"/>
      <c r="CG72" s="215"/>
      <c r="CH72" s="28"/>
      <c r="CI72" s="28"/>
      <c r="CJ72" s="226">
        <f t="shared" si="85"/>
        <v>0</v>
      </c>
      <c r="CL72" s="109">
        <v>44438</v>
      </c>
      <c r="CM72" s="184">
        <v>8236.4500000000007</v>
      </c>
      <c r="CN72" s="185">
        <v>2248.36</v>
      </c>
      <c r="CO72" s="119"/>
      <c r="CP72" s="115"/>
      <c r="CQ72" s="204"/>
      <c r="CR72" s="88"/>
      <c r="CS72" s="328">
        <v>52.554539999999974</v>
      </c>
      <c r="CT72" s="28"/>
      <c r="CU72" s="226">
        <f t="shared" si="86"/>
        <v>52.554539999999974</v>
      </c>
      <c r="CW72" s="109">
        <v>44438</v>
      </c>
      <c r="CX72" s="184">
        <v>4808.37</v>
      </c>
      <c r="CY72" s="185">
        <v>1450.42</v>
      </c>
      <c r="CZ72" s="119"/>
      <c r="DA72" s="186">
        <v>0</v>
      </c>
      <c r="DB72" s="204"/>
      <c r="DC72" s="88">
        <v>92.102244000000013</v>
      </c>
      <c r="DD72" s="329"/>
      <c r="DE72" s="28"/>
      <c r="DF72" s="226">
        <f t="shared" si="87"/>
        <v>92.102244000000013</v>
      </c>
      <c r="DH72" s="109">
        <v>44438</v>
      </c>
      <c r="DI72" s="184">
        <v>1604.41</v>
      </c>
      <c r="DJ72" s="120"/>
      <c r="DK72" s="119"/>
      <c r="DL72" s="115"/>
      <c r="DM72" s="204"/>
      <c r="DN72" s="215"/>
      <c r="DO72" s="28"/>
      <c r="DP72" s="28"/>
      <c r="DQ72" s="226">
        <f t="shared" si="88"/>
        <v>0</v>
      </c>
      <c r="DS72" s="109">
        <v>44438</v>
      </c>
      <c r="DT72" s="184">
        <v>212.54</v>
      </c>
      <c r="DU72" s="185">
        <v>166.83</v>
      </c>
      <c r="DV72" s="119"/>
      <c r="DW72" s="115"/>
      <c r="DX72" s="204"/>
      <c r="DY72" s="88">
        <v>19.149059999999992</v>
      </c>
      <c r="DZ72" s="329"/>
      <c r="EA72" s="335">
        <v>17.422188800000015</v>
      </c>
      <c r="EB72" s="226">
        <f t="shared" si="89"/>
        <v>36.571248800000006</v>
      </c>
      <c r="ED72" s="109">
        <v>44438</v>
      </c>
      <c r="EE72" s="184">
        <v>5905.24</v>
      </c>
      <c r="EF72" s="185">
        <v>1605.24</v>
      </c>
      <c r="EG72" s="119"/>
      <c r="EH72" s="186">
        <v>94.58</v>
      </c>
      <c r="EI72" s="204"/>
      <c r="EJ72" s="88">
        <v>7.1517599999999959</v>
      </c>
      <c r="EK72" s="28"/>
      <c r="EL72" s="28"/>
      <c r="EM72" s="226">
        <f t="shared" si="90"/>
        <v>101.73175999999999</v>
      </c>
      <c r="EO72" s="109">
        <v>44438</v>
      </c>
      <c r="EP72" s="188">
        <v>1144.5999999999999</v>
      </c>
      <c r="EQ72" s="184">
        <v>863.63</v>
      </c>
      <c r="ER72" s="119"/>
      <c r="ES72" s="115"/>
      <c r="ET72" s="204"/>
      <c r="EU72" s="215"/>
      <c r="EV72" s="28"/>
      <c r="EW72" s="28"/>
      <c r="EX72" s="226">
        <f t="shared" si="91"/>
        <v>0</v>
      </c>
    </row>
    <row r="73" spans="1:154" ht="15.75" thickBot="1" x14ac:dyDescent="0.3">
      <c r="A73" s="121">
        <v>44439</v>
      </c>
      <c r="B73" s="195">
        <v>17160.09</v>
      </c>
      <c r="C73" s="196">
        <v>1687.05</v>
      </c>
      <c r="D73" s="197">
        <v>2285.98</v>
      </c>
      <c r="E73" s="198">
        <v>57.13</v>
      </c>
      <c r="F73" s="195"/>
      <c r="H73" s="216"/>
      <c r="I73" s="45"/>
      <c r="J73" s="45"/>
      <c r="K73" s="227">
        <f t="shared" si="78"/>
        <v>0</v>
      </c>
      <c r="M73" s="121">
        <v>44439</v>
      </c>
      <c r="N73" s="199">
        <v>2566.08</v>
      </c>
      <c r="O73" s="199">
        <v>479.73</v>
      </c>
      <c r="P73" s="120"/>
      <c r="Q73" s="200">
        <v>33.92</v>
      </c>
      <c r="R73" s="204"/>
      <c r="S73" s="88">
        <v>8.3349600000000095</v>
      </c>
      <c r="T73" s="329"/>
      <c r="U73" s="45"/>
      <c r="V73" s="227">
        <f t="shared" si="79"/>
        <v>42.254960000000011</v>
      </c>
      <c r="X73" s="121">
        <v>44439</v>
      </c>
      <c r="Y73" s="184">
        <v>4459.3900000000003</v>
      </c>
      <c r="Z73" s="185">
        <v>1852.26</v>
      </c>
      <c r="AA73" s="185"/>
      <c r="AB73" s="186">
        <v>317.52</v>
      </c>
      <c r="AC73" s="204"/>
      <c r="AD73" s="88">
        <v>8.3021329999999836</v>
      </c>
      <c r="AE73" s="45"/>
      <c r="AF73" s="45"/>
      <c r="AG73" s="227">
        <f t="shared" si="80"/>
        <v>325.82213299999995</v>
      </c>
      <c r="AI73" s="121">
        <v>44439</v>
      </c>
      <c r="AJ73" s="184">
        <v>2225.7600000000002</v>
      </c>
      <c r="AK73" s="185">
        <v>623.16</v>
      </c>
      <c r="AL73" s="120"/>
      <c r="AM73" s="123"/>
      <c r="AN73" s="204"/>
      <c r="AO73" s="216"/>
      <c r="AP73" s="45"/>
      <c r="AQ73" s="45"/>
      <c r="AR73" s="227">
        <f t="shared" si="81"/>
        <v>0</v>
      </c>
      <c r="AT73" s="121">
        <v>44439</v>
      </c>
      <c r="AU73" s="201">
        <v>480</v>
      </c>
      <c r="AV73" s="201">
        <v>64.25</v>
      </c>
      <c r="AW73" s="120"/>
      <c r="AX73" s="186"/>
      <c r="AY73" s="204"/>
      <c r="AZ73" s="88">
        <v>98.83119599999992</v>
      </c>
      <c r="BA73" s="45"/>
      <c r="BB73" s="45"/>
      <c r="BC73" s="227">
        <f t="shared" si="82"/>
        <v>98.83119599999992</v>
      </c>
      <c r="BE73" s="121">
        <v>44439</v>
      </c>
      <c r="BF73" s="184">
        <v>2205.98</v>
      </c>
      <c r="BG73" s="185">
        <v>567.69000000000005</v>
      </c>
      <c r="BH73" s="120"/>
      <c r="BI73" s="186">
        <v>69.98</v>
      </c>
      <c r="BJ73" s="204"/>
      <c r="BK73" s="88">
        <v>133.0199199999999</v>
      </c>
      <c r="BL73" s="329">
        <v>5.6204299999999989</v>
      </c>
      <c r="BM73" s="45"/>
      <c r="BN73" s="227">
        <f t="shared" si="83"/>
        <v>208.62034999999992</v>
      </c>
      <c r="BP73" s="121">
        <v>44439</v>
      </c>
      <c r="BQ73" s="185">
        <v>647</v>
      </c>
      <c r="BR73" s="185">
        <v>510.37</v>
      </c>
      <c r="BS73" s="120"/>
      <c r="BT73" s="187">
        <v>0</v>
      </c>
      <c r="BU73" s="204"/>
      <c r="BV73" s="216"/>
      <c r="BW73" s="45"/>
      <c r="BX73" s="45"/>
      <c r="BY73" s="227">
        <f t="shared" si="84"/>
        <v>0</v>
      </c>
      <c r="CA73" s="121">
        <v>44439</v>
      </c>
      <c r="CB73" s="184">
        <v>16881.2</v>
      </c>
      <c r="CC73" s="185">
        <v>2045.28</v>
      </c>
      <c r="CD73" s="120"/>
      <c r="CE73" s="187"/>
      <c r="CF73" s="204"/>
      <c r="CG73" s="216"/>
      <c r="CH73" s="45"/>
      <c r="CI73" s="45"/>
      <c r="CJ73" s="227">
        <f t="shared" si="85"/>
        <v>0</v>
      </c>
      <c r="CL73" s="121">
        <v>44439</v>
      </c>
      <c r="CM73" s="184">
        <v>5972.49</v>
      </c>
      <c r="CN73" s="185">
        <v>1177.92</v>
      </c>
      <c r="CO73" s="120"/>
      <c r="CP73" s="123"/>
      <c r="CQ73" s="204"/>
      <c r="CR73" s="88">
        <v>52.230159999999984</v>
      </c>
      <c r="CS73" s="328">
        <v>138.88497999999993</v>
      </c>
      <c r="CT73" s="45"/>
      <c r="CU73" s="227">
        <f t="shared" si="86"/>
        <v>191.11513999999991</v>
      </c>
      <c r="CW73" s="121">
        <v>44439</v>
      </c>
      <c r="CX73" s="184">
        <v>7164.54</v>
      </c>
      <c r="CY73" s="185">
        <v>1855.61</v>
      </c>
      <c r="CZ73" s="120"/>
      <c r="DA73" s="186">
        <v>13.47</v>
      </c>
      <c r="DB73" s="204"/>
      <c r="DC73" s="88">
        <v>3.3875400000000155</v>
      </c>
      <c r="DD73" s="329"/>
      <c r="DE73" s="45"/>
      <c r="DF73" s="227">
        <f t="shared" si="87"/>
        <v>16.857540000000014</v>
      </c>
      <c r="DH73" s="121">
        <v>44439</v>
      </c>
      <c r="DI73" s="184">
        <v>1492.66</v>
      </c>
      <c r="DJ73" s="120"/>
      <c r="DK73" s="120"/>
      <c r="DL73" s="123"/>
      <c r="DM73" s="204"/>
      <c r="DN73" s="216"/>
      <c r="DO73" s="45"/>
      <c r="DP73" s="45"/>
      <c r="DQ73" s="227">
        <f t="shared" si="88"/>
        <v>0</v>
      </c>
      <c r="DS73" s="121">
        <v>44439</v>
      </c>
      <c r="DT73" s="184">
        <v>4307.91</v>
      </c>
      <c r="DU73" s="185">
        <v>559.19000000000005</v>
      </c>
      <c r="DV73" s="120"/>
      <c r="DW73" s="123"/>
      <c r="DX73" s="204"/>
      <c r="DY73" s="88">
        <v>18.20417999999998</v>
      </c>
      <c r="DZ73" s="329">
        <v>32.888890000000004</v>
      </c>
      <c r="EA73" s="336"/>
      <c r="EB73" s="227">
        <f t="shared" si="89"/>
        <v>51.093069999999983</v>
      </c>
      <c r="ED73" s="121">
        <v>44439</v>
      </c>
      <c r="EE73" s="184">
        <v>5168.32</v>
      </c>
      <c r="EF73" s="185">
        <v>1251.22</v>
      </c>
      <c r="EG73" s="120"/>
      <c r="EH73" s="186">
        <v>36.67</v>
      </c>
      <c r="EI73" s="204"/>
      <c r="EJ73" s="216"/>
      <c r="EK73" s="45"/>
      <c r="EL73" s="45"/>
      <c r="EM73" s="227">
        <f t="shared" si="90"/>
        <v>36.67</v>
      </c>
      <c r="EO73" s="121">
        <v>44439</v>
      </c>
      <c r="EP73" s="202">
        <v>566.70000000000005</v>
      </c>
      <c r="EQ73" s="203">
        <v>848.37</v>
      </c>
      <c r="ER73" s="120"/>
      <c r="ES73" s="123"/>
      <c r="ET73" s="204"/>
      <c r="EU73" s="216"/>
      <c r="EV73" s="45"/>
      <c r="EW73" s="45"/>
      <c r="EX73" s="227">
        <f t="shared" si="91"/>
        <v>0</v>
      </c>
    </row>
    <row r="74" spans="1:154" s="309" customFormat="1" ht="16.5" thickBot="1" x14ac:dyDescent="0.3">
      <c r="B74" s="246">
        <f>SUM(B43:B73)</f>
        <v>608351.23</v>
      </c>
      <c r="C74" s="246">
        <f t="shared" ref="C74:F74" si="92">SUM(C43:C73)</f>
        <v>110906.15999999999</v>
      </c>
      <c r="D74" s="246">
        <f t="shared" si="92"/>
        <v>100807.95</v>
      </c>
      <c r="E74" s="247">
        <f>SUM(E43:E73)</f>
        <v>4905.37</v>
      </c>
      <c r="F74" s="246">
        <f t="shared" si="92"/>
        <v>0.2</v>
      </c>
      <c r="H74" s="307">
        <f t="shared" ref="H74" si="93">SUM(H43:H73)</f>
        <v>0</v>
      </c>
      <c r="I74" s="308">
        <f t="shared" ref="I74" si="94">SUM(I43:I73)</f>
        <v>0</v>
      </c>
      <c r="J74" s="308">
        <f t="shared" ref="J74" si="95">SUM(J43:J73)</f>
        <v>0</v>
      </c>
      <c r="K74" s="308">
        <f t="shared" ref="K74" si="96">SUM(K43:K73)</f>
        <v>0.2</v>
      </c>
      <c r="N74" s="246">
        <f>SUM(N43:N73)</f>
        <v>137500.65</v>
      </c>
      <c r="O74" s="246">
        <f>SUM(O43:O73)</f>
        <v>17929.276999999995</v>
      </c>
      <c r="P74" s="249">
        <f>SUM(P43:P73)</f>
        <v>0</v>
      </c>
      <c r="Q74" s="246">
        <f>SUM(Q43:Q73)</f>
        <v>68.66</v>
      </c>
      <c r="R74" s="306"/>
      <c r="S74" s="307">
        <f t="shared" ref="S74" si="97">SUM(S43:S73)</f>
        <v>1497.0760700000005</v>
      </c>
      <c r="T74" s="308">
        <f t="shared" ref="T74" si="98">SUM(T43:T73)</f>
        <v>116.11071999999997</v>
      </c>
      <c r="U74" s="308">
        <f t="shared" ref="U74" si="99">SUM(U43:U73)</f>
        <v>0</v>
      </c>
      <c r="V74" s="308">
        <f t="shared" ref="V74" si="100">SUM(V43:V73)</f>
        <v>1681.8467900000005</v>
      </c>
      <c r="Y74" s="246">
        <f t="shared" ref="Y74" si="101">SUM(Y43:Y73)</f>
        <v>156402.04</v>
      </c>
      <c r="Z74" s="246">
        <f>SUM(Z43:Z73)</f>
        <v>53826.370000000017</v>
      </c>
      <c r="AA74" s="246"/>
      <c r="AB74" s="246">
        <f>SUM(AB43:AB73)</f>
        <v>5486.34</v>
      </c>
      <c r="AC74" s="306"/>
      <c r="AD74" s="307">
        <f t="shared" ref="AD74" si="102">SUM(AD43:AD73)</f>
        <v>2247.6852339999991</v>
      </c>
      <c r="AE74" s="308">
        <f t="shared" ref="AE74" si="103">SUM(AE43:AE73)</f>
        <v>0</v>
      </c>
      <c r="AF74" s="308">
        <f t="shared" ref="AF74" si="104">SUM(AF43:AF73)</f>
        <v>0</v>
      </c>
      <c r="AG74" s="308">
        <f t="shared" ref="AG74" si="105">SUM(AG43:AG73)</f>
        <v>7734.0252340000006</v>
      </c>
      <c r="AJ74" s="246">
        <f t="shared" ref="AJ74" si="106">SUM(AJ43:AJ73)</f>
        <v>86665.62999999999</v>
      </c>
      <c r="AK74" s="246">
        <f>SUM(AK43:AK73)</f>
        <v>15971.05</v>
      </c>
      <c r="AL74" s="249">
        <f t="shared" ref="AL74" si="107">SUM(AL43:AL73)</f>
        <v>0</v>
      </c>
      <c r="AM74" s="246">
        <f>SUM(AM43:AM73)</f>
        <v>0</v>
      </c>
      <c r="AN74" s="306"/>
      <c r="AO74" s="307">
        <f t="shared" ref="AO74" si="108">SUM(AO43:AO73)</f>
        <v>0</v>
      </c>
      <c r="AP74" s="308">
        <f t="shared" ref="AP74" si="109">SUM(AP43:AP73)</f>
        <v>0</v>
      </c>
      <c r="AQ74" s="308">
        <f t="shared" ref="AQ74" si="110">SUM(AQ43:AQ73)</f>
        <v>0</v>
      </c>
      <c r="AR74" s="308">
        <f t="shared" ref="AR74" si="111">SUM(AR43:AR73)</f>
        <v>0</v>
      </c>
      <c r="AU74" s="246">
        <f t="shared" ref="AU74" si="112">SUM(AU43:AU73)</f>
        <v>17688.649999999998</v>
      </c>
      <c r="AV74" s="246">
        <f>SUM(AV43:AV73)</f>
        <v>1713.9699999999996</v>
      </c>
      <c r="AW74" s="249">
        <f>SUM(AW43:AW73)</f>
        <v>0</v>
      </c>
      <c r="AX74" s="246">
        <f>SUM(AX43:AX73)</f>
        <v>1264.9000000000001</v>
      </c>
      <c r="AY74" s="306"/>
      <c r="AZ74" s="307">
        <f t="shared" ref="AZ74" si="113">SUM(AZ43:AZ73)</f>
        <v>7403.2031410000045</v>
      </c>
      <c r="BA74" s="308">
        <f t="shared" ref="BA74" si="114">SUM(BA43:BA73)</f>
        <v>0</v>
      </c>
      <c r="BB74" s="308">
        <f t="shared" ref="BB74" si="115">SUM(BB43:BB73)</f>
        <v>0</v>
      </c>
      <c r="BC74" s="308">
        <f t="shared" ref="BC74" si="116">SUM(BC43:BC73)</f>
        <v>8668.1031410000032</v>
      </c>
      <c r="BF74" s="246">
        <f t="shared" ref="BF74:BI74" si="117">SUM(BF43:BF73)</f>
        <v>133187.50999999998</v>
      </c>
      <c r="BG74" s="246">
        <f t="shared" si="117"/>
        <v>26807.690000000002</v>
      </c>
      <c r="BH74" s="249">
        <f>SUM(BH43:BH73)</f>
        <v>0</v>
      </c>
      <c r="BI74" s="246">
        <f t="shared" si="117"/>
        <v>434.69000000000005</v>
      </c>
      <c r="BJ74" s="306"/>
      <c r="BK74" s="307">
        <f t="shared" ref="BK74" si="118">SUM(BK43:BK73)</f>
        <v>6506.4837099999968</v>
      </c>
      <c r="BL74" s="308">
        <f t="shared" ref="BL74" si="119">SUM(BL43:BL73)</f>
        <v>1164.6178599999996</v>
      </c>
      <c r="BM74" s="308">
        <f t="shared" ref="BM74" si="120">SUM(BM43:BM73)</f>
        <v>0</v>
      </c>
      <c r="BN74" s="308">
        <f t="shared" ref="BN74" si="121">SUM(BN43:BN73)</f>
        <v>8105.7915699999994</v>
      </c>
      <c r="BQ74" s="246">
        <f t="shared" ref="BQ74:BT74" si="122">SUM(BQ43:BQ73)</f>
        <v>22287.279999999999</v>
      </c>
      <c r="BR74" s="246">
        <f t="shared" si="122"/>
        <v>14375.740000000003</v>
      </c>
      <c r="BS74" s="249">
        <f>SUM(BS43:BS73)</f>
        <v>0</v>
      </c>
      <c r="BT74" s="246">
        <f t="shared" si="122"/>
        <v>275.14999999999998</v>
      </c>
      <c r="BU74" s="306"/>
      <c r="BV74" s="307">
        <f t="shared" ref="BV74" si="123">SUM(BV43:BV73)</f>
        <v>0</v>
      </c>
      <c r="BW74" s="308">
        <f t="shared" ref="BW74" si="124">SUM(BW43:BW73)</f>
        <v>0</v>
      </c>
      <c r="BX74" s="308">
        <f t="shared" ref="BX74" si="125">SUM(BX43:BX73)</f>
        <v>0</v>
      </c>
      <c r="BY74" s="308">
        <f t="shared" ref="BY74" si="126">SUM(BY43:BY73)</f>
        <v>275.14999999999998</v>
      </c>
      <c r="CB74" s="246">
        <f t="shared" ref="CB74:CE74" si="127">SUM(CB43:CB73)</f>
        <v>574246.89</v>
      </c>
      <c r="CC74" s="246">
        <f t="shared" si="127"/>
        <v>70393.63</v>
      </c>
      <c r="CD74" s="249">
        <f>SUM(CD43:CD73)</f>
        <v>0</v>
      </c>
      <c r="CE74" s="246">
        <f t="shared" si="127"/>
        <v>0</v>
      </c>
      <c r="CF74" s="306"/>
      <c r="CG74" s="307">
        <f t="shared" ref="CG74" si="128">SUM(CG43:CG73)</f>
        <v>0</v>
      </c>
      <c r="CH74" s="308">
        <f t="shared" ref="CH74" si="129">SUM(CH43:CH73)</f>
        <v>0</v>
      </c>
      <c r="CI74" s="308">
        <f t="shared" ref="CI74" si="130">SUM(CI43:CI73)</f>
        <v>0</v>
      </c>
      <c r="CJ74" s="308">
        <f t="shared" ref="CJ74" si="131">SUM(CJ43:CJ73)</f>
        <v>0</v>
      </c>
      <c r="CM74" s="246">
        <f t="shared" ref="CM74:CP74" si="132">SUM(CM43:CM73)</f>
        <v>279771.92</v>
      </c>
      <c r="CN74" s="246">
        <f t="shared" si="132"/>
        <v>62810.880000000005</v>
      </c>
      <c r="CO74" s="249">
        <f>SUM(CO43:CO73)</f>
        <v>0</v>
      </c>
      <c r="CP74" s="246">
        <f t="shared" si="132"/>
        <v>0</v>
      </c>
      <c r="CQ74" s="306"/>
      <c r="CR74" s="307">
        <f t="shared" ref="CR74" si="133">SUM(CR43:CR73)</f>
        <v>2008.7206499999998</v>
      </c>
      <c r="CS74" s="308">
        <f t="shared" ref="CS74" si="134">SUM(CS43:CS73)</f>
        <v>3023.7812499999991</v>
      </c>
      <c r="CT74" s="308">
        <f t="shared" ref="CT74:CU74" si="135">SUM(CT43:CT73)</f>
        <v>0</v>
      </c>
      <c r="CU74" s="308">
        <f t="shared" si="135"/>
        <v>5032.5019000000002</v>
      </c>
      <c r="CX74" s="246">
        <f t="shared" ref="CX74:DA74" si="136">SUM(CX43:CX73)</f>
        <v>168865.09000000003</v>
      </c>
      <c r="CY74" s="246">
        <f t="shared" si="136"/>
        <v>53436.210000000006</v>
      </c>
      <c r="CZ74" s="249">
        <f>SUM(CZ43:CZ73)</f>
        <v>0</v>
      </c>
      <c r="DA74" s="246">
        <f t="shared" si="136"/>
        <v>333.38000000000005</v>
      </c>
      <c r="DB74" s="306"/>
      <c r="DC74" s="307">
        <f t="shared" ref="DC74" si="137">SUM(DC43:DC73)</f>
        <v>2149.5889810000008</v>
      </c>
      <c r="DD74" s="308">
        <f t="shared" ref="DD74" si="138">SUM(DD43:DD73)</f>
        <v>698.7804680000005</v>
      </c>
      <c r="DE74" s="308">
        <f t="shared" ref="DE74" si="139">SUM(DE43:DE73)</f>
        <v>0</v>
      </c>
      <c r="DF74" s="308">
        <f t="shared" ref="DF74" si="140">SUM(DF43:DF73)</f>
        <v>3181.7494490000013</v>
      </c>
      <c r="DI74" s="246">
        <f t="shared" ref="DI74:DL74" si="141">SUM(DI43:DI73)</f>
        <v>47028.060000000005</v>
      </c>
      <c r="DJ74" s="246">
        <f t="shared" si="141"/>
        <v>0</v>
      </c>
      <c r="DK74" s="249">
        <f>SUM(DK43:DK73)</f>
        <v>0</v>
      </c>
      <c r="DL74" s="246">
        <f t="shared" si="141"/>
        <v>0</v>
      </c>
      <c r="DM74" s="306"/>
      <c r="DN74" s="307">
        <f t="shared" ref="DN74" si="142">SUM(DN43:DN73)</f>
        <v>0</v>
      </c>
      <c r="DO74" s="308">
        <f t="shared" ref="DO74" si="143">SUM(DO43:DO73)</f>
        <v>0</v>
      </c>
      <c r="DP74" s="308">
        <f t="shared" ref="DP74" si="144">SUM(DP43:DP73)</f>
        <v>0</v>
      </c>
      <c r="DQ74" s="308">
        <f t="shared" ref="DQ74" si="145">SUM(DQ43:DQ73)</f>
        <v>0</v>
      </c>
      <c r="DT74" s="246">
        <f t="shared" ref="DT74:DW74" si="146">SUM(DT43:DT73)</f>
        <v>56057.009999999995</v>
      </c>
      <c r="DU74" s="246">
        <f t="shared" si="146"/>
        <v>12292.069999999998</v>
      </c>
      <c r="DV74" s="249">
        <f>SUM(DV43:DV73)</f>
        <v>0</v>
      </c>
      <c r="DW74" s="246">
        <f t="shared" si="146"/>
        <v>0</v>
      </c>
      <c r="DX74" s="306"/>
      <c r="DY74" s="307">
        <f t="shared" ref="DY74" si="147">SUM(DY43:DY73)</f>
        <v>2222.730356</v>
      </c>
      <c r="DZ74" s="308">
        <f t="shared" ref="DZ74" si="148">SUM(DZ43:DZ73)</f>
        <v>3429.3159040000019</v>
      </c>
      <c r="EA74" s="308">
        <f t="shared" ref="EA74" si="149">SUM(EA43:EA73)</f>
        <v>71.976937120000031</v>
      </c>
      <c r="EB74" s="308">
        <f t="shared" ref="EB74" si="150">SUM(EB43:EB73)</f>
        <v>5724.0231971199992</v>
      </c>
      <c r="EE74" s="246">
        <f t="shared" ref="EE74:EF74" si="151">SUM(EE43:EE73)</f>
        <v>201621.89999999994</v>
      </c>
      <c r="EF74" s="246">
        <f t="shared" si="151"/>
        <v>56367.410000000011</v>
      </c>
      <c r="EG74" s="249">
        <f>SUM(EG43:EG73)</f>
        <v>0</v>
      </c>
      <c r="EH74" s="246">
        <f>SUM(EH43:EH73)</f>
        <v>2909.53</v>
      </c>
      <c r="EI74" s="306"/>
      <c r="EJ74" s="307">
        <f t="shared" ref="EJ74" si="152">SUM(EJ43:EJ73)</f>
        <v>88.072699999999969</v>
      </c>
      <c r="EK74" s="308">
        <f t="shared" ref="EK74" si="153">SUM(EK43:EK73)</f>
        <v>0</v>
      </c>
      <c r="EL74" s="308">
        <f t="shared" ref="EL74" si="154">SUM(EL43:EL73)</f>
        <v>0</v>
      </c>
      <c r="EM74" s="308">
        <f t="shared" ref="EM74" si="155">SUM(EM43:EM73)</f>
        <v>2997.6027000000004</v>
      </c>
      <c r="EP74" s="246">
        <f t="shared" ref="EP74:ES74" si="156">SUM(EP43:EP73)</f>
        <v>30578.600000000009</v>
      </c>
      <c r="EQ74" s="246">
        <f t="shared" si="156"/>
        <v>26920.959999999999</v>
      </c>
      <c r="ER74" s="249">
        <f>SUM(ER43:ER73)</f>
        <v>0</v>
      </c>
      <c r="ES74" s="246">
        <f t="shared" si="156"/>
        <v>0</v>
      </c>
      <c r="ET74" s="306"/>
      <c r="EU74" s="307">
        <f t="shared" ref="EU74" si="157">SUM(EU43:EU73)</f>
        <v>0</v>
      </c>
      <c r="EV74" s="308">
        <f t="shared" ref="EV74" si="158">SUM(EV43:EV73)</f>
        <v>0</v>
      </c>
      <c r="EW74" s="308">
        <f t="shared" ref="EW74" si="159">SUM(EW43:EW73)</f>
        <v>0</v>
      </c>
      <c r="EX74" s="308">
        <f t="shared" ref="EX74" si="160">SUM(EX43:EX73)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74"/>
  <sheetViews>
    <sheetView workbookViewId="0">
      <pane xSplit="1" ySplit="4" topLeftCell="B20" activePane="bottomRight" state="frozen"/>
      <selection pane="topRight" activeCell="B1" sqref="B1"/>
      <selection pane="bottomLeft" activeCell="A5" sqref="A5"/>
      <selection pane="bottomRight" activeCell="CQ78" sqref="CQ78"/>
    </sheetView>
  </sheetViews>
  <sheetFormatPr baseColWidth="10" defaultRowHeight="15" x14ac:dyDescent="0.25"/>
  <cols>
    <col min="2" max="2" width="15.28515625" bestFit="1" customWidth="1"/>
    <col min="3" max="3" width="13.85546875" bestFit="1" customWidth="1"/>
    <col min="4" max="5" width="15.140625" bestFit="1" customWidth="1"/>
    <col min="6" max="6" width="2.28515625" customWidth="1"/>
    <col min="7" max="7" width="11.5703125" hidden="1" customWidth="1"/>
    <col min="8" max="8" width="11.140625" hidden="1" customWidth="1"/>
    <col min="9" max="9" width="12.28515625" hidden="1" customWidth="1"/>
    <col min="10" max="10" width="15.140625" hidden="1" customWidth="1"/>
    <col min="12" max="12" width="15.28515625" bestFit="1" customWidth="1"/>
    <col min="13" max="13" width="13.85546875" bestFit="1" customWidth="1"/>
    <col min="14" max="14" width="12.5703125" customWidth="1"/>
    <col min="15" max="15" width="14.28515625" customWidth="1"/>
    <col min="16" max="16" width="2.28515625" customWidth="1"/>
    <col min="17" max="17" width="11.5703125" hidden="1" customWidth="1"/>
    <col min="18" max="18" width="11.140625" hidden="1" customWidth="1"/>
    <col min="19" max="19" width="12.28515625" hidden="1" customWidth="1"/>
    <col min="20" max="20" width="15.140625" hidden="1" customWidth="1"/>
    <col min="22" max="22" width="15.28515625" bestFit="1" customWidth="1"/>
    <col min="23" max="23" width="13.85546875" bestFit="1" customWidth="1"/>
    <col min="24" max="24" width="12.42578125" customWidth="1"/>
    <col min="25" max="25" width="15.140625" bestFit="1" customWidth="1"/>
    <col min="26" max="26" width="2.28515625" customWidth="1"/>
    <col min="27" max="27" width="11.5703125" hidden="1" customWidth="1"/>
    <col min="28" max="28" width="11.140625" hidden="1" customWidth="1"/>
    <col min="29" max="29" width="12.28515625" hidden="1" customWidth="1"/>
    <col min="30" max="30" width="15.140625" hidden="1" customWidth="1"/>
    <col min="32" max="32" width="15.28515625" bestFit="1" customWidth="1"/>
    <col min="33" max="33" width="13.85546875" customWidth="1"/>
    <col min="34" max="34" width="11.85546875" customWidth="1"/>
    <col min="35" max="35" width="13.85546875" customWidth="1"/>
    <col min="36" max="36" width="2.28515625" customWidth="1"/>
    <col min="37" max="37" width="11.5703125" hidden="1" customWidth="1"/>
    <col min="38" max="38" width="11.140625" hidden="1" customWidth="1"/>
    <col min="39" max="39" width="12.28515625" hidden="1" customWidth="1"/>
    <col min="40" max="40" width="15.140625" hidden="1" customWidth="1"/>
    <col min="42" max="42" width="15.28515625" bestFit="1" customWidth="1"/>
    <col min="43" max="43" width="13.85546875" bestFit="1" customWidth="1"/>
    <col min="44" max="45" width="15.140625" bestFit="1" customWidth="1"/>
    <col min="46" max="46" width="2.28515625" customWidth="1"/>
    <col min="47" max="47" width="11.5703125" hidden="1" customWidth="1"/>
    <col min="48" max="48" width="11.140625" hidden="1" customWidth="1"/>
    <col min="49" max="49" width="12.28515625" hidden="1" customWidth="1"/>
    <col min="50" max="50" width="15.140625" hidden="1" customWidth="1"/>
    <col min="52" max="52" width="15.28515625" bestFit="1" customWidth="1"/>
    <col min="53" max="53" width="13.85546875" bestFit="1" customWidth="1"/>
    <col min="54" max="54" width="12.28515625" customWidth="1"/>
    <col min="55" max="55" width="13.140625" customWidth="1"/>
    <col min="56" max="56" width="2.28515625" customWidth="1"/>
    <col min="57" max="57" width="11.5703125" hidden="1" customWidth="1"/>
    <col min="58" max="58" width="11.140625" hidden="1" customWidth="1"/>
    <col min="59" max="59" width="12.28515625" hidden="1" customWidth="1"/>
    <col min="60" max="60" width="15.140625" hidden="1" customWidth="1"/>
    <col min="62" max="62" width="15.28515625" bestFit="1" customWidth="1"/>
    <col min="63" max="63" width="13.85546875" customWidth="1"/>
    <col min="64" max="64" width="10.7109375" customWidth="1"/>
    <col min="65" max="65" width="15.140625" bestFit="1" customWidth="1"/>
    <col min="66" max="66" width="2.28515625" customWidth="1"/>
    <col min="67" max="67" width="11.5703125" hidden="1" customWidth="1"/>
    <col min="68" max="68" width="11.140625" hidden="1" customWidth="1"/>
    <col min="69" max="69" width="12.28515625" hidden="1" customWidth="1"/>
    <col min="70" max="70" width="15.140625" hidden="1" customWidth="1"/>
    <col min="72" max="72" width="15.28515625" bestFit="1" customWidth="1"/>
    <col min="73" max="73" width="13.85546875" bestFit="1" customWidth="1"/>
    <col min="74" max="74" width="11.7109375" customWidth="1"/>
    <col min="75" max="75" width="13.85546875" customWidth="1"/>
    <col min="76" max="76" width="2.28515625" customWidth="1"/>
    <col min="77" max="77" width="11.5703125" hidden="1" customWidth="1"/>
    <col min="78" max="78" width="11.140625" hidden="1" customWidth="1"/>
    <col min="79" max="79" width="12.28515625" hidden="1" customWidth="1"/>
    <col min="80" max="80" width="15.140625" hidden="1" customWidth="1"/>
    <col min="82" max="82" width="15.28515625" bestFit="1" customWidth="1"/>
    <col min="83" max="83" width="12.5703125" customWidth="1"/>
    <col min="84" max="84" width="11.85546875" customWidth="1"/>
    <col min="85" max="85" width="13.28515625" customWidth="1"/>
    <col min="86" max="86" width="2.28515625" customWidth="1"/>
    <col min="87" max="87" width="11.5703125" hidden="1" customWidth="1"/>
    <col min="88" max="88" width="11.140625" hidden="1" customWidth="1"/>
    <col min="89" max="89" width="12.28515625" hidden="1" customWidth="1"/>
    <col min="90" max="90" width="15.140625" hidden="1" customWidth="1"/>
    <col min="92" max="92" width="15.28515625" bestFit="1" customWidth="1"/>
    <col min="93" max="93" width="13.85546875" bestFit="1" customWidth="1"/>
    <col min="94" max="94" width="13.85546875" customWidth="1"/>
    <col min="95" max="95" width="14" customWidth="1"/>
    <col min="96" max="96" width="15.140625" bestFit="1" customWidth="1"/>
    <col min="97" max="97" width="2.28515625" customWidth="1"/>
    <col min="98" max="98" width="11.5703125" hidden="1" customWidth="1"/>
    <col min="99" max="99" width="11.140625" hidden="1" customWidth="1"/>
    <col min="100" max="100" width="12.28515625" hidden="1" customWidth="1"/>
    <col min="101" max="101" width="15.140625" style="88" hidden="1" customWidth="1"/>
  </cols>
  <sheetData>
    <row r="1" spans="1:101" ht="21" x14ac:dyDescent="0.35">
      <c r="B1" s="91" t="s">
        <v>53</v>
      </c>
      <c r="L1" s="91" t="s">
        <v>54</v>
      </c>
      <c r="V1" s="91" t="s">
        <v>55</v>
      </c>
      <c r="AF1" s="91" t="s">
        <v>56</v>
      </c>
      <c r="AP1" s="91" t="s">
        <v>57</v>
      </c>
      <c r="AZ1" s="91" t="s">
        <v>58</v>
      </c>
      <c r="BJ1" s="91" t="s">
        <v>59</v>
      </c>
      <c r="BT1" s="91" t="s">
        <v>60</v>
      </c>
      <c r="CD1" s="91" t="s">
        <v>61</v>
      </c>
      <c r="CN1" s="91" t="s">
        <v>62</v>
      </c>
    </row>
    <row r="2" spans="1:101" ht="15.75" thickBot="1" x14ac:dyDescent="0.3"/>
    <row r="3" spans="1:101" s="129" customFormat="1" ht="12.75" x14ac:dyDescent="0.2">
      <c r="A3" s="125" t="s">
        <v>15</v>
      </c>
      <c r="B3" s="4" t="s">
        <v>16</v>
      </c>
      <c r="C3" s="126" t="s">
        <v>16</v>
      </c>
      <c r="D3" s="128" t="s">
        <v>17</v>
      </c>
      <c r="E3" s="127" t="s">
        <v>17</v>
      </c>
      <c r="F3" s="212"/>
      <c r="G3" s="232" t="s">
        <v>17</v>
      </c>
      <c r="H3" s="233" t="s">
        <v>17</v>
      </c>
      <c r="I3" s="234" t="s">
        <v>17</v>
      </c>
      <c r="J3" s="254" t="s">
        <v>68</v>
      </c>
      <c r="L3" s="4" t="s">
        <v>16</v>
      </c>
      <c r="M3" s="126" t="s">
        <v>16</v>
      </c>
      <c r="N3" s="128" t="s">
        <v>17</v>
      </c>
      <c r="O3" s="127" t="s">
        <v>17</v>
      </c>
      <c r="P3" s="212"/>
      <c r="Q3" s="232" t="s">
        <v>17</v>
      </c>
      <c r="R3" s="233" t="s">
        <v>17</v>
      </c>
      <c r="S3" s="234" t="s">
        <v>17</v>
      </c>
      <c r="T3" s="254" t="s">
        <v>68</v>
      </c>
      <c r="V3" s="4" t="s">
        <v>16</v>
      </c>
      <c r="W3" s="126" t="s">
        <v>16</v>
      </c>
      <c r="X3" s="128" t="s">
        <v>17</v>
      </c>
      <c r="Y3" s="127" t="s">
        <v>17</v>
      </c>
      <c r="Z3" s="212"/>
      <c r="AA3" s="232" t="s">
        <v>17</v>
      </c>
      <c r="AB3" s="233" t="s">
        <v>17</v>
      </c>
      <c r="AC3" s="234" t="s">
        <v>17</v>
      </c>
      <c r="AD3" s="254" t="s">
        <v>68</v>
      </c>
      <c r="AF3" s="4" t="s">
        <v>16</v>
      </c>
      <c r="AG3" s="126" t="s">
        <v>16</v>
      </c>
      <c r="AH3" s="128" t="s">
        <v>17</v>
      </c>
      <c r="AI3" s="127" t="s">
        <v>17</v>
      </c>
      <c r="AJ3" s="212"/>
      <c r="AK3" s="232" t="s">
        <v>17</v>
      </c>
      <c r="AL3" s="233" t="s">
        <v>17</v>
      </c>
      <c r="AM3" s="234" t="s">
        <v>17</v>
      </c>
      <c r="AN3" s="254" t="s">
        <v>68</v>
      </c>
      <c r="AP3" s="4" t="s">
        <v>16</v>
      </c>
      <c r="AQ3" s="126" t="s">
        <v>16</v>
      </c>
      <c r="AR3" s="128" t="s">
        <v>17</v>
      </c>
      <c r="AS3" s="127" t="s">
        <v>17</v>
      </c>
      <c r="AT3" s="212"/>
      <c r="AU3" s="232" t="s">
        <v>17</v>
      </c>
      <c r="AV3" s="233" t="s">
        <v>17</v>
      </c>
      <c r="AW3" s="234" t="s">
        <v>17</v>
      </c>
      <c r="AX3" s="254" t="s">
        <v>68</v>
      </c>
      <c r="AZ3" s="4" t="s">
        <v>16</v>
      </c>
      <c r="BA3" s="126" t="s">
        <v>16</v>
      </c>
      <c r="BB3" s="128" t="s">
        <v>17</v>
      </c>
      <c r="BC3" s="127" t="s">
        <v>17</v>
      </c>
      <c r="BD3" s="212"/>
      <c r="BE3" s="232" t="s">
        <v>17</v>
      </c>
      <c r="BF3" s="233" t="s">
        <v>17</v>
      </c>
      <c r="BG3" s="234" t="s">
        <v>17</v>
      </c>
      <c r="BH3" s="254" t="s">
        <v>68</v>
      </c>
      <c r="BJ3" s="4" t="s">
        <v>16</v>
      </c>
      <c r="BK3" s="126" t="s">
        <v>16</v>
      </c>
      <c r="BL3" s="95" t="s">
        <v>17</v>
      </c>
      <c r="BM3" s="127" t="s">
        <v>17</v>
      </c>
      <c r="BN3" s="212"/>
      <c r="BO3" s="232" t="s">
        <v>17</v>
      </c>
      <c r="BP3" s="233" t="s">
        <v>17</v>
      </c>
      <c r="BQ3" s="234" t="s">
        <v>17</v>
      </c>
      <c r="BR3" s="254" t="s">
        <v>68</v>
      </c>
      <c r="BT3" s="4" t="s">
        <v>16</v>
      </c>
      <c r="BU3" s="126" t="s">
        <v>16</v>
      </c>
      <c r="BV3" s="128" t="s">
        <v>17</v>
      </c>
      <c r="BW3" s="127" t="s">
        <v>17</v>
      </c>
      <c r="BX3" s="212"/>
      <c r="BY3" s="232" t="s">
        <v>17</v>
      </c>
      <c r="BZ3" s="233" t="s">
        <v>17</v>
      </c>
      <c r="CA3" s="234" t="s">
        <v>17</v>
      </c>
      <c r="CB3" s="254" t="s">
        <v>68</v>
      </c>
      <c r="CD3" s="4" t="s">
        <v>16</v>
      </c>
      <c r="CE3" s="126" t="s">
        <v>16</v>
      </c>
      <c r="CF3" s="128" t="s">
        <v>17</v>
      </c>
      <c r="CG3" s="127" t="s">
        <v>17</v>
      </c>
      <c r="CH3" s="212"/>
      <c r="CI3" s="232" t="s">
        <v>17</v>
      </c>
      <c r="CJ3" s="233" t="s">
        <v>17</v>
      </c>
      <c r="CK3" s="234" t="s">
        <v>17</v>
      </c>
      <c r="CL3" s="254" t="s">
        <v>68</v>
      </c>
      <c r="CN3" s="4" t="s">
        <v>16</v>
      </c>
      <c r="CO3" s="126" t="s">
        <v>16</v>
      </c>
      <c r="CP3" s="126" t="s">
        <v>16</v>
      </c>
      <c r="CQ3" s="128" t="s">
        <v>17</v>
      </c>
      <c r="CR3" s="127" t="s">
        <v>17</v>
      </c>
      <c r="CS3" s="212"/>
      <c r="CT3" s="232" t="s">
        <v>17</v>
      </c>
      <c r="CU3" s="233" t="s">
        <v>17</v>
      </c>
      <c r="CV3" s="234" t="s">
        <v>17</v>
      </c>
      <c r="CW3" s="255" t="s">
        <v>68</v>
      </c>
    </row>
    <row r="4" spans="1:101" s="129" customFormat="1" ht="13.5" thickBot="1" x14ac:dyDescent="0.25">
      <c r="A4" s="130"/>
      <c r="B4" s="131" t="s">
        <v>19</v>
      </c>
      <c r="C4" s="132" t="s">
        <v>20</v>
      </c>
      <c r="D4" s="134" t="s">
        <v>20</v>
      </c>
      <c r="E4" s="133" t="s">
        <v>21</v>
      </c>
      <c r="F4" s="212"/>
      <c r="G4" s="235" t="s">
        <v>64</v>
      </c>
      <c r="H4" s="236" t="s">
        <v>65</v>
      </c>
      <c r="I4" s="237" t="s">
        <v>66</v>
      </c>
      <c r="J4" s="238" t="s">
        <v>69</v>
      </c>
      <c r="L4" s="131" t="s">
        <v>19</v>
      </c>
      <c r="M4" s="132" t="s">
        <v>20</v>
      </c>
      <c r="N4" s="134" t="s">
        <v>20</v>
      </c>
      <c r="O4" s="133" t="s">
        <v>21</v>
      </c>
      <c r="P4" s="212"/>
      <c r="Q4" s="235" t="s">
        <v>64</v>
      </c>
      <c r="R4" s="236" t="s">
        <v>65</v>
      </c>
      <c r="S4" s="237" t="s">
        <v>66</v>
      </c>
      <c r="T4" s="238" t="s">
        <v>69</v>
      </c>
      <c r="V4" s="131" t="s">
        <v>19</v>
      </c>
      <c r="W4" s="132" t="s">
        <v>20</v>
      </c>
      <c r="X4" s="134" t="s">
        <v>20</v>
      </c>
      <c r="Y4" s="133" t="s">
        <v>21</v>
      </c>
      <c r="Z4" s="212"/>
      <c r="AA4" s="235" t="s">
        <v>64</v>
      </c>
      <c r="AB4" s="236" t="s">
        <v>65</v>
      </c>
      <c r="AC4" s="237" t="s">
        <v>66</v>
      </c>
      <c r="AD4" s="238" t="s">
        <v>69</v>
      </c>
      <c r="AF4" s="131" t="s">
        <v>19</v>
      </c>
      <c r="AG4" s="132" t="s">
        <v>20</v>
      </c>
      <c r="AH4" s="134" t="s">
        <v>20</v>
      </c>
      <c r="AI4" s="133" t="s">
        <v>21</v>
      </c>
      <c r="AJ4" s="212"/>
      <c r="AK4" s="235" t="s">
        <v>64</v>
      </c>
      <c r="AL4" s="236" t="s">
        <v>65</v>
      </c>
      <c r="AM4" s="237" t="s">
        <v>66</v>
      </c>
      <c r="AN4" s="238" t="s">
        <v>69</v>
      </c>
      <c r="AP4" s="131" t="s">
        <v>19</v>
      </c>
      <c r="AQ4" s="132" t="s">
        <v>20</v>
      </c>
      <c r="AR4" s="134" t="s">
        <v>20</v>
      </c>
      <c r="AS4" s="133" t="s">
        <v>21</v>
      </c>
      <c r="AT4" s="212"/>
      <c r="AU4" s="235" t="s">
        <v>64</v>
      </c>
      <c r="AV4" s="236" t="s">
        <v>65</v>
      </c>
      <c r="AW4" s="237" t="s">
        <v>66</v>
      </c>
      <c r="AX4" s="238" t="s">
        <v>69</v>
      </c>
      <c r="AZ4" s="131" t="s">
        <v>19</v>
      </c>
      <c r="BA4" s="132" t="s">
        <v>20</v>
      </c>
      <c r="BB4" s="134" t="s">
        <v>20</v>
      </c>
      <c r="BC4" s="133" t="s">
        <v>21</v>
      </c>
      <c r="BD4" s="212"/>
      <c r="BE4" s="235" t="s">
        <v>64</v>
      </c>
      <c r="BF4" s="236" t="s">
        <v>65</v>
      </c>
      <c r="BG4" s="237" t="s">
        <v>66</v>
      </c>
      <c r="BH4" s="238" t="s">
        <v>69</v>
      </c>
      <c r="BJ4" s="131" t="s">
        <v>19</v>
      </c>
      <c r="BK4" s="132" t="s">
        <v>20</v>
      </c>
      <c r="BL4" s="134" t="s">
        <v>20</v>
      </c>
      <c r="BM4" s="133" t="s">
        <v>21</v>
      </c>
      <c r="BN4" s="212"/>
      <c r="BO4" s="235" t="s">
        <v>64</v>
      </c>
      <c r="BP4" s="236" t="s">
        <v>65</v>
      </c>
      <c r="BQ4" s="237" t="s">
        <v>66</v>
      </c>
      <c r="BR4" s="238" t="s">
        <v>69</v>
      </c>
      <c r="BT4" s="131" t="s">
        <v>19</v>
      </c>
      <c r="BU4" s="132" t="s">
        <v>20</v>
      </c>
      <c r="BV4" s="134" t="s">
        <v>20</v>
      </c>
      <c r="BW4" s="133" t="s">
        <v>21</v>
      </c>
      <c r="BX4" s="212"/>
      <c r="BY4" s="235" t="s">
        <v>64</v>
      </c>
      <c r="BZ4" s="236" t="s">
        <v>65</v>
      </c>
      <c r="CA4" s="237" t="s">
        <v>66</v>
      </c>
      <c r="CB4" s="238" t="s">
        <v>69</v>
      </c>
      <c r="CD4" s="131" t="s">
        <v>19</v>
      </c>
      <c r="CE4" s="132" t="s">
        <v>20</v>
      </c>
      <c r="CF4" s="134" t="s">
        <v>20</v>
      </c>
      <c r="CG4" s="133" t="s">
        <v>21</v>
      </c>
      <c r="CH4" s="212"/>
      <c r="CI4" s="235" t="s">
        <v>64</v>
      </c>
      <c r="CJ4" s="236" t="s">
        <v>65</v>
      </c>
      <c r="CK4" s="237" t="s">
        <v>66</v>
      </c>
      <c r="CL4" s="238" t="s">
        <v>69</v>
      </c>
      <c r="CN4" s="131" t="s">
        <v>19</v>
      </c>
      <c r="CO4" s="132" t="s">
        <v>20</v>
      </c>
      <c r="CP4" s="132" t="s">
        <v>22</v>
      </c>
      <c r="CQ4" s="134" t="s">
        <v>20</v>
      </c>
      <c r="CR4" s="133" t="s">
        <v>21</v>
      </c>
      <c r="CS4" s="212"/>
      <c r="CT4" s="235" t="s">
        <v>64</v>
      </c>
      <c r="CU4" s="236" t="s">
        <v>65</v>
      </c>
      <c r="CV4" s="237" t="s">
        <v>66</v>
      </c>
      <c r="CW4" s="256" t="s">
        <v>69</v>
      </c>
    </row>
    <row r="5" spans="1:101" s="129" customFormat="1" x14ac:dyDescent="0.25">
      <c r="A5" s="102">
        <v>45839</v>
      </c>
      <c r="B5" s="135">
        <v>5488.88</v>
      </c>
      <c r="C5" s="136">
        <v>2070.1999999999998</v>
      </c>
      <c r="D5" s="135">
        <v>0.6</v>
      </c>
      <c r="E5" s="137">
        <v>143.47</v>
      </c>
      <c r="F5" s="204"/>
      <c r="G5" s="88">
        <v>23.684719999999992</v>
      </c>
      <c r="H5" s="15"/>
      <c r="I5" s="335"/>
      <c r="J5" s="225">
        <f>SUM(E5:I5)</f>
        <v>167.15472</v>
      </c>
      <c r="L5" s="103">
        <v>2019.94</v>
      </c>
      <c r="M5" s="106">
        <v>1439.71</v>
      </c>
      <c r="N5" s="103"/>
      <c r="O5" s="104">
        <v>15.27</v>
      </c>
      <c r="P5" s="204"/>
      <c r="Q5" s="88"/>
      <c r="R5" s="328"/>
      <c r="S5" s="335">
        <v>61.993600000000015</v>
      </c>
      <c r="T5" s="225">
        <f>SUM(O5:S5)</f>
        <v>77.263600000000011</v>
      </c>
      <c r="U5" s="138"/>
      <c r="V5" s="103">
        <v>1018.17</v>
      </c>
      <c r="W5" s="106"/>
      <c r="X5" s="103"/>
      <c r="Y5" s="104"/>
      <c r="Z5" s="204"/>
      <c r="AA5" s="88"/>
      <c r="AB5" s="15"/>
      <c r="AC5" s="15"/>
      <c r="AD5" s="225">
        <f>SUM(Y5:AC5)</f>
        <v>0</v>
      </c>
      <c r="AF5" s="103">
        <v>4800.5600000000004</v>
      </c>
      <c r="AG5" s="106">
        <v>231.36</v>
      </c>
      <c r="AH5" s="103"/>
      <c r="AI5" s="104"/>
      <c r="AJ5" s="204"/>
      <c r="AK5" s="214"/>
      <c r="AL5" s="15"/>
      <c r="AM5" s="15"/>
      <c r="AN5" s="225">
        <f>SUM(AI5:AM5)</f>
        <v>0</v>
      </c>
      <c r="AP5" s="103">
        <v>3250.05</v>
      </c>
      <c r="AQ5" s="103">
        <v>1048.3</v>
      </c>
      <c r="AR5" s="103"/>
      <c r="AS5" s="108">
        <v>30.35</v>
      </c>
      <c r="AT5" s="204"/>
      <c r="AU5" s="88">
        <v>96.246489999999966</v>
      </c>
      <c r="AV5" s="328"/>
      <c r="AW5" s="335">
        <v>4.421088000000001</v>
      </c>
      <c r="AX5" s="225">
        <f>SUM(AS5:AW5)</f>
        <v>131.01757799999996</v>
      </c>
      <c r="AZ5" s="103">
        <v>7215.87</v>
      </c>
      <c r="BA5" s="106"/>
      <c r="BB5" s="103"/>
      <c r="BC5" s="104"/>
      <c r="BD5" s="204"/>
      <c r="BE5" s="88">
        <v>4.5269499999999994</v>
      </c>
      <c r="BF5" s="15"/>
      <c r="BG5" s="15"/>
      <c r="BH5" s="225">
        <f>SUM(BC5:BG5)</f>
        <v>4.5269499999999994</v>
      </c>
      <c r="BJ5" s="103">
        <v>15308.72</v>
      </c>
      <c r="BK5" s="106">
        <v>880.81</v>
      </c>
      <c r="BL5" s="103"/>
      <c r="BM5" s="104">
        <v>288.10000000000002</v>
      </c>
      <c r="BN5" s="204"/>
      <c r="BO5" s="88">
        <v>71.871799999999993</v>
      </c>
      <c r="BP5" s="328"/>
      <c r="BQ5" s="15"/>
      <c r="BR5" s="225">
        <f>SUM(BM5:BQ5)</f>
        <v>359.97180000000003</v>
      </c>
      <c r="BT5" s="103">
        <v>3891.22</v>
      </c>
      <c r="BU5" s="106">
        <v>2197.77</v>
      </c>
      <c r="BV5" s="103"/>
      <c r="BW5" s="104">
        <v>3.56</v>
      </c>
      <c r="BX5" s="204"/>
      <c r="BY5" s="214"/>
      <c r="BZ5" s="15"/>
      <c r="CA5" s="15"/>
      <c r="CB5" s="225">
        <f>SUM(BW5:CA5)</f>
        <v>3.56</v>
      </c>
      <c r="CD5" s="103">
        <v>2061.71</v>
      </c>
      <c r="CE5" s="106"/>
      <c r="CF5" s="103"/>
      <c r="CG5" s="104">
        <v>543.65</v>
      </c>
      <c r="CH5" s="204"/>
      <c r="CI5" s="88">
        <v>56.45098999999999</v>
      </c>
      <c r="CJ5" s="328"/>
      <c r="CK5" s="15"/>
      <c r="CL5" s="225">
        <f>SUM(CG5:CK5)</f>
        <v>600.10098999999991</v>
      </c>
      <c r="CN5" s="103">
        <v>909.3</v>
      </c>
      <c r="CO5" s="103">
        <v>424.32</v>
      </c>
      <c r="CP5" s="106">
        <v>1166.74</v>
      </c>
      <c r="CQ5" s="103"/>
      <c r="CR5" s="104">
        <v>629.88</v>
      </c>
      <c r="CS5" s="204"/>
      <c r="CT5" s="214"/>
      <c r="CU5" s="328"/>
      <c r="CV5" s="15"/>
      <c r="CW5" s="225">
        <f>SUM(CR5:CV5)</f>
        <v>629.88</v>
      </c>
    </row>
    <row r="6" spans="1:101" s="129" customFormat="1" x14ac:dyDescent="0.25">
      <c r="A6" s="109">
        <v>45840</v>
      </c>
      <c r="B6" s="139">
        <v>1589.13</v>
      </c>
      <c r="C6" s="140">
        <v>3401.18</v>
      </c>
      <c r="D6" s="139">
        <v>3.05</v>
      </c>
      <c r="E6" s="141">
        <v>77.52</v>
      </c>
      <c r="F6" s="204"/>
      <c r="G6" s="88"/>
      <c r="H6" s="28"/>
      <c r="I6" s="335"/>
      <c r="J6" s="226">
        <f t="shared" ref="J6:J35" si="0">SUM(E6:I6)</f>
        <v>77.52</v>
      </c>
      <c r="L6" s="110">
        <v>2310.9899999999998</v>
      </c>
      <c r="M6" s="113">
        <v>1219.51</v>
      </c>
      <c r="N6" s="110"/>
      <c r="O6" s="111">
        <v>11.78</v>
      </c>
      <c r="P6" s="204"/>
      <c r="Q6" s="88">
        <v>65.030279999999976</v>
      </c>
      <c r="R6" s="328"/>
      <c r="S6" s="335">
        <v>232.22320000000013</v>
      </c>
      <c r="T6" s="226">
        <f t="shared" ref="T6:T35" si="1">SUM(O6:S6)</f>
        <v>309.03348000000011</v>
      </c>
      <c r="U6" s="138"/>
      <c r="V6" s="110">
        <v>1898.12</v>
      </c>
      <c r="W6" s="113"/>
      <c r="X6" s="110"/>
      <c r="Y6" s="111"/>
      <c r="Z6" s="204"/>
      <c r="AA6" s="88">
        <v>17.712539999999962</v>
      </c>
      <c r="AB6" s="28"/>
      <c r="AC6" s="28"/>
      <c r="AD6" s="226">
        <f t="shared" ref="AD6:AD35" si="2">SUM(Y6:AC6)</f>
        <v>17.712539999999962</v>
      </c>
      <c r="AF6" s="110">
        <v>5008.57</v>
      </c>
      <c r="AG6" s="113">
        <v>410.52</v>
      </c>
      <c r="AH6" s="110"/>
      <c r="AI6" s="111"/>
      <c r="AJ6" s="204"/>
      <c r="AK6" s="215"/>
      <c r="AL6" s="28"/>
      <c r="AM6" s="28"/>
      <c r="AN6" s="226">
        <f t="shared" ref="AN6:AN35" si="3">SUM(AI6:AM6)</f>
        <v>0</v>
      </c>
      <c r="AP6" s="110">
        <v>3543.79</v>
      </c>
      <c r="AQ6" s="110">
        <v>872.97</v>
      </c>
      <c r="AR6" s="110"/>
      <c r="AS6" s="115">
        <v>329.87</v>
      </c>
      <c r="AT6" s="204"/>
      <c r="AU6" s="88">
        <v>62.076959999999971</v>
      </c>
      <c r="AV6" s="328"/>
      <c r="AW6" s="335"/>
      <c r="AX6" s="226">
        <f t="shared" ref="AX6:AX35" si="4">SUM(AS6:AW6)</f>
        <v>391.94695999999999</v>
      </c>
      <c r="AZ6" s="110">
        <v>7154.2</v>
      </c>
      <c r="BA6" s="113"/>
      <c r="BB6" s="110"/>
      <c r="BC6" s="111"/>
      <c r="BD6" s="204"/>
      <c r="BE6" s="88">
        <v>48.453720000000004</v>
      </c>
      <c r="BF6" s="28"/>
      <c r="BG6" s="28"/>
      <c r="BH6" s="226">
        <f t="shared" ref="BH6:BH35" si="5">SUM(BC6:BG6)</f>
        <v>48.453720000000004</v>
      </c>
      <c r="BJ6" s="110">
        <v>18248.28</v>
      </c>
      <c r="BK6" s="113">
        <v>478.77</v>
      </c>
      <c r="BL6" s="110"/>
      <c r="BM6" s="111">
        <v>163.65</v>
      </c>
      <c r="BN6" s="204"/>
      <c r="BO6" s="88">
        <v>99.719600000000142</v>
      </c>
      <c r="BP6" s="328">
        <v>31.058580000000006</v>
      </c>
      <c r="BQ6" s="28"/>
      <c r="BR6" s="226">
        <f t="shared" ref="BR6:BR35" si="6">SUM(BM6:BQ6)</f>
        <v>294.42818000000017</v>
      </c>
      <c r="BT6" s="110">
        <v>4839.5200000000004</v>
      </c>
      <c r="BU6" s="113">
        <v>1757.25</v>
      </c>
      <c r="BV6" s="110"/>
      <c r="BW6" s="111">
        <v>7.71</v>
      </c>
      <c r="BX6" s="204"/>
      <c r="BY6" s="215"/>
      <c r="BZ6" s="28"/>
      <c r="CA6" s="28"/>
      <c r="CB6" s="226">
        <f t="shared" ref="CB6:CB35" si="7">SUM(BW6:CA6)</f>
        <v>7.71</v>
      </c>
      <c r="CD6" s="110">
        <v>2489.21</v>
      </c>
      <c r="CE6" s="113"/>
      <c r="CF6" s="110"/>
      <c r="CG6" s="111">
        <v>49.24</v>
      </c>
      <c r="CH6" s="204"/>
      <c r="CI6" s="88">
        <v>46.699289999999962</v>
      </c>
      <c r="CJ6" s="328"/>
      <c r="CK6" s="28"/>
      <c r="CL6" s="226">
        <f t="shared" ref="CL6:CL35" si="8">SUM(CG6:CK6)</f>
        <v>95.939289999999971</v>
      </c>
      <c r="CN6" s="110">
        <v>840.37</v>
      </c>
      <c r="CO6" s="110">
        <v>685.4</v>
      </c>
      <c r="CP6" s="113">
        <v>1122.17</v>
      </c>
      <c r="CQ6" s="110"/>
      <c r="CR6" s="111">
        <v>547.11</v>
      </c>
      <c r="CS6" s="204"/>
      <c r="CT6" s="215"/>
      <c r="CU6" s="328">
        <v>31.439999999999998</v>
      </c>
      <c r="CV6" s="28"/>
      <c r="CW6" s="226">
        <f t="shared" ref="CW6:CW35" si="9">SUM(CR6:CV6)</f>
        <v>578.54999999999995</v>
      </c>
    </row>
    <row r="7" spans="1:101" s="129" customFormat="1" x14ac:dyDescent="0.25">
      <c r="A7" s="109">
        <v>45841</v>
      </c>
      <c r="B7" s="139">
        <v>4867.9799999999996</v>
      </c>
      <c r="C7" s="140">
        <v>3550.13</v>
      </c>
      <c r="D7" s="139">
        <v>5.45</v>
      </c>
      <c r="E7" s="141">
        <v>261.35000000000002</v>
      </c>
      <c r="F7" s="204"/>
      <c r="G7" s="88">
        <v>14.044380000000004</v>
      </c>
      <c r="H7" s="28"/>
      <c r="I7" s="335">
        <v>32.322171000000026</v>
      </c>
      <c r="J7" s="226">
        <f t="shared" si="0"/>
        <v>307.71655100000004</v>
      </c>
      <c r="L7" s="110">
        <v>2688</v>
      </c>
      <c r="M7" s="113">
        <v>1473.52</v>
      </c>
      <c r="N7" s="110"/>
      <c r="O7" s="111">
        <v>18.23</v>
      </c>
      <c r="P7" s="204"/>
      <c r="Q7" s="88">
        <v>541.22817000000032</v>
      </c>
      <c r="R7" s="328"/>
      <c r="S7" s="335">
        <v>106.54279999999994</v>
      </c>
      <c r="T7" s="226">
        <f t="shared" si="1"/>
        <v>666.00097000000028</v>
      </c>
      <c r="U7" s="138"/>
      <c r="V7" s="110">
        <v>657.2</v>
      </c>
      <c r="W7" s="113"/>
      <c r="X7" s="110"/>
      <c r="Y7" s="111"/>
      <c r="Z7" s="204"/>
      <c r="AA7" s="88"/>
      <c r="AB7" s="28"/>
      <c r="AC7" s="28"/>
      <c r="AD7" s="226">
        <f t="shared" si="2"/>
        <v>0</v>
      </c>
      <c r="AF7" s="110">
        <v>2361.31</v>
      </c>
      <c r="AG7" s="113">
        <v>503.91</v>
      </c>
      <c r="AH7" s="110"/>
      <c r="AI7" s="111"/>
      <c r="AJ7" s="204"/>
      <c r="AK7" s="215"/>
      <c r="AL7" s="28"/>
      <c r="AM7" s="28"/>
      <c r="AN7" s="226">
        <f t="shared" si="3"/>
        <v>0</v>
      </c>
      <c r="AP7" s="110">
        <v>4460.83</v>
      </c>
      <c r="AQ7" s="110">
        <v>1333.38</v>
      </c>
      <c r="AR7" s="110"/>
      <c r="AS7" s="115">
        <v>21.25</v>
      </c>
      <c r="AT7" s="204"/>
      <c r="AU7" s="88">
        <v>99.044949999999929</v>
      </c>
      <c r="AV7" s="328"/>
      <c r="AW7" s="335">
        <v>21.829974600000014</v>
      </c>
      <c r="AX7" s="226">
        <f t="shared" si="4"/>
        <v>142.12492459999993</v>
      </c>
      <c r="AZ7" s="110">
        <v>2902.51</v>
      </c>
      <c r="BA7" s="113"/>
      <c r="BB7" s="110"/>
      <c r="BC7" s="111"/>
      <c r="BD7" s="204"/>
      <c r="BE7" s="88">
        <v>33.75510000000007</v>
      </c>
      <c r="BF7" s="28"/>
      <c r="BG7" s="28"/>
      <c r="BH7" s="226">
        <f t="shared" si="5"/>
        <v>33.75510000000007</v>
      </c>
      <c r="BJ7" s="110">
        <v>21191.94</v>
      </c>
      <c r="BK7" s="113">
        <v>629.41</v>
      </c>
      <c r="BL7" s="110"/>
      <c r="BM7" s="111">
        <v>156.49</v>
      </c>
      <c r="BN7" s="204"/>
      <c r="BO7" s="88">
        <v>117.91417000000007</v>
      </c>
      <c r="BP7" s="328">
        <v>14.268599999999964</v>
      </c>
      <c r="BQ7" s="28"/>
      <c r="BR7" s="226">
        <f t="shared" si="6"/>
        <v>288.67277000000001</v>
      </c>
      <c r="BT7" s="110">
        <v>4261.72</v>
      </c>
      <c r="BU7" s="113">
        <v>1738.12</v>
      </c>
      <c r="BV7" s="110"/>
      <c r="BW7" s="111">
        <v>2.0299999999999998</v>
      </c>
      <c r="BX7" s="204"/>
      <c r="BY7" s="215"/>
      <c r="BZ7" s="28"/>
      <c r="CA7" s="28"/>
      <c r="CB7" s="226">
        <f t="shared" si="7"/>
        <v>2.0299999999999998</v>
      </c>
      <c r="CD7" s="110">
        <v>2039.63</v>
      </c>
      <c r="CE7" s="113"/>
      <c r="CF7" s="110"/>
      <c r="CG7" s="111">
        <v>23.44</v>
      </c>
      <c r="CH7" s="204"/>
      <c r="CI7" s="88">
        <v>31.051589999999976</v>
      </c>
      <c r="CJ7" s="328">
        <v>14.179960000000008</v>
      </c>
      <c r="CK7" s="28"/>
      <c r="CL7" s="226">
        <f t="shared" si="8"/>
        <v>68.671549999999982</v>
      </c>
      <c r="CN7" s="110">
        <v>1032.0899999999999</v>
      </c>
      <c r="CO7" s="110">
        <v>609.13</v>
      </c>
      <c r="CP7" s="113">
        <v>1064.5</v>
      </c>
      <c r="CQ7" s="110"/>
      <c r="CR7" s="111">
        <v>591.53</v>
      </c>
      <c r="CS7" s="204"/>
      <c r="CT7" s="215"/>
      <c r="CU7" s="328">
        <v>20.413929999999993</v>
      </c>
      <c r="CV7" s="28"/>
      <c r="CW7" s="226">
        <f t="shared" si="9"/>
        <v>611.94392999999991</v>
      </c>
    </row>
    <row r="8" spans="1:101" s="129" customFormat="1" x14ac:dyDescent="0.25">
      <c r="A8" s="109">
        <v>45842</v>
      </c>
      <c r="B8" s="139">
        <v>1389.86</v>
      </c>
      <c r="C8" s="140">
        <v>3772.43</v>
      </c>
      <c r="D8" s="139">
        <v>4.5599999999999996</v>
      </c>
      <c r="E8" s="141">
        <v>55.19</v>
      </c>
      <c r="F8" s="204"/>
      <c r="G8" s="88"/>
      <c r="H8" s="28"/>
      <c r="I8" s="335"/>
      <c r="J8" s="226">
        <f t="shared" si="0"/>
        <v>55.19</v>
      </c>
      <c r="L8" s="110">
        <v>4190.74</v>
      </c>
      <c r="M8" s="113">
        <v>2545.17</v>
      </c>
      <c r="N8" s="110"/>
      <c r="O8" s="111">
        <v>38.799999999999997</v>
      </c>
      <c r="P8" s="204"/>
      <c r="Q8" s="88">
        <v>13.234400000000001</v>
      </c>
      <c r="R8" s="328"/>
      <c r="S8" s="335"/>
      <c r="T8" s="226">
        <f t="shared" si="1"/>
        <v>52.034399999999998</v>
      </c>
      <c r="U8" s="138"/>
      <c r="V8" s="110">
        <v>1265.08</v>
      </c>
      <c r="W8" s="113"/>
      <c r="X8" s="110"/>
      <c r="Y8" s="111"/>
      <c r="Z8" s="204"/>
      <c r="AA8" s="88">
        <v>27.073278000000101</v>
      </c>
      <c r="AB8" s="28"/>
      <c r="AC8" s="28"/>
      <c r="AD8" s="226">
        <f t="shared" si="2"/>
        <v>27.073278000000101</v>
      </c>
      <c r="AF8" s="110">
        <v>3332.1099999999997</v>
      </c>
      <c r="AG8" s="113">
        <v>429.26</v>
      </c>
      <c r="AH8" s="110"/>
      <c r="AI8" s="111"/>
      <c r="AJ8" s="204"/>
      <c r="AK8" s="215"/>
      <c r="AL8" s="28"/>
      <c r="AM8" s="28"/>
      <c r="AN8" s="226">
        <f t="shared" si="3"/>
        <v>0</v>
      </c>
      <c r="AP8" s="110">
        <v>3969.45</v>
      </c>
      <c r="AQ8" s="110">
        <v>979.18</v>
      </c>
      <c r="AR8" s="110"/>
      <c r="AS8" s="115">
        <v>22.28</v>
      </c>
      <c r="AT8" s="204"/>
      <c r="AU8" s="88">
        <v>-33.624920000000216</v>
      </c>
      <c r="AV8" s="328"/>
      <c r="AW8" s="335"/>
      <c r="AX8" s="226">
        <f t="shared" si="4"/>
        <v>-11.344920000000215</v>
      </c>
      <c r="AZ8" s="110">
        <v>6479.79</v>
      </c>
      <c r="BA8" s="113"/>
      <c r="BB8" s="110"/>
      <c r="BC8" s="111"/>
      <c r="BD8" s="204"/>
      <c r="BE8" s="88">
        <v>6.6088000000000449</v>
      </c>
      <c r="BF8" s="28"/>
      <c r="BG8" s="28"/>
      <c r="BH8" s="226">
        <f t="shared" si="5"/>
        <v>6.6088000000000449</v>
      </c>
      <c r="BJ8" s="110">
        <v>29564.34</v>
      </c>
      <c r="BK8" s="113">
        <v>839.96</v>
      </c>
      <c r="BL8" s="110"/>
      <c r="BM8" s="111">
        <v>285.64</v>
      </c>
      <c r="BN8" s="204"/>
      <c r="BO8" s="88">
        <v>22.767500000000027</v>
      </c>
      <c r="BP8" s="328"/>
      <c r="BQ8" s="28"/>
      <c r="BR8" s="226">
        <f t="shared" si="6"/>
        <v>308.40750000000003</v>
      </c>
      <c r="BT8" s="110">
        <v>3156.53</v>
      </c>
      <c r="BU8" s="113">
        <v>1909.12</v>
      </c>
      <c r="BV8" s="110"/>
      <c r="BW8" s="111">
        <v>2.85</v>
      </c>
      <c r="BX8" s="204"/>
      <c r="BY8" s="215"/>
      <c r="BZ8" s="28"/>
      <c r="CA8" s="28"/>
      <c r="CB8" s="226">
        <f t="shared" si="7"/>
        <v>2.85</v>
      </c>
      <c r="CD8" s="110">
        <v>3353.67</v>
      </c>
      <c r="CE8" s="113"/>
      <c r="CF8" s="110"/>
      <c r="CG8" s="111">
        <v>48.46</v>
      </c>
      <c r="CH8" s="204"/>
      <c r="CI8" s="88">
        <v>2.4250699999999981</v>
      </c>
      <c r="CJ8" s="328">
        <v>53.135000000000034</v>
      </c>
      <c r="CK8" s="28"/>
      <c r="CL8" s="226">
        <f t="shared" si="8"/>
        <v>104.02007000000003</v>
      </c>
      <c r="CN8" s="110">
        <v>563.65</v>
      </c>
      <c r="CO8" s="110">
        <v>684.56</v>
      </c>
      <c r="CP8" s="113">
        <v>1330.03</v>
      </c>
      <c r="CQ8" s="110"/>
      <c r="CR8" s="111">
        <v>509.19</v>
      </c>
      <c r="CS8" s="204"/>
      <c r="CT8" s="215"/>
      <c r="CU8" s="328"/>
      <c r="CV8" s="28"/>
      <c r="CW8" s="226">
        <f t="shared" si="9"/>
        <v>509.19</v>
      </c>
    </row>
    <row r="9" spans="1:101" s="129" customFormat="1" x14ac:dyDescent="0.25">
      <c r="A9" s="109">
        <v>45843</v>
      </c>
      <c r="B9" s="139">
        <v>3243.88</v>
      </c>
      <c r="C9" s="140">
        <v>2779.65</v>
      </c>
      <c r="D9" s="139">
        <v>4.59</v>
      </c>
      <c r="E9" s="141">
        <v>326.12</v>
      </c>
      <c r="F9" s="204"/>
      <c r="G9" s="88">
        <v>47.837399999999974</v>
      </c>
      <c r="H9" s="28"/>
      <c r="I9" s="335"/>
      <c r="J9" s="226">
        <f t="shared" si="0"/>
        <v>373.95740000000001</v>
      </c>
      <c r="L9" s="110">
        <v>6640.65</v>
      </c>
      <c r="M9" s="113">
        <v>2483.14</v>
      </c>
      <c r="N9" s="110"/>
      <c r="O9" s="111">
        <v>21.65</v>
      </c>
      <c r="P9" s="204"/>
      <c r="Q9" s="88">
        <v>346.50035000000003</v>
      </c>
      <c r="R9" s="328"/>
      <c r="S9" s="335"/>
      <c r="T9" s="226">
        <f t="shared" si="1"/>
        <v>368.15035</v>
      </c>
      <c r="U9" s="138"/>
      <c r="V9" s="110">
        <v>706.7</v>
      </c>
      <c r="W9" s="113"/>
      <c r="X9" s="110"/>
      <c r="Y9" s="111"/>
      <c r="Z9" s="204"/>
      <c r="AA9" s="88"/>
      <c r="AB9" s="28"/>
      <c r="AC9" s="28"/>
      <c r="AD9" s="226">
        <f t="shared" si="2"/>
        <v>0</v>
      </c>
      <c r="AF9" s="110">
        <v>1762.02</v>
      </c>
      <c r="AG9" s="113">
        <v>567.57000000000005</v>
      </c>
      <c r="AH9" s="110"/>
      <c r="AI9" s="111"/>
      <c r="AJ9" s="204"/>
      <c r="AK9" s="215"/>
      <c r="AL9" s="28"/>
      <c r="AM9" s="28"/>
      <c r="AN9" s="226">
        <f t="shared" si="3"/>
        <v>0</v>
      </c>
      <c r="AP9" s="110">
        <v>4908.45</v>
      </c>
      <c r="AQ9" s="110">
        <v>766.48</v>
      </c>
      <c r="AR9" s="110"/>
      <c r="AS9" s="115">
        <v>16.84</v>
      </c>
      <c r="AT9" s="204"/>
      <c r="AU9" s="88">
        <v>-22.232560000000092</v>
      </c>
      <c r="AV9" s="328"/>
      <c r="AW9" s="335">
        <v>5.1704093000000029</v>
      </c>
      <c r="AX9" s="226">
        <f t="shared" si="4"/>
        <v>-0.22215070000008907</v>
      </c>
      <c r="AZ9" s="110">
        <v>910.48</v>
      </c>
      <c r="BA9" s="113"/>
      <c r="BB9" s="110"/>
      <c r="BC9" s="111"/>
      <c r="BD9" s="204"/>
      <c r="BE9" s="88">
        <v>2.8000000000000114</v>
      </c>
      <c r="BF9" s="28"/>
      <c r="BG9" s="28"/>
      <c r="BH9" s="226">
        <f t="shared" si="5"/>
        <v>2.8000000000000114</v>
      </c>
      <c r="BJ9" s="110">
        <v>11145.47</v>
      </c>
      <c r="BK9" s="113">
        <v>959.19</v>
      </c>
      <c r="BL9" s="110"/>
      <c r="BM9" s="111">
        <v>78.540000000000006</v>
      </c>
      <c r="BN9" s="204"/>
      <c r="BO9" s="88">
        <v>43.203749999999999</v>
      </c>
      <c r="BP9" s="328">
        <v>34.671089999999992</v>
      </c>
      <c r="BQ9" s="28"/>
      <c r="BR9" s="226">
        <f t="shared" si="6"/>
        <v>156.41484</v>
      </c>
      <c r="BT9" s="110">
        <v>3810.59</v>
      </c>
      <c r="BU9" s="113">
        <v>1206.4000000000001</v>
      </c>
      <c r="BV9" s="110"/>
      <c r="BW9" s="111">
        <v>5.17</v>
      </c>
      <c r="BX9" s="204"/>
      <c r="BY9" s="215"/>
      <c r="BZ9" s="28"/>
      <c r="CA9" s="28"/>
      <c r="CB9" s="226">
        <f t="shared" si="7"/>
        <v>5.17</v>
      </c>
      <c r="CD9" s="110">
        <v>1830.84</v>
      </c>
      <c r="CE9" s="113"/>
      <c r="CF9" s="110"/>
      <c r="CG9" s="111">
        <v>156.06</v>
      </c>
      <c r="CH9" s="204"/>
      <c r="CI9" s="88"/>
      <c r="CJ9" s="328"/>
      <c r="CK9" s="28"/>
      <c r="CL9" s="226">
        <f t="shared" si="8"/>
        <v>156.06</v>
      </c>
      <c r="CN9" s="110">
        <v>1535.98</v>
      </c>
      <c r="CO9" s="110">
        <v>748.38</v>
      </c>
      <c r="CP9" s="113">
        <v>1878.25</v>
      </c>
      <c r="CQ9" s="110"/>
      <c r="CR9" s="111">
        <v>746.77</v>
      </c>
      <c r="CS9" s="204"/>
      <c r="CT9" s="215"/>
      <c r="CU9" s="328">
        <v>141.04349999999999</v>
      </c>
      <c r="CV9" s="28"/>
      <c r="CW9" s="226">
        <f t="shared" si="9"/>
        <v>887.81349999999998</v>
      </c>
    </row>
    <row r="10" spans="1:101" s="129" customFormat="1" x14ac:dyDescent="0.25">
      <c r="A10" s="109">
        <v>45844</v>
      </c>
      <c r="B10" s="139">
        <v>7222.03</v>
      </c>
      <c r="C10" s="140">
        <v>1503.6</v>
      </c>
      <c r="D10" s="139">
        <v>0.74</v>
      </c>
      <c r="E10" s="141">
        <v>342.66</v>
      </c>
      <c r="F10" s="204"/>
      <c r="G10" s="88"/>
      <c r="H10" s="28"/>
      <c r="I10" s="335"/>
      <c r="J10" s="226">
        <f t="shared" si="0"/>
        <v>342.66</v>
      </c>
      <c r="L10" s="110">
        <v>3127.95</v>
      </c>
      <c r="M10" s="113">
        <v>2801.58</v>
      </c>
      <c r="N10" s="110"/>
      <c r="O10" s="111">
        <v>9.6300000000000008</v>
      </c>
      <c r="P10" s="204"/>
      <c r="Q10" s="88">
        <v>45.888719999999978</v>
      </c>
      <c r="R10" s="328"/>
      <c r="S10" s="335"/>
      <c r="T10" s="226">
        <f t="shared" si="1"/>
        <v>55.518719999999981</v>
      </c>
      <c r="U10" s="138"/>
      <c r="V10" s="110">
        <v>600.02</v>
      </c>
      <c r="W10" s="113"/>
      <c r="X10" s="110"/>
      <c r="Y10" s="111"/>
      <c r="Z10" s="204"/>
      <c r="AA10" s="88"/>
      <c r="AB10" s="28"/>
      <c r="AC10" s="28"/>
      <c r="AD10" s="226">
        <f t="shared" si="2"/>
        <v>0</v>
      </c>
      <c r="AF10" s="110">
        <v>6658.27</v>
      </c>
      <c r="AG10" s="113">
        <v>678.28</v>
      </c>
      <c r="AH10" s="110"/>
      <c r="AI10" s="111"/>
      <c r="AJ10" s="204"/>
      <c r="AK10" s="215"/>
      <c r="AL10" s="28"/>
      <c r="AM10" s="28"/>
      <c r="AN10" s="226">
        <f t="shared" si="3"/>
        <v>0</v>
      </c>
      <c r="AP10" s="110">
        <v>5082.5600000000004</v>
      </c>
      <c r="AQ10" s="110">
        <v>873.63</v>
      </c>
      <c r="AR10" s="110"/>
      <c r="AS10" s="115">
        <v>90.54</v>
      </c>
      <c r="AT10" s="204"/>
      <c r="AU10" s="88">
        <v>-4.0090399999999988</v>
      </c>
      <c r="AV10" s="328"/>
      <c r="AW10" s="335"/>
      <c r="AX10" s="226">
        <f t="shared" si="4"/>
        <v>86.530960000000007</v>
      </c>
      <c r="AZ10" s="110">
        <v>2237.35</v>
      </c>
      <c r="BA10" s="113"/>
      <c r="BB10" s="110"/>
      <c r="BC10" s="111"/>
      <c r="BD10" s="204"/>
      <c r="BE10" s="88">
        <v>155.70000000000016</v>
      </c>
      <c r="BF10" s="28"/>
      <c r="BG10" s="28"/>
      <c r="BH10" s="226">
        <f t="shared" si="5"/>
        <v>155.70000000000016</v>
      </c>
      <c r="BJ10" s="110">
        <v>6452.01</v>
      </c>
      <c r="BK10" s="113">
        <v>601.72</v>
      </c>
      <c r="BL10" s="110"/>
      <c r="BM10" s="111">
        <v>48.18</v>
      </c>
      <c r="BN10" s="204"/>
      <c r="BO10" s="88">
        <v>22.452500000000029</v>
      </c>
      <c r="BP10" s="328"/>
      <c r="BQ10" s="28"/>
      <c r="BR10" s="226">
        <f t="shared" si="6"/>
        <v>70.632500000000022</v>
      </c>
      <c r="BT10" s="110">
        <v>2516.5300000000002</v>
      </c>
      <c r="BU10" s="113">
        <v>1220.77</v>
      </c>
      <c r="BV10" s="110"/>
      <c r="BW10" s="111"/>
      <c r="BX10" s="204"/>
      <c r="BY10" s="215"/>
      <c r="BZ10" s="28"/>
      <c r="CA10" s="28"/>
      <c r="CB10" s="226">
        <f t="shared" si="7"/>
        <v>0</v>
      </c>
      <c r="CD10" s="110">
        <v>2897.66</v>
      </c>
      <c r="CE10" s="113"/>
      <c r="CF10" s="110"/>
      <c r="CG10" s="111">
        <v>75.69</v>
      </c>
      <c r="CH10" s="204"/>
      <c r="CI10" s="88"/>
      <c r="CJ10" s="328">
        <v>25.970000000000027</v>
      </c>
      <c r="CK10" s="28"/>
      <c r="CL10" s="226">
        <f t="shared" si="8"/>
        <v>101.66000000000003</v>
      </c>
      <c r="CN10" s="110">
        <v>1073.4000000000001</v>
      </c>
      <c r="CO10" s="110">
        <v>771.78</v>
      </c>
      <c r="CP10" s="113">
        <v>1717.4</v>
      </c>
      <c r="CQ10" s="110"/>
      <c r="CR10" s="111">
        <v>22.48</v>
      </c>
      <c r="CS10" s="204"/>
      <c r="CT10" s="215"/>
      <c r="CU10" s="328"/>
      <c r="CV10" s="28"/>
      <c r="CW10" s="226">
        <f t="shared" si="9"/>
        <v>22.48</v>
      </c>
    </row>
    <row r="11" spans="1:101" s="129" customFormat="1" x14ac:dyDescent="0.25">
      <c r="A11" s="109">
        <v>45845</v>
      </c>
      <c r="B11" s="139">
        <v>4275.37</v>
      </c>
      <c r="C11" s="140">
        <v>2545.77</v>
      </c>
      <c r="D11" s="139">
        <v>1.94</v>
      </c>
      <c r="E11" s="141">
        <v>265.93</v>
      </c>
      <c r="F11" s="204"/>
      <c r="G11" s="88">
        <v>13.64609999999999</v>
      </c>
      <c r="H11" s="28"/>
      <c r="I11" s="335"/>
      <c r="J11" s="226">
        <f t="shared" si="0"/>
        <v>279.5761</v>
      </c>
      <c r="L11" s="110">
        <v>5347.37</v>
      </c>
      <c r="M11" s="113">
        <v>2659.9</v>
      </c>
      <c r="N11" s="110"/>
      <c r="O11" s="111">
        <v>29.83</v>
      </c>
      <c r="P11" s="204"/>
      <c r="Q11" s="88"/>
      <c r="R11" s="328"/>
      <c r="S11" s="335">
        <v>152.98515169999996</v>
      </c>
      <c r="T11" s="226">
        <f t="shared" si="1"/>
        <v>182.81515169999994</v>
      </c>
      <c r="U11" s="138"/>
      <c r="V11" s="110">
        <v>766.3</v>
      </c>
      <c r="W11" s="113"/>
      <c r="X11" s="110"/>
      <c r="Y11" s="111"/>
      <c r="Z11" s="204"/>
      <c r="AA11" s="88">
        <v>30.838679999999982</v>
      </c>
      <c r="AB11" s="28"/>
      <c r="AC11" s="28"/>
      <c r="AD11" s="226">
        <f t="shared" si="2"/>
        <v>30.838679999999982</v>
      </c>
      <c r="AF11" s="110">
        <v>2501.56</v>
      </c>
      <c r="AG11" s="113">
        <v>612.5</v>
      </c>
      <c r="AH11" s="110"/>
      <c r="AI11" s="111"/>
      <c r="AJ11" s="204"/>
      <c r="AK11" s="215"/>
      <c r="AL11" s="28"/>
      <c r="AM11" s="28"/>
      <c r="AN11" s="226">
        <f t="shared" si="3"/>
        <v>0</v>
      </c>
      <c r="AP11" s="110">
        <v>6034.8</v>
      </c>
      <c r="AQ11" s="110">
        <v>1539.24</v>
      </c>
      <c r="AR11" s="110"/>
      <c r="AS11" s="115">
        <v>105.14</v>
      </c>
      <c r="AT11" s="204"/>
      <c r="AU11" s="88">
        <v>28.423679999999848</v>
      </c>
      <c r="AV11" s="328">
        <v>5.6005499999999984</v>
      </c>
      <c r="AW11" s="335">
        <v>6.5844828000000177</v>
      </c>
      <c r="AX11" s="226">
        <f t="shared" si="4"/>
        <v>145.74871279999988</v>
      </c>
      <c r="AZ11" s="110">
        <v>9599.49</v>
      </c>
      <c r="BA11" s="113"/>
      <c r="BB11" s="110"/>
      <c r="BC11" s="111"/>
      <c r="BD11" s="204"/>
      <c r="BE11" s="88">
        <v>19.440600000000096</v>
      </c>
      <c r="BF11" s="28"/>
      <c r="BG11" s="28"/>
      <c r="BH11" s="226">
        <f t="shared" si="5"/>
        <v>19.440600000000096</v>
      </c>
      <c r="BJ11" s="110">
        <v>18473.23</v>
      </c>
      <c r="BK11" s="113">
        <v>726.65</v>
      </c>
      <c r="BL11" s="110"/>
      <c r="BM11" s="111">
        <v>268.60000000000002</v>
      </c>
      <c r="BN11" s="204"/>
      <c r="BO11" s="88">
        <v>70.129350000000244</v>
      </c>
      <c r="BP11" s="328">
        <v>89.830750000000307</v>
      </c>
      <c r="BQ11" s="28"/>
      <c r="BR11" s="226">
        <f t="shared" si="6"/>
        <v>428.5601000000006</v>
      </c>
      <c r="BT11" s="110">
        <v>4820.3</v>
      </c>
      <c r="BU11" s="113">
        <v>2136.7199999999998</v>
      </c>
      <c r="BV11" s="110"/>
      <c r="BW11" s="111">
        <v>5.29</v>
      </c>
      <c r="BX11" s="204"/>
      <c r="BY11" s="215"/>
      <c r="BZ11" s="28"/>
      <c r="CA11" s="28"/>
      <c r="CB11" s="226">
        <f t="shared" si="7"/>
        <v>5.29</v>
      </c>
      <c r="CD11" s="110">
        <v>1780.36</v>
      </c>
      <c r="CE11" s="113"/>
      <c r="CF11" s="110"/>
      <c r="CG11" s="111">
        <v>31.33</v>
      </c>
      <c r="CH11" s="204"/>
      <c r="CI11" s="88"/>
      <c r="CJ11" s="328"/>
      <c r="CK11" s="28"/>
      <c r="CL11" s="226">
        <f t="shared" si="8"/>
        <v>31.33</v>
      </c>
      <c r="CN11" s="110">
        <v>2003.1</v>
      </c>
      <c r="CO11" s="110">
        <v>424.41</v>
      </c>
      <c r="CP11" s="113">
        <v>1656.62</v>
      </c>
      <c r="CQ11" s="110"/>
      <c r="CR11" s="111">
        <v>549.45000000000005</v>
      </c>
      <c r="CS11" s="204"/>
      <c r="CT11" s="215"/>
      <c r="CU11" s="328">
        <v>146.78272999999999</v>
      </c>
      <c r="CV11" s="28"/>
      <c r="CW11" s="226">
        <f t="shared" si="9"/>
        <v>696.23273000000006</v>
      </c>
    </row>
    <row r="12" spans="1:101" s="129" customFormat="1" x14ac:dyDescent="0.25">
      <c r="A12" s="109">
        <v>45846</v>
      </c>
      <c r="B12" s="139">
        <v>3275.02</v>
      </c>
      <c r="C12" s="140">
        <v>2980.51</v>
      </c>
      <c r="D12" s="139">
        <v>33.119999999999997</v>
      </c>
      <c r="E12" s="141">
        <v>369.9</v>
      </c>
      <c r="F12" s="204"/>
      <c r="G12" s="88">
        <v>17.549999999999983</v>
      </c>
      <c r="H12" s="28"/>
      <c r="I12" s="335"/>
      <c r="J12" s="226">
        <f t="shared" si="0"/>
        <v>387.44999999999993</v>
      </c>
      <c r="L12" s="110">
        <v>3664.79</v>
      </c>
      <c r="M12" s="113">
        <v>2370.64</v>
      </c>
      <c r="N12" s="110"/>
      <c r="O12" s="111">
        <v>82.33</v>
      </c>
      <c r="P12" s="204"/>
      <c r="Q12" s="88">
        <v>392.41818999999998</v>
      </c>
      <c r="R12" s="328"/>
      <c r="S12" s="335">
        <v>131.12959999999998</v>
      </c>
      <c r="T12" s="226">
        <f t="shared" si="1"/>
        <v>605.87779</v>
      </c>
      <c r="U12" s="138"/>
      <c r="V12" s="110">
        <v>2454.02</v>
      </c>
      <c r="W12" s="113"/>
      <c r="X12" s="110"/>
      <c r="Y12" s="111"/>
      <c r="Z12" s="204"/>
      <c r="AA12" s="88"/>
      <c r="AB12" s="28"/>
      <c r="AC12" s="28"/>
      <c r="AD12" s="226">
        <f t="shared" si="2"/>
        <v>0</v>
      </c>
      <c r="AF12" s="110">
        <v>7964</v>
      </c>
      <c r="AG12" s="113">
        <v>429.08</v>
      </c>
      <c r="AH12" s="110"/>
      <c r="AI12" s="111"/>
      <c r="AJ12" s="204"/>
      <c r="AK12" s="215"/>
      <c r="AL12" s="28"/>
      <c r="AM12" s="28"/>
      <c r="AN12" s="226">
        <f t="shared" si="3"/>
        <v>0</v>
      </c>
      <c r="AP12" s="110">
        <v>2927.61</v>
      </c>
      <c r="AQ12" s="110">
        <v>1214.58</v>
      </c>
      <c r="AR12" s="110"/>
      <c r="AS12" s="115">
        <v>129.28</v>
      </c>
      <c r="AT12" s="204"/>
      <c r="AU12" s="88">
        <v>31.015159999999909</v>
      </c>
      <c r="AV12" s="328"/>
      <c r="AW12" s="335"/>
      <c r="AX12" s="226">
        <f t="shared" si="4"/>
        <v>160.2951599999999</v>
      </c>
      <c r="AZ12" s="110">
        <v>8793.2199999999993</v>
      </c>
      <c r="BA12" s="113"/>
      <c r="BB12" s="110"/>
      <c r="BC12" s="111"/>
      <c r="BD12" s="204"/>
      <c r="BE12" s="88">
        <v>15.884800000000126</v>
      </c>
      <c r="BF12" s="28"/>
      <c r="BG12" s="28"/>
      <c r="BH12" s="226">
        <f t="shared" si="5"/>
        <v>15.884800000000126</v>
      </c>
      <c r="BJ12" s="110">
        <v>8873.9699999999993</v>
      </c>
      <c r="BK12" s="113">
        <v>837.84</v>
      </c>
      <c r="BL12" s="110"/>
      <c r="BM12" s="111">
        <v>45.73</v>
      </c>
      <c r="BN12" s="204"/>
      <c r="BO12" s="88">
        <v>51.844350000000048</v>
      </c>
      <c r="BP12" s="328">
        <v>96.49797000000018</v>
      </c>
      <c r="BQ12" s="28"/>
      <c r="BR12" s="226">
        <f t="shared" si="6"/>
        <v>194.07232000000022</v>
      </c>
      <c r="BT12" s="110">
        <v>4146.2299999999996</v>
      </c>
      <c r="BU12" s="113">
        <v>1723.26</v>
      </c>
      <c r="BV12" s="110"/>
      <c r="BW12" s="111">
        <v>1.35</v>
      </c>
      <c r="BX12" s="204"/>
      <c r="BY12" s="215"/>
      <c r="BZ12" s="28"/>
      <c r="CA12" s="28"/>
      <c r="CB12" s="226">
        <f t="shared" si="7"/>
        <v>1.35</v>
      </c>
      <c r="CD12" s="110">
        <v>1117.97</v>
      </c>
      <c r="CE12" s="113"/>
      <c r="CF12" s="110"/>
      <c r="CG12" s="111">
        <v>27.39</v>
      </c>
      <c r="CH12" s="204"/>
      <c r="CI12" s="88"/>
      <c r="CJ12" s="328"/>
      <c r="CK12" s="28"/>
      <c r="CL12" s="226">
        <f t="shared" si="8"/>
        <v>27.39</v>
      </c>
      <c r="CN12" s="110">
        <v>1347.22</v>
      </c>
      <c r="CO12" s="110">
        <v>490.82</v>
      </c>
      <c r="CP12" s="113">
        <v>958.61</v>
      </c>
      <c r="CQ12" s="110"/>
      <c r="CR12" s="111">
        <v>414.65</v>
      </c>
      <c r="CS12" s="204"/>
      <c r="CT12" s="215"/>
      <c r="CU12" s="328">
        <v>77.659029999999987</v>
      </c>
      <c r="CV12" s="28"/>
      <c r="CW12" s="226">
        <f t="shared" si="9"/>
        <v>492.30902999999995</v>
      </c>
    </row>
    <row r="13" spans="1:101" s="129" customFormat="1" x14ac:dyDescent="0.25">
      <c r="A13" s="109">
        <v>45847</v>
      </c>
      <c r="B13" s="139">
        <v>2836.71</v>
      </c>
      <c r="C13" s="140">
        <v>2080.1</v>
      </c>
      <c r="D13" s="139">
        <v>1.32</v>
      </c>
      <c r="E13" s="141">
        <v>93.51</v>
      </c>
      <c r="F13" s="204"/>
      <c r="G13" s="88">
        <v>38.743680000000012</v>
      </c>
      <c r="H13" s="28"/>
      <c r="I13" s="335"/>
      <c r="J13" s="226">
        <f t="shared" si="0"/>
        <v>132.25368000000003</v>
      </c>
      <c r="L13" s="110">
        <v>6923.06</v>
      </c>
      <c r="M13" s="113">
        <v>3021.54</v>
      </c>
      <c r="N13" s="110"/>
      <c r="O13" s="111">
        <v>24.64</v>
      </c>
      <c r="P13" s="204"/>
      <c r="Q13" s="88">
        <v>12.240729999999985</v>
      </c>
      <c r="R13" s="328"/>
      <c r="S13" s="335"/>
      <c r="T13" s="226">
        <f t="shared" si="1"/>
        <v>36.880729999999986</v>
      </c>
      <c r="U13" s="138"/>
      <c r="V13" s="110">
        <v>1200.47</v>
      </c>
      <c r="W13" s="113"/>
      <c r="X13" s="110"/>
      <c r="Y13" s="111"/>
      <c r="Z13" s="204"/>
      <c r="AA13" s="88">
        <v>21.113320000000016</v>
      </c>
      <c r="AB13" s="28"/>
      <c r="AC13" s="28"/>
      <c r="AD13" s="226">
        <f t="shared" si="2"/>
        <v>21.113320000000016</v>
      </c>
      <c r="AF13" s="110">
        <v>2863.71</v>
      </c>
      <c r="AG13" s="113"/>
      <c r="AH13" s="110"/>
      <c r="AI13" s="111"/>
      <c r="AJ13" s="204"/>
      <c r="AK13" s="215"/>
      <c r="AL13" s="28"/>
      <c r="AM13" s="28"/>
      <c r="AN13" s="226">
        <f t="shared" si="3"/>
        <v>0</v>
      </c>
      <c r="AP13" s="110">
        <v>4215.97</v>
      </c>
      <c r="AQ13" s="110">
        <v>1118.52</v>
      </c>
      <c r="AR13" s="110"/>
      <c r="AS13" s="115">
        <v>52.69</v>
      </c>
      <c r="AT13" s="204"/>
      <c r="AU13" s="88">
        <v>38.329849999999865</v>
      </c>
      <c r="AV13" s="328"/>
      <c r="AW13" s="335"/>
      <c r="AX13" s="226">
        <f t="shared" si="4"/>
        <v>91.019849999999863</v>
      </c>
      <c r="AZ13" s="110">
        <v>4846</v>
      </c>
      <c r="BA13" s="113"/>
      <c r="BB13" s="110"/>
      <c r="BC13" s="111"/>
      <c r="BD13" s="204"/>
      <c r="BE13" s="88">
        <v>13.794539999999969</v>
      </c>
      <c r="BF13" s="28"/>
      <c r="BG13" s="28"/>
      <c r="BH13" s="226">
        <f t="shared" si="5"/>
        <v>13.794539999999969</v>
      </c>
      <c r="BJ13" s="110">
        <v>9209.31</v>
      </c>
      <c r="BK13" s="113">
        <v>625.74</v>
      </c>
      <c r="BL13" s="110"/>
      <c r="BM13" s="111">
        <v>156.82</v>
      </c>
      <c r="BN13" s="204"/>
      <c r="BO13" s="88">
        <v>51.806120000000121</v>
      </c>
      <c r="BP13" s="328">
        <v>115.67951999999993</v>
      </c>
      <c r="BQ13" s="28"/>
      <c r="BR13" s="226">
        <f t="shared" si="6"/>
        <v>324.30564000000004</v>
      </c>
      <c r="BT13" s="110">
        <v>4554.07</v>
      </c>
      <c r="BU13" s="113">
        <v>1619.11</v>
      </c>
      <c r="BV13" s="110"/>
      <c r="BW13" s="111">
        <v>3.81</v>
      </c>
      <c r="BX13" s="204"/>
      <c r="BY13" s="215"/>
      <c r="BZ13" s="28"/>
      <c r="CA13" s="28"/>
      <c r="CB13" s="226">
        <f t="shared" si="7"/>
        <v>3.81</v>
      </c>
      <c r="CD13" s="110">
        <v>2452.65</v>
      </c>
      <c r="CE13" s="113"/>
      <c r="CF13" s="110"/>
      <c r="CG13" s="111">
        <v>178.22</v>
      </c>
      <c r="CH13" s="204"/>
      <c r="CI13" s="88">
        <v>27.845140000000015</v>
      </c>
      <c r="CJ13" s="328"/>
      <c r="CK13" s="28"/>
      <c r="CL13" s="226">
        <f t="shared" si="8"/>
        <v>206.06514000000001</v>
      </c>
      <c r="CN13" s="110">
        <v>1000.21</v>
      </c>
      <c r="CO13" s="110">
        <v>716.42</v>
      </c>
      <c r="CP13" s="113">
        <v>1264.18</v>
      </c>
      <c r="CQ13" s="110"/>
      <c r="CR13" s="111">
        <v>678.01</v>
      </c>
      <c r="CS13" s="204"/>
      <c r="CT13" s="215"/>
      <c r="CU13" s="328">
        <v>197.62499999999994</v>
      </c>
      <c r="CV13" s="28"/>
      <c r="CW13" s="226">
        <f t="shared" si="9"/>
        <v>875.63499999999999</v>
      </c>
    </row>
    <row r="14" spans="1:101" s="129" customFormat="1" x14ac:dyDescent="0.25">
      <c r="A14" s="109">
        <v>45848</v>
      </c>
      <c r="B14" s="139">
        <v>2057.04</v>
      </c>
      <c r="C14" s="140">
        <v>4671.4399999999996</v>
      </c>
      <c r="D14" s="139">
        <v>53.29</v>
      </c>
      <c r="E14" s="141">
        <v>12.83</v>
      </c>
      <c r="F14" s="204"/>
      <c r="G14" s="88">
        <v>38.08000000000002</v>
      </c>
      <c r="H14" s="28"/>
      <c r="I14" s="335">
        <v>31.135268999999994</v>
      </c>
      <c r="J14" s="226">
        <f t="shared" si="0"/>
        <v>82.045269000000019</v>
      </c>
      <c r="L14" s="110">
        <v>3836.56</v>
      </c>
      <c r="M14" s="113">
        <v>3056.39</v>
      </c>
      <c r="N14" s="110"/>
      <c r="O14" s="111">
        <v>45.19</v>
      </c>
      <c r="P14" s="204"/>
      <c r="Q14" s="88">
        <v>47.658460000000026</v>
      </c>
      <c r="R14" s="328"/>
      <c r="S14" s="335">
        <v>239.88735719999994</v>
      </c>
      <c r="T14" s="226">
        <f t="shared" si="1"/>
        <v>332.73581719999993</v>
      </c>
      <c r="U14" s="138"/>
      <c r="V14" s="110">
        <v>2624.06</v>
      </c>
      <c r="W14" s="113"/>
      <c r="X14" s="110"/>
      <c r="Y14" s="111"/>
      <c r="Z14" s="204"/>
      <c r="AA14" s="88"/>
      <c r="AB14" s="28"/>
      <c r="AC14" s="28"/>
      <c r="AD14" s="226">
        <f t="shared" si="2"/>
        <v>0</v>
      </c>
      <c r="AF14" s="110">
        <v>5477.58</v>
      </c>
      <c r="AG14" s="113"/>
      <c r="AH14" s="110"/>
      <c r="AI14" s="111"/>
      <c r="AJ14" s="204"/>
      <c r="AK14" s="215"/>
      <c r="AL14" s="28"/>
      <c r="AM14" s="28"/>
      <c r="AN14" s="226">
        <f t="shared" si="3"/>
        <v>0</v>
      </c>
      <c r="AP14" s="110">
        <v>4061.03</v>
      </c>
      <c r="AQ14" s="110">
        <v>1140.42</v>
      </c>
      <c r="AR14" s="110"/>
      <c r="AS14" s="115">
        <v>45.96</v>
      </c>
      <c r="AT14" s="204"/>
      <c r="AU14" s="88">
        <v>-35.91437000000009</v>
      </c>
      <c r="AV14" s="328">
        <v>7.5483499999999992</v>
      </c>
      <c r="AW14" s="335">
        <v>15.322819799999948</v>
      </c>
      <c r="AX14" s="226">
        <f t="shared" si="4"/>
        <v>32.916799799999858</v>
      </c>
      <c r="AZ14" s="110">
        <v>4379.93</v>
      </c>
      <c r="BA14" s="113"/>
      <c r="BB14" s="110"/>
      <c r="BC14" s="111"/>
      <c r="BD14" s="204"/>
      <c r="BE14" s="88">
        <v>0.78215999999997621</v>
      </c>
      <c r="BF14" s="28"/>
      <c r="BG14" s="28"/>
      <c r="BH14" s="226">
        <f t="shared" si="5"/>
        <v>0.78215999999997621</v>
      </c>
      <c r="BJ14" s="110">
        <v>8567.15</v>
      </c>
      <c r="BK14" s="113">
        <v>783.34</v>
      </c>
      <c r="BL14" s="110"/>
      <c r="BM14" s="111">
        <v>52.58</v>
      </c>
      <c r="BN14" s="204"/>
      <c r="BO14" s="88">
        <v>47.794720000000012</v>
      </c>
      <c r="BP14" s="328">
        <v>7.3960299999999961</v>
      </c>
      <c r="BQ14" s="28"/>
      <c r="BR14" s="226">
        <f t="shared" si="6"/>
        <v>107.77075000000001</v>
      </c>
      <c r="BT14" s="110">
        <v>4620.9399999999996</v>
      </c>
      <c r="BU14" s="113">
        <v>1869.31</v>
      </c>
      <c r="BV14" s="110"/>
      <c r="BW14" s="111">
        <v>2.69</v>
      </c>
      <c r="BX14" s="204"/>
      <c r="BY14" s="215"/>
      <c r="BZ14" s="28"/>
      <c r="CA14" s="28"/>
      <c r="CB14" s="226">
        <f t="shared" si="7"/>
        <v>2.69</v>
      </c>
      <c r="CD14" s="110">
        <v>2712.33</v>
      </c>
      <c r="CE14" s="113"/>
      <c r="CF14" s="110"/>
      <c r="CG14" s="111">
        <v>608.79</v>
      </c>
      <c r="CH14" s="204"/>
      <c r="CI14" s="88">
        <v>90.738119999999952</v>
      </c>
      <c r="CJ14" s="328"/>
      <c r="CK14" s="28"/>
      <c r="CL14" s="226">
        <f t="shared" si="8"/>
        <v>699.52811999999994</v>
      </c>
      <c r="CN14" s="110">
        <v>840.84</v>
      </c>
      <c r="CO14" s="110">
        <v>362.78</v>
      </c>
      <c r="CP14" s="113">
        <v>1358.89</v>
      </c>
      <c r="CQ14" s="110"/>
      <c r="CR14" s="111">
        <v>778.74</v>
      </c>
      <c r="CS14" s="204"/>
      <c r="CT14" s="215"/>
      <c r="CU14" s="328">
        <v>119.68782</v>
      </c>
      <c r="CV14" s="28"/>
      <c r="CW14" s="226">
        <f t="shared" si="9"/>
        <v>898.42782</v>
      </c>
    </row>
    <row r="15" spans="1:101" s="129" customFormat="1" x14ac:dyDescent="0.25">
      <c r="A15" s="109">
        <v>45849</v>
      </c>
      <c r="B15" s="139">
        <v>1961.78</v>
      </c>
      <c r="C15" s="140">
        <v>2868.32</v>
      </c>
      <c r="D15" s="139">
        <v>6.52</v>
      </c>
      <c r="E15" s="141">
        <v>47.91</v>
      </c>
      <c r="F15" s="204"/>
      <c r="G15" s="88">
        <v>29.920000000000016</v>
      </c>
      <c r="H15" s="28"/>
      <c r="I15" s="335">
        <v>23.382554199999959</v>
      </c>
      <c r="J15" s="226">
        <f t="shared" si="0"/>
        <v>101.21255419999997</v>
      </c>
      <c r="L15" s="110">
        <v>4094.9</v>
      </c>
      <c r="M15" s="113">
        <v>2768.4</v>
      </c>
      <c r="N15" s="110"/>
      <c r="O15" s="111">
        <v>61.95</v>
      </c>
      <c r="P15" s="204"/>
      <c r="Q15" s="88">
        <v>358.24291999999997</v>
      </c>
      <c r="R15" s="328"/>
      <c r="S15" s="335"/>
      <c r="T15" s="226">
        <f t="shared" si="1"/>
        <v>420.19291999999996</v>
      </c>
      <c r="U15" s="138"/>
      <c r="V15" s="110">
        <v>315.06</v>
      </c>
      <c r="W15" s="113"/>
      <c r="X15" s="110"/>
      <c r="Y15" s="111"/>
      <c r="Z15" s="204"/>
      <c r="AA15" s="88">
        <v>24.522499999999866</v>
      </c>
      <c r="AB15" s="28"/>
      <c r="AC15" s="28"/>
      <c r="AD15" s="226">
        <f t="shared" si="2"/>
        <v>24.522499999999866</v>
      </c>
      <c r="AF15" s="110">
        <v>2630.13</v>
      </c>
      <c r="AG15" s="113"/>
      <c r="AH15" s="110"/>
      <c r="AI15" s="111"/>
      <c r="AJ15" s="204"/>
      <c r="AK15" s="215"/>
      <c r="AL15" s="28"/>
      <c r="AM15" s="28"/>
      <c r="AN15" s="226">
        <f t="shared" si="3"/>
        <v>0</v>
      </c>
      <c r="AP15" s="110">
        <v>6028.51</v>
      </c>
      <c r="AQ15" s="110">
        <v>1371.69</v>
      </c>
      <c r="AR15" s="110"/>
      <c r="AS15" s="115">
        <v>87.39</v>
      </c>
      <c r="AT15" s="204"/>
      <c r="AU15" s="88">
        <v>-0.24667000000017936</v>
      </c>
      <c r="AV15" s="328"/>
      <c r="AW15" s="335">
        <v>6.7120140999999762</v>
      </c>
      <c r="AX15" s="226">
        <f t="shared" si="4"/>
        <v>93.855344099999797</v>
      </c>
      <c r="AZ15" s="110">
        <v>4849.74</v>
      </c>
      <c r="BA15" s="113"/>
      <c r="BB15" s="110"/>
      <c r="BC15" s="111"/>
      <c r="BD15" s="204"/>
      <c r="BE15" s="88">
        <v>1.527059999999949</v>
      </c>
      <c r="BF15" s="28"/>
      <c r="BG15" s="28"/>
      <c r="BH15" s="226">
        <f t="shared" si="5"/>
        <v>1.527059999999949</v>
      </c>
      <c r="BJ15" s="110">
        <v>23056.69</v>
      </c>
      <c r="BK15" s="113">
        <v>1241.43</v>
      </c>
      <c r="BL15" s="110"/>
      <c r="BM15" s="111">
        <v>403.29</v>
      </c>
      <c r="BN15" s="204"/>
      <c r="BO15" s="88">
        <v>51.686220000000041</v>
      </c>
      <c r="BP15" s="328">
        <v>90.246749999999935</v>
      </c>
      <c r="BQ15" s="28"/>
      <c r="BR15" s="226">
        <f t="shared" si="6"/>
        <v>545.22297000000003</v>
      </c>
      <c r="BT15" s="110">
        <v>4912.8999999999996</v>
      </c>
      <c r="BU15" s="113">
        <v>1885.82</v>
      </c>
      <c r="BV15" s="110"/>
      <c r="BW15" s="111">
        <v>3.51</v>
      </c>
      <c r="BX15" s="204"/>
      <c r="BY15" s="215"/>
      <c r="BZ15" s="28"/>
      <c r="CA15" s="28"/>
      <c r="CB15" s="226">
        <f t="shared" si="7"/>
        <v>3.51</v>
      </c>
      <c r="CD15" s="110">
        <v>1353.59</v>
      </c>
      <c r="CE15" s="113"/>
      <c r="CF15" s="110"/>
      <c r="CG15" s="111">
        <v>211.96</v>
      </c>
      <c r="CH15" s="204"/>
      <c r="CI15" s="88">
        <v>55.896980000000099</v>
      </c>
      <c r="CJ15" s="328"/>
      <c r="CK15" s="28"/>
      <c r="CL15" s="226">
        <f t="shared" si="8"/>
        <v>267.85698000000014</v>
      </c>
      <c r="CN15" s="110">
        <v>1737.23</v>
      </c>
      <c r="CO15" s="110">
        <v>753.96</v>
      </c>
      <c r="CP15" s="113">
        <v>2004.19</v>
      </c>
      <c r="CQ15" s="110"/>
      <c r="CR15" s="111">
        <v>619.27</v>
      </c>
      <c r="CS15" s="204"/>
      <c r="CT15" s="215"/>
      <c r="CU15" s="328">
        <v>51.760000000000019</v>
      </c>
      <c r="CV15" s="28"/>
      <c r="CW15" s="226">
        <f t="shared" si="9"/>
        <v>671.03</v>
      </c>
    </row>
    <row r="16" spans="1:101" s="129" customFormat="1" x14ac:dyDescent="0.25">
      <c r="A16" s="109">
        <v>45850</v>
      </c>
      <c r="B16" s="139">
        <v>2575.4299999999998</v>
      </c>
      <c r="C16" s="140">
        <v>2926.51</v>
      </c>
      <c r="D16" s="139">
        <v>7.73</v>
      </c>
      <c r="E16" s="141">
        <v>38.119999999999997</v>
      </c>
      <c r="F16" s="204"/>
      <c r="G16" s="88"/>
      <c r="H16" s="28"/>
      <c r="I16" s="335"/>
      <c r="J16" s="226">
        <f t="shared" si="0"/>
        <v>38.119999999999997</v>
      </c>
      <c r="L16" s="110">
        <v>5278.63</v>
      </c>
      <c r="M16" s="113">
        <v>3511.69</v>
      </c>
      <c r="N16" s="110"/>
      <c r="O16" s="111">
        <v>8.27</v>
      </c>
      <c r="P16" s="204"/>
      <c r="Q16" s="88">
        <v>54.398129999999952</v>
      </c>
      <c r="R16" s="328"/>
      <c r="S16" s="335"/>
      <c r="T16" s="226">
        <f t="shared" si="1"/>
        <v>62.668129999999948</v>
      </c>
      <c r="U16" s="138"/>
      <c r="V16" s="110">
        <v>1645.03</v>
      </c>
      <c r="W16" s="113"/>
      <c r="X16" s="110"/>
      <c r="Y16" s="111"/>
      <c r="Z16" s="204"/>
      <c r="AA16" s="88">
        <v>20.978340000000003</v>
      </c>
      <c r="AB16" s="28"/>
      <c r="AC16" s="28"/>
      <c r="AD16" s="226">
        <f t="shared" si="2"/>
        <v>20.978340000000003</v>
      </c>
      <c r="AF16" s="110">
        <v>4489.8500000000004</v>
      </c>
      <c r="AG16" s="113">
        <v>2084.62</v>
      </c>
      <c r="AH16" s="110"/>
      <c r="AI16" s="111"/>
      <c r="AJ16" s="204"/>
      <c r="AK16" s="215"/>
      <c r="AL16" s="28"/>
      <c r="AM16" s="28"/>
      <c r="AN16" s="226">
        <f t="shared" si="3"/>
        <v>0</v>
      </c>
      <c r="AP16" s="110">
        <v>4370.45</v>
      </c>
      <c r="AQ16" s="110">
        <v>1281.79</v>
      </c>
      <c r="AR16" s="110"/>
      <c r="AS16" s="115">
        <v>8.9</v>
      </c>
      <c r="AT16" s="204"/>
      <c r="AU16" s="88">
        <v>-18.091200000000185</v>
      </c>
      <c r="AV16" s="328"/>
      <c r="AW16" s="335"/>
      <c r="AX16" s="226">
        <f t="shared" si="4"/>
        <v>-9.191200000000185</v>
      </c>
      <c r="AZ16" s="110">
        <v>5085.09</v>
      </c>
      <c r="BA16" s="113"/>
      <c r="BB16" s="110"/>
      <c r="BC16" s="111"/>
      <c r="BD16" s="204"/>
      <c r="BE16" s="88">
        <v>57.734169999999978</v>
      </c>
      <c r="BF16" s="28"/>
      <c r="BG16" s="28"/>
      <c r="BH16" s="226">
        <f t="shared" si="5"/>
        <v>57.734169999999978</v>
      </c>
      <c r="BJ16" s="110">
        <v>15513.61</v>
      </c>
      <c r="BK16" s="113">
        <v>1687.24</v>
      </c>
      <c r="BL16" s="110"/>
      <c r="BM16" s="111">
        <v>752.43</v>
      </c>
      <c r="BN16" s="204"/>
      <c r="BO16" s="88">
        <v>64.297970000000035</v>
      </c>
      <c r="BP16" s="328">
        <v>109.41702999999991</v>
      </c>
      <c r="BQ16" s="28"/>
      <c r="BR16" s="226">
        <f t="shared" si="6"/>
        <v>926.14499999999998</v>
      </c>
      <c r="BT16" s="110">
        <v>3989.73</v>
      </c>
      <c r="BU16" s="113">
        <v>1719.58</v>
      </c>
      <c r="BV16" s="110"/>
      <c r="BW16" s="111">
        <v>1.26</v>
      </c>
      <c r="BX16" s="204"/>
      <c r="BY16" s="215"/>
      <c r="BZ16" s="28"/>
      <c r="CA16" s="28"/>
      <c r="CB16" s="226">
        <f t="shared" si="7"/>
        <v>1.26</v>
      </c>
      <c r="CD16" s="110">
        <v>2279.5100000000002</v>
      </c>
      <c r="CE16" s="113"/>
      <c r="CF16" s="110"/>
      <c r="CG16" s="111">
        <v>64.08</v>
      </c>
      <c r="CH16" s="204"/>
      <c r="CI16" s="88"/>
      <c r="CJ16" s="328"/>
      <c r="CK16" s="28"/>
      <c r="CL16" s="226">
        <f t="shared" si="8"/>
        <v>64.08</v>
      </c>
      <c r="CN16" s="110">
        <v>1052.6300000000001</v>
      </c>
      <c r="CO16" s="110">
        <v>1010.32</v>
      </c>
      <c r="CP16" s="113">
        <v>1986.98</v>
      </c>
      <c r="CQ16" s="110"/>
      <c r="CR16" s="111">
        <v>373.11</v>
      </c>
      <c r="CS16" s="204"/>
      <c r="CT16" s="215"/>
      <c r="CU16" s="328">
        <v>124.21821</v>
      </c>
      <c r="CV16" s="28"/>
      <c r="CW16" s="226">
        <f t="shared" si="9"/>
        <v>497.32821000000001</v>
      </c>
    </row>
    <row r="17" spans="1:101" s="129" customFormat="1" x14ac:dyDescent="0.25">
      <c r="A17" s="109">
        <v>45851</v>
      </c>
      <c r="B17" s="139">
        <v>2384.39</v>
      </c>
      <c r="C17" s="140">
        <v>2678.06</v>
      </c>
      <c r="D17" s="139">
        <v>28.62</v>
      </c>
      <c r="E17" s="141">
        <v>129.33000000000001</v>
      </c>
      <c r="F17" s="204"/>
      <c r="G17" s="88"/>
      <c r="H17" s="28"/>
      <c r="I17" s="335"/>
      <c r="J17" s="226">
        <f t="shared" si="0"/>
        <v>129.33000000000001</v>
      </c>
      <c r="L17" s="110">
        <v>4213.49</v>
      </c>
      <c r="M17" s="113">
        <v>3071.51</v>
      </c>
      <c r="N17" s="110"/>
      <c r="O17" s="111">
        <v>9.5</v>
      </c>
      <c r="P17" s="204"/>
      <c r="Q17" s="88">
        <v>380.71715999999981</v>
      </c>
      <c r="R17" s="328"/>
      <c r="S17" s="335"/>
      <c r="T17" s="226">
        <f t="shared" si="1"/>
        <v>390.21715999999981</v>
      </c>
      <c r="U17" s="138"/>
      <c r="V17" s="110"/>
      <c r="W17" s="113"/>
      <c r="X17" s="110"/>
      <c r="Y17" s="111"/>
      <c r="Z17" s="204"/>
      <c r="AA17" s="88">
        <v>7.5690800000000138</v>
      </c>
      <c r="AB17" s="28"/>
      <c r="AC17" s="28"/>
      <c r="AD17" s="226">
        <f t="shared" si="2"/>
        <v>7.5690800000000138</v>
      </c>
      <c r="AF17" s="110">
        <v>1794.46</v>
      </c>
      <c r="AG17" s="113">
        <v>1187.56</v>
      </c>
      <c r="AH17" s="110"/>
      <c r="AI17" s="111"/>
      <c r="AJ17" s="204"/>
      <c r="AK17" s="215"/>
      <c r="AL17" s="28"/>
      <c r="AM17" s="28"/>
      <c r="AN17" s="226">
        <f t="shared" si="3"/>
        <v>0</v>
      </c>
      <c r="AP17" s="110">
        <v>2637.91</v>
      </c>
      <c r="AQ17" s="110">
        <v>974.1</v>
      </c>
      <c r="AR17" s="110"/>
      <c r="AS17" s="115">
        <v>14.16</v>
      </c>
      <c r="AT17" s="204"/>
      <c r="AU17" s="88">
        <v>48.120479999999958</v>
      </c>
      <c r="AV17" s="328"/>
      <c r="AW17" s="335"/>
      <c r="AX17" s="226">
        <f t="shared" si="4"/>
        <v>62.280479999999955</v>
      </c>
      <c r="AZ17" s="110">
        <v>3356.87</v>
      </c>
      <c r="BA17" s="113"/>
      <c r="BB17" s="110"/>
      <c r="BC17" s="111"/>
      <c r="BD17" s="204"/>
      <c r="BE17" s="88">
        <v>6.8762899999999831</v>
      </c>
      <c r="BF17" s="28"/>
      <c r="BG17" s="28"/>
      <c r="BH17" s="226">
        <f t="shared" si="5"/>
        <v>6.8762899999999831</v>
      </c>
      <c r="BJ17" s="110">
        <v>11975.63</v>
      </c>
      <c r="BK17" s="113">
        <v>858.48</v>
      </c>
      <c r="BL17" s="110"/>
      <c r="BM17" s="111">
        <v>12.15</v>
      </c>
      <c r="BN17" s="204"/>
      <c r="BO17" s="88">
        <v>32.946359999999999</v>
      </c>
      <c r="BP17" s="328"/>
      <c r="BQ17" s="28"/>
      <c r="BR17" s="226">
        <f t="shared" si="6"/>
        <v>45.096359999999997</v>
      </c>
      <c r="BT17" s="110">
        <v>1545.64</v>
      </c>
      <c r="BU17" s="113">
        <v>1325.59</v>
      </c>
      <c r="BV17" s="110"/>
      <c r="BW17" s="111"/>
      <c r="BX17" s="204"/>
      <c r="BY17" s="215"/>
      <c r="BZ17" s="28"/>
      <c r="CA17" s="28"/>
      <c r="CB17" s="226">
        <f t="shared" si="7"/>
        <v>0</v>
      </c>
      <c r="CD17" s="110">
        <v>585.75</v>
      </c>
      <c r="CE17" s="113"/>
      <c r="CF17" s="110"/>
      <c r="CG17" s="111">
        <v>17.82</v>
      </c>
      <c r="CH17" s="204"/>
      <c r="CI17" s="88"/>
      <c r="CJ17" s="328"/>
      <c r="CK17" s="28"/>
      <c r="CL17" s="226">
        <f t="shared" si="8"/>
        <v>17.82</v>
      </c>
      <c r="CN17" s="110">
        <v>564.98</v>
      </c>
      <c r="CO17" s="110">
        <v>807.38</v>
      </c>
      <c r="CP17" s="113">
        <v>1574.77</v>
      </c>
      <c r="CQ17" s="110"/>
      <c r="CR17" s="111">
        <v>9.3800000000000008</v>
      </c>
      <c r="CS17" s="204"/>
      <c r="CT17" s="215"/>
      <c r="CU17" s="328"/>
      <c r="CV17" s="28"/>
      <c r="CW17" s="226">
        <f t="shared" si="9"/>
        <v>9.3800000000000008</v>
      </c>
    </row>
    <row r="18" spans="1:101" s="129" customFormat="1" x14ac:dyDescent="0.25">
      <c r="A18" s="109">
        <v>45852</v>
      </c>
      <c r="B18" s="139">
        <v>3368.57</v>
      </c>
      <c r="C18" s="140">
        <v>2023.64</v>
      </c>
      <c r="D18" s="139">
        <v>1.19</v>
      </c>
      <c r="E18" s="141">
        <v>189.28</v>
      </c>
      <c r="F18" s="204"/>
      <c r="G18" s="88"/>
      <c r="H18" s="28"/>
      <c r="I18" s="335"/>
      <c r="J18" s="226">
        <f t="shared" si="0"/>
        <v>189.28</v>
      </c>
      <c r="L18" s="110">
        <v>4646.99</v>
      </c>
      <c r="M18" s="113">
        <v>4182.38</v>
      </c>
      <c r="N18" s="110"/>
      <c r="O18" s="111">
        <v>16.28</v>
      </c>
      <c r="P18" s="204"/>
      <c r="Q18" s="88">
        <v>13.300740000000006</v>
      </c>
      <c r="R18" s="328"/>
      <c r="S18" s="335">
        <v>171.03428720000011</v>
      </c>
      <c r="T18" s="226">
        <f t="shared" si="1"/>
        <v>200.6150272000001</v>
      </c>
      <c r="U18" s="138"/>
      <c r="V18" s="110">
        <v>1190.3699999999999</v>
      </c>
      <c r="W18" s="113"/>
      <c r="X18" s="110"/>
      <c r="Y18" s="111"/>
      <c r="Z18" s="204"/>
      <c r="AA18" s="88"/>
      <c r="AB18" s="28"/>
      <c r="AC18" s="28"/>
      <c r="AD18" s="226">
        <f t="shared" si="2"/>
        <v>0</v>
      </c>
      <c r="AF18" s="110">
        <v>2865.01</v>
      </c>
      <c r="AG18" s="113">
        <v>784.03</v>
      </c>
      <c r="AH18" s="110"/>
      <c r="AI18" s="111"/>
      <c r="AJ18" s="204"/>
      <c r="AK18" s="215"/>
      <c r="AL18" s="28"/>
      <c r="AM18" s="28"/>
      <c r="AN18" s="226">
        <f t="shared" si="3"/>
        <v>0</v>
      </c>
      <c r="AP18" s="110">
        <v>5913.72</v>
      </c>
      <c r="AQ18" s="110">
        <v>1055.51</v>
      </c>
      <c r="AR18" s="110"/>
      <c r="AS18" s="115">
        <v>183.3</v>
      </c>
      <c r="AT18" s="204"/>
      <c r="AU18" s="88">
        <v>-16.186680000000162</v>
      </c>
      <c r="AV18" s="328"/>
      <c r="AW18" s="335">
        <v>6.3207242999999664</v>
      </c>
      <c r="AX18" s="226">
        <f t="shared" si="4"/>
        <v>173.43404429999981</v>
      </c>
      <c r="AZ18" s="110">
        <v>7576.93</v>
      </c>
      <c r="BA18" s="113"/>
      <c r="BB18" s="110"/>
      <c r="BC18" s="111"/>
      <c r="BD18" s="204"/>
      <c r="BE18" s="88">
        <v>11.186820000000012</v>
      </c>
      <c r="BF18" s="28"/>
      <c r="BG18" s="28"/>
      <c r="BH18" s="226">
        <f t="shared" si="5"/>
        <v>11.186820000000012</v>
      </c>
      <c r="BJ18" s="110">
        <v>8504.0499999999993</v>
      </c>
      <c r="BK18" s="113">
        <v>755.09</v>
      </c>
      <c r="BL18" s="110"/>
      <c r="BM18" s="111">
        <v>247.12</v>
      </c>
      <c r="BN18" s="204"/>
      <c r="BO18" s="88">
        <v>31.66054000000004</v>
      </c>
      <c r="BP18" s="328">
        <v>75.974990000000162</v>
      </c>
      <c r="BQ18" s="28"/>
      <c r="BR18" s="226">
        <f t="shared" si="6"/>
        <v>354.75553000000019</v>
      </c>
      <c r="BT18" s="110">
        <v>3349.1</v>
      </c>
      <c r="BU18" s="113">
        <v>1418.65</v>
      </c>
      <c r="BV18" s="110"/>
      <c r="BW18" s="111">
        <v>4.55</v>
      </c>
      <c r="BX18" s="204"/>
      <c r="BY18" s="215"/>
      <c r="BZ18" s="28"/>
      <c r="CA18" s="28"/>
      <c r="CB18" s="226">
        <f t="shared" si="7"/>
        <v>4.55</v>
      </c>
      <c r="CD18" s="110">
        <v>2980.51</v>
      </c>
      <c r="CE18" s="113"/>
      <c r="CF18" s="110"/>
      <c r="CG18" s="111">
        <v>82.32</v>
      </c>
      <c r="CH18" s="204"/>
      <c r="CI18" s="88">
        <v>50.949960000000033</v>
      </c>
      <c r="CJ18" s="328"/>
      <c r="CK18" s="28"/>
      <c r="CL18" s="226">
        <f t="shared" si="8"/>
        <v>133.26996000000003</v>
      </c>
      <c r="CN18" s="110">
        <v>1542.16</v>
      </c>
      <c r="CO18" s="110">
        <v>479.85</v>
      </c>
      <c r="CP18" s="113">
        <v>1656.02</v>
      </c>
      <c r="CQ18" s="110"/>
      <c r="CR18" s="111">
        <v>597.4</v>
      </c>
      <c r="CS18" s="204"/>
      <c r="CT18" s="215"/>
      <c r="CU18" s="328">
        <v>37.528430000000014</v>
      </c>
      <c r="CV18" s="28"/>
      <c r="CW18" s="226">
        <f t="shared" si="9"/>
        <v>634.92842999999993</v>
      </c>
    </row>
    <row r="19" spans="1:101" s="129" customFormat="1" x14ac:dyDescent="0.25">
      <c r="A19" s="109">
        <v>45853</v>
      </c>
      <c r="B19" s="139">
        <v>4013.56</v>
      </c>
      <c r="C19" s="140">
        <v>3236.29</v>
      </c>
      <c r="D19" s="139">
        <v>7.29</v>
      </c>
      <c r="E19" s="141">
        <v>246.2</v>
      </c>
      <c r="F19" s="204"/>
      <c r="G19" s="88"/>
      <c r="H19" s="28"/>
      <c r="I19" s="335"/>
      <c r="J19" s="226">
        <f t="shared" si="0"/>
        <v>246.2</v>
      </c>
      <c r="L19" s="110">
        <v>4651.3500000000004</v>
      </c>
      <c r="M19" s="113">
        <v>3294.69</v>
      </c>
      <c r="N19" s="110"/>
      <c r="O19" s="111">
        <v>32.11</v>
      </c>
      <c r="P19" s="204"/>
      <c r="Q19" s="88">
        <v>70.271050000000017</v>
      </c>
      <c r="R19" s="328"/>
      <c r="S19" s="335"/>
      <c r="T19" s="226">
        <f t="shared" si="1"/>
        <v>102.38105000000002</v>
      </c>
      <c r="U19" s="138"/>
      <c r="V19" s="110">
        <v>740.22</v>
      </c>
      <c r="W19" s="113"/>
      <c r="X19" s="110"/>
      <c r="Y19" s="111"/>
      <c r="Z19" s="204"/>
      <c r="AA19" s="88">
        <v>6.6170799999999872</v>
      </c>
      <c r="AB19" s="28"/>
      <c r="AC19" s="28"/>
      <c r="AD19" s="226">
        <f t="shared" si="2"/>
        <v>6.6170799999999872</v>
      </c>
      <c r="AF19" s="110">
        <v>3956.96</v>
      </c>
      <c r="AG19" s="113">
        <v>150</v>
      </c>
      <c r="AH19" s="110"/>
      <c r="AI19" s="111"/>
      <c r="AJ19" s="204"/>
      <c r="AK19" s="215"/>
      <c r="AL19" s="28"/>
      <c r="AM19" s="28"/>
      <c r="AN19" s="226">
        <f t="shared" si="3"/>
        <v>0</v>
      </c>
      <c r="AP19" s="110">
        <v>6638.13</v>
      </c>
      <c r="AQ19" s="110">
        <v>1169.4100000000001</v>
      </c>
      <c r="AR19" s="110"/>
      <c r="AS19" s="115">
        <v>181.44</v>
      </c>
      <c r="AT19" s="204"/>
      <c r="AU19" s="88">
        <v>-16.090460000000078</v>
      </c>
      <c r="AV19" s="328"/>
      <c r="AW19" s="335">
        <v>15.741963599999963</v>
      </c>
      <c r="AX19" s="226">
        <f t="shared" si="4"/>
        <v>181.0915035999999</v>
      </c>
      <c r="AZ19" s="110">
        <v>5492.79</v>
      </c>
      <c r="BA19" s="113"/>
      <c r="BB19" s="110"/>
      <c r="BC19" s="111"/>
      <c r="BD19" s="204"/>
      <c r="BE19" s="88">
        <v>66.054069999999967</v>
      </c>
      <c r="BF19" s="28"/>
      <c r="BG19" s="28"/>
      <c r="BH19" s="226">
        <f t="shared" si="5"/>
        <v>66.054069999999967</v>
      </c>
      <c r="BJ19" s="110">
        <v>22800.560000000001</v>
      </c>
      <c r="BK19" s="113">
        <v>755.42</v>
      </c>
      <c r="BL19" s="110"/>
      <c r="BM19" s="111">
        <v>255.55</v>
      </c>
      <c r="BN19" s="204"/>
      <c r="BO19" s="88">
        <v>141.25531000000007</v>
      </c>
      <c r="BP19" s="328"/>
      <c r="BQ19" s="28"/>
      <c r="BR19" s="226">
        <f t="shared" si="6"/>
        <v>396.80531000000008</v>
      </c>
      <c r="BT19" s="110">
        <v>1914.58</v>
      </c>
      <c r="BU19" s="113">
        <v>1411.22</v>
      </c>
      <c r="BV19" s="110"/>
      <c r="BW19" s="111">
        <v>4.53</v>
      </c>
      <c r="BX19" s="204"/>
      <c r="BY19" s="215"/>
      <c r="BZ19" s="28"/>
      <c r="CA19" s="28"/>
      <c r="CB19" s="226">
        <f t="shared" si="7"/>
        <v>4.53</v>
      </c>
      <c r="CD19" s="110">
        <v>1355.11</v>
      </c>
      <c r="CE19" s="113"/>
      <c r="CF19" s="110"/>
      <c r="CG19" s="111">
        <v>141.25</v>
      </c>
      <c r="CH19" s="204"/>
      <c r="CI19" s="88"/>
      <c r="CJ19" s="328">
        <v>19.519999999999982</v>
      </c>
      <c r="CK19" s="28"/>
      <c r="CL19" s="226">
        <f t="shared" si="8"/>
        <v>160.76999999999998</v>
      </c>
      <c r="CN19" s="110">
        <v>1520.7</v>
      </c>
      <c r="CO19" s="110">
        <v>599.67999999999995</v>
      </c>
      <c r="CP19" s="113">
        <v>1648.3</v>
      </c>
      <c r="CQ19" s="110"/>
      <c r="CR19" s="111">
        <v>669.98</v>
      </c>
      <c r="CS19" s="204"/>
      <c r="CT19" s="215"/>
      <c r="CU19" s="328"/>
      <c r="CV19" s="28"/>
      <c r="CW19" s="226">
        <f t="shared" si="9"/>
        <v>669.98</v>
      </c>
    </row>
    <row r="20" spans="1:101" s="129" customFormat="1" x14ac:dyDescent="0.25">
      <c r="A20" s="109">
        <v>45854</v>
      </c>
      <c r="B20" s="139">
        <v>3843.62</v>
      </c>
      <c r="C20" s="140">
        <v>4189.58</v>
      </c>
      <c r="D20" s="139">
        <v>55.81</v>
      </c>
      <c r="E20" s="141">
        <v>390.91</v>
      </c>
      <c r="F20" s="204"/>
      <c r="G20" s="88">
        <v>19.287649999999971</v>
      </c>
      <c r="H20" s="28"/>
      <c r="I20" s="335"/>
      <c r="J20" s="226">
        <f t="shared" si="0"/>
        <v>410.19765000000001</v>
      </c>
      <c r="L20" s="110">
        <v>5857.16</v>
      </c>
      <c r="M20" s="113">
        <v>2725</v>
      </c>
      <c r="N20" s="110"/>
      <c r="O20" s="111">
        <v>25.31</v>
      </c>
      <c r="P20" s="204"/>
      <c r="Q20" s="88">
        <v>46.129790000000014</v>
      </c>
      <c r="R20" s="328">
        <v>31.739999999999995</v>
      </c>
      <c r="S20" s="335">
        <v>189.2184000000002</v>
      </c>
      <c r="T20" s="226">
        <f t="shared" si="1"/>
        <v>292.39819000000023</v>
      </c>
      <c r="U20" s="138"/>
      <c r="V20" s="110">
        <v>1890.05</v>
      </c>
      <c r="W20" s="113"/>
      <c r="X20" s="110"/>
      <c r="Y20" s="111"/>
      <c r="Z20" s="204"/>
      <c r="AA20" s="88">
        <v>18.92240000000001</v>
      </c>
      <c r="AB20" s="28"/>
      <c r="AC20" s="28"/>
      <c r="AD20" s="226">
        <f t="shared" si="2"/>
        <v>18.92240000000001</v>
      </c>
      <c r="AF20" s="110">
        <v>4889.12</v>
      </c>
      <c r="AG20" s="113">
        <v>495</v>
      </c>
      <c r="AH20" s="110"/>
      <c r="AI20" s="111"/>
      <c r="AJ20" s="204"/>
      <c r="AK20" s="215"/>
      <c r="AL20" s="28"/>
      <c r="AM20" s="28"/>
      <c r="AN20" s="226">
        <f t="shared" si="3"/>
        <v>0</v>
      </c>
      <c r="AP20" s="110">
        <v>3227.6</v>
      </c>
      <c r="AQ20" s="110">
        <v>1106.67</v>
      </c>
      <c r="AR20" s="110"/>
      <c r="AS20" s="115">
        <v>136.18</v>
      </c>
      <c r="AT20" s="204"/>
      <c r="AU20" s="88">
        <v>-57.688600000000179</v>
      </c>
      <c r="AV20" s="328">
        <v>52.011170000000021</v>
      </c>
      <c r="AW20" s="335">
        <v>16.949137399999941</v>
      </c>
      <c r="AX20" s="226">
        <f t="shared" si="4"/>
        <v>147.4517073999998</v>
      </c>
      <c r="AZ20" s="110">
        <v>13706.37</v>
      </c>
      <c r="BA20" s="113"/>
      <c r="BB20" s="110"/>
      <c r="BC20" s="111"/>
      <c r="BD20" s="204"/>
      <c r="BE20" s="88">
        <v>20.727749999999986</v>
      </c>
      <c r="BF20" s="28"/>
      <c r="BG20" s="28"/>
      <c r="BH20" s="226">
        <f t="shared" si="5"/>
        <v>20.727749999999986</v>
      </c>
      <c r="BJ20" s="110">
        <v>28606.04</v>
      </c>
      <c r="BK20" s="113">
        <v>727.06</v>
      </c>
      <c r="BL20" s="110"/>
      <c r="BM20" s="111">
        <v>248.1</v>
      </c>
      <c r="BN20" s="204"/>
      <c r="BO20" s="88">
        <v>92.49191000000009</v>
      </c>
      <c r="BP20" s="328">
        <v>57.797980000000052</v>
      </c>
      <c r="BQ20" s="28"/>
      <c r="BR20" s="226">
        <f t="shared" si="6"/>
        <v>398.38989000000015</v>
      </c>
      <c r="BT20" s="110">
        <v>1941.68</v>
      </c>
      <c r="BU20" s="113">
        <v>699.8</v>
      </c>
      <c r="BV20" s="110"/>
      <c r="BW20" s="111">
        <v>7.94</v>
      </c>
      <c r="BX20" s="204"/>
      <c r="BY20" s="215"/>
      <c r="BZ20" s="28"/>
      <c r="CA20" s="28"/>
      <c r="CB20" s="226">
        <f t="shared" si="7"/>
        <v>7.94</v>
      </c>
      <c r="CD20" s="110">
        <v>1230.03</v>
      </c>
      <c r="CE20" s="113"/>
      <c r="CF20" s="110"/>
      <c r="CG20" s="111">
        <v>13.17</v>
      </c>
      <c r="CH20" s="204"/>
      <c r="CI20" s="88">
        <v>35.534499999999966</v>
      </c>
      <c r="CJ20" s="328"/>
      <c r="CK20" s="28"/>
      <c r="CL20" s="226">
        <f t="shared" si="8"/>
        <v>48.704499999999967</v>
      </c>
      <c r="CN20" s="110">
        <v>1002.85</v>
      </c>
      <c r="CO20" s="110">
        <v>542.73</v>
      </c>
      <c r="CP20" s="113">
        <v>2018.9</v>
      </c>
      <c r="CQ20" s="110"/>
      <c r="CR20" s="111">
        <v>779.27</v>
      </c>
      <c r="CS20" s="204"/>
      <c r="CT20" s="215"/>
      <c r="CU20" s="328"/>
      <c r="CV20" s="28"/>
      <c r="CW20" s="226">
        <f t="shared" si="9"/>
        <v>779.27</v>
      </c>
    </row>
    <row r="21" spans="1:101" s="129" customFormat="1" x14ac:dyDescent="0.25">
      <c r="A21" s="109">
        <v>45855</v>
      </c>
      <c r="B21" s="139">
        <v>1565.34</v>
      </c>
      <c r="C21" s="140">
        <v>2374.31</v>
      </c>
      <c r="D21" s="139">
        <v>5.56</v>
      </c>
      <c r="E21" s="141">
        <v>145.75</v>
      </c>
      <c r="F21" s="204"/>
      <c r="G21" s="88"/>
      <c r="H21" s="28"/>
      <c r="I21" s="335"/>
      <c r="J21" s="226">
        <f t="shared" si="0"/>
        <v>145.75</v>
      </c>
      <c r="L21" s="110">
        <v>6929.78</v>
      </c>
      <c r="M21" s="113">
        <v>3025.98</v>
      </c>
      <c r="N21" s="110"/>
      <c r="O21" s="111">
        <v>37.42</v>
      </c>
      <c r="P21" s="204"/>
      <c r="Q21" s="88">
        <v>71.479679999999973</v>
      </c>
      <c r="R21" s="328"/>
      <c r="S21" s="335"/>
      <c r="T21" s="226">
        <f t="shared" si="1"/>
        <v>108.89967999999998</v>
      </c>
      <c r="U21" s="138"/>
      <c r="V21" s="110">
        <v>2199.8000000000002</v>
      </c>
      <c r="W21" s="113"/>
      <c r="X21" s="110"/>
      <c r="Y21" s="111"/>
      <c r="Z21" s="204"/>
      <c r="AA21" s="88">
        <v>37.152480000000054</v>
      </c>
      <c r="AB21" s="28"/>
      <c r="AC21" s="28"/>
      <c r="AD21" s="226">
        <f t="shared" si="2"/>
        <v>37.152480000000054</v>
      </c>
      <c r="AF21" s="110">
        <v>6027.03</v>
      </c>
      <c r="AG21" s="113">
        <v>515.15</v>
      </c>
      <c r="AH21" s="110"/>
      <c r="AI21" s="111"/>
      <c r="AJ21" s="204"/>
      <c r="AK21" s="215"/>
      <c r="AL21" s="28"/>
      <c r="AM21" s="28"/>
      <c r="AN21" s="226">
        <f t="shared" si="3"/>
        <v>0</v>
      </c>
      <c r="AP21" s="110">
        <v>5027.9799999999996</v>
      </c>
      <c r="AQ21" s="110">
        <v>996.17</v>
      </c>
      <c r="AR21" s="110"/>
      <c r="AS21" s="115">
        <v>54.15</v>
      </c>
      <c r="AT21" s="204"/>
      <c r="AU21" s="88">
        <v>25.870869999999925</v>
      </c>
      <c r="AV21" s="328"/>
      <c r="AW21" s="335">
        <v>20.346954699999984</v>
      </c>
      <c r="AX21" s="226">
        <f t="shared" si="4"/>
        <v>100.3678246999999</v>
      </c>
      <c r="AZ21" s="110">
        <v>2526.25</v>
      </c>
      <c r="BA21" s="113"/>
      <c r="BB21" s="110"/>
      <c r="BC21" s="111"/>
      <c r="BD21" s="204"/>
      <c r="BE21" s="88">
        <v>6.9198000000000093</v>
      </c>
      <c r="BF21" s="28"/>
      <c r="BG21" s="28"/>
      <c r="BH21" s="226">
        <f t="shared" si="5"/>
        <v>6.9198000000000093</v>
      </c>
      <c r="BJ21" s="110">
        <v>17489.080000000002</v>
      </c>
      <c r="BK21" s="113">
        <v>900.3</v>
      </c>
      <c r="BL21" s="110"/>
      <c r="BM21" s="111">
        <v>71.53</v>
      </c>
      <c r="BN21" s="204"/>
      <c r="BO21" s="88">
        <v>65.485259999999982</v>
      </c>
      <c r="BP21" s="328">
        <v>28.738000000000056</v>
      </c>
      <c r="BQ21" s="28"/>
      <c r="BR21" s="226">
        <f t="shared" si="6"/>
        <v>165.75326000000004</v>
      </c>
      <c r="BT21" s="110">
        <v>2244.38</v>
      </c>
      <c r="BU21" s="113">
        <v>1122.29</v>
      </c>
      <c r="BV21" s="110"/>
      <c r="BW21" s="111">
        <v>0.98</v>
      </c>
      <c r="BX21" s="204"/>
      <c r="BY21" s="215"/>
      <c r="BZ21" s="28"/>
      <c r="CA21" s="28"/>
      <c r="CB21" s="226">
        <f t="shared" si="7"/>
        <v>0.98</v>
      </c>
      <c r="CD21" s="110">
        <v>1871.42</v>
      </c>
      <c r="CE21" s="113"/>
      <c r="CF21" s="110"/>
      <c r="CG21" s="111">
        <v>543.88</v>
      </c>
      <c r="CH21" s="204"/>
      <c r="CI21" s="88"/>
      <c r="CJ21" s="328"/>
      <c r="CK21" s="28"/>
      <c r="CL21" s="226">
        <f t="shared" si="8"/>
        <v>543.88</v>
      </c>
      <c r="CN21" s="110">
        <v>1473</v>
      </c>
      <c r="CO21" s="110">
        <v>955.89</v>
      </c>
      <c r="CP21" s="113">
        <v>1957.48</v>
      </c>
      <c r="CQ21" s="110"/>
      <c r="CR21" s="111">
        <v>859.89</v>
      </c>
      <c r="CS21" s="204"/>
      <c r="CT21" s="215"/>
      <c r="CU21" s="328"/>
      <c r="CV21" s="28"/>
      <c r="CW21" s="226">
        <f t="shared" si="9"/>
        <v>859.89</v>
      </c>
    </row>
    <row r="22" spans="1:101" s="129" customFormat="1" x14ac:dyDescent="0.25">
      <c r="A22" s="109">
        <v>45856</v>
      </c>
      <c r="B22" s="139">
        <v>5985.83</v>
      </c>
      <c r="C22" s="140">
        <v>5060.46</v>
      </c>
      <c r="D22" s="139">
        <v>54.63</v>
      </c>
      <c r="E22" s="141">
        <v>185.86</v>
      </c>
      <c r="F22" s="204"/>
      <c r="G22" s="88">
        <v>34.922009999999986</v>
      </c>
      <c r="H22" s="28"/>
      <c r="I22" s="335"/>
      <c r="J22" s="226">
        <f t="shared" si="0"/>
        <v>220.78201000000001</v>
      </c>
      <c r="L22" s="110">
        <v>6913.71</v>
      </c>
      <c r="M22" s="113">
        <v>2886.42</v>
      </c>
      <c r="N22" s="110"/>
      <c r="O22" s="111">
        <v>56.76</v>
      </c>
      <c r="P22" s="204"/>
      <c r="Q22" s="88">
        <v>35.916839999999979</v>
      </c>
      <c r="R22" s="328"/>
      <c r="S22" s="335">
        <v>144.16640000000007</v>
      </c>
      <c r="T22" s="226">
        <f t="shared" si="1"/>
        <v>236.84324000000004</v>
      </c>
      <c r="U22" s="138"/>
      <c r="V22" s="110">
        <v>1135.04</v>
      </c>
      <c r="W22" s="113"/>
      <c r="X22" s="110"/>
      <c r="Y22" s="111"/>
      <c r="Z22" s="204"/>
      <c r="AA22" s="88">
        <v>11.273719999999969</v>
      </c>
      <c r="AB22" s="28"/>
      <c r="AC22" s="28"/>
      <c r="AD22" s="226">
        <f t="shared" si="2"/>
        <v>11.273719999999969</v>
      </c>
      <c r="AF22" s="110">
        <v>6249.02</v>
      </c>
      <c r="AG22" s="113">
        <v>690.97</v>
      </c>
      <c r="AH22" s="110"/>
      <c r="AI22" s="111"/>
      <c r="AJ22" s="204"/>
      <c r="AK22" s="215"/>
      <c r="AL22" s="28"/>
      <c r="AM22" s="28"/>
      <c r="AN22" s="226">
        <f t="shared" si="3"/>
        <v>0</v>
      </c>
      <c r="AP22" s="110">
        <v>4714.72</v>
      </c>
      <c r="AQ22" s="110">
        <v>1123.77</v>
      </c>
      <c r="AR22" s="110"/>
      <c r="AS22" s="115">
        <v>77.13</v>
      </c>
      <c r="AT22" s="204"/>
      <c r="AU22" s="88">
        <v>7.0528999999996671</v>
      </c>
      <c r="AV22" s="328"/>
      <c r="AW22" s="335">
        <v>13.312025099999971</v>
      </c>
      <c r="AX22" s="226">
        <f t="shared" si="4"/>
        <v>97.494925099999634</v>
      </c>
      <c r="AZ22" s="110">
        <v>4730.41</v>
      </c>
      <c r="BA22" s="113"/>
      <c r="BB22" s="110"/>
      <c r="BC22" s="111"/>
      <c r="BD22" s="204"/>
      <c r="BE22" s="88">
        <v>23.661699999999996</v>
      </c>
      <c r="BF22" s="28"/>
      <c r="BG22" s="28"/>
      <c r="BH22" s="226">
        <f t="shared" si="5"/>
        <v>23.661699999999996</v>
      </c>
      <c r="BJ22" s="110">
        <v>31825.47</v>
      </c>
      <c r="BK22" s="113">
        <v>1063.98</v>
      </c>
      <c r="BL22" s="110"/>
      <c r="BM22" s="111">
        <v>204.17</v>
      </c>
      <c r="BN22" s="204"/>
      <c r="BO22" s="88">
        <v>54.201620000000005</v>
      </c>
      <c r="BP22" s="328">
        <v>16.451979999999992</v>
      </c>
      <c r="BQ22" s="28"/>
      <c r="BR22" s="226">
        <f t="shared" si="6"/>
        <v>274.8236</v>
      </c>
      <c r="BT22" s="110">
        <v>2991.73</v>
      </c>
      <c r="BU22" s="113">
        <v>1289.8900000000001</v>
      </c>
      <c r="BV22" s="110"/>
      <c r="BW22" s="111">
        <v>196.92</v>
      </c>
      <c r="BX22" s="204"/>
      <c r="BY22" s="215"/>
      <c r="BZ22" s="28"/>
      <c r="CA22" s="28"/>
      <c r="CB22" s="226">
        <f t="shared" si="7"/>
        <v>196.92</v>
      </c>
      <c r="CD22" s="110">
        <v>3377.93</v>
      </c>
      <c r="CE22" s="113"/>
      <c r="CF22" s="110"/>
      <c r="CG22" s="111">
        <v>126.76</v>
      </c>
      <c r="CH22" s="204"/>
      <c r="CI22" s="88"/>
      <c r="CJ22" s="328">
        <v>12.830000000000005</v>
      </c>
      <c r="CK22" s="28"/>
      <c r="CL22" s="226">
        <f t="shared" si="8"/>
        <v>139.59</v>
      </c>
      <c r="CN22" s="110">
        <v>1552.45</v>
      </c>
      <c r="CO22" s="110">
        <v>906.08</v>
      </c>
      <c r="CP22" s="113">
        <v>1610.88</v>
      </c>
      <c r="CQ22" s="110"/>
      <c r="CR22" s="111">
        <v>788.91</v>
      </c>
      <c r="CS22" s="204"/>
      <c r="CT22" s="215"/>
      <c r="CU22" s="328"/>
      <c r="CV22" s="28"/>
      <c r="CW22" s="226">
        <f t="shared" si="9"/>
        <v>788.91</v>
      </c>
    </row>
    <row r="23" spans="1:101" s="129" customFormat="1" x14ac:dyDescent="0.25">
      <c r="A23" s="109">
        <v>45857</v>
      </c>
      <c r="B23" s="139">
        <v>5752.71</v>
      </c>
      <c r="C23" s="140">
        <v>1940.85</v>
      </c>
      <c r="D23" s="139">
        <v>8.1999999999999993</v>
      </c>
      <c r="E23" s="141">
        <v>245.86</v>
      </c>
      <c r="F23" s="204"/>
      <c r="G23" s="88"/>
      <c r="H23" s="28"/>
      <c r="I23" s="335"/>
      <c r="J23" s="226">
        <f t="shared" si="0"/>
        <v>245.86</v>
      </c>
      <c r="L23" s="110">
        <v>5406.37</v>
      </c>
      <c r="M23" s="113">
        <v>3520.78</v>
      </c>
      <c r="N23" s="110"/>
      <c r="O23" s="111">
        <v>15.36</v>
      </c>
      <c r="P23" s="204"/>
      <c r="Q23" s="88">
        <v>510.09028999999998</v>
      </c>
      <c r="R23" s="328">
        <v>40.80219000000001</v>
      </c>
      <c r="S23" s="335"/>
      <c r="T23" s="226">
        <f t="shared" si="1"/>
        <v>566.25247999999999</v>
      </c>
      <c r="U23" s="138"/>
      <c r="V23" s="110">
        <v>3673.59</v>
      </c>
      <c r="W23" s="113"/>
      <c r="X23" s="110"/>
      <c r="Y23" s="111"/>
      <c r="Z23" s="204"/>
      <c r="AA23" s="88">
        <v>11.697360000000003</v>
      </c>
      <c r="AB23" s="28"/>
      <c r="AC23" s="28"/>
      <c r="AD23" s="226">
        <f t="shared" si="2"/>
        <v>11.697360000000003</v>
      </c>
      <c r="AF23" s="110">
        <v>3838.95</v>
      </c>
      <c r="AG23" s="113">
        <v>428.39</v>
      </c>
      <c r="AH23" s="110"/>
      <c r="AI23" s="111"/>
      <c r="AJ23" s="204"/>
      <c r="AK23" s="215"/>
      <c r="AL23" s="28"/>
      <c r="AM23" s="28"/>
      <c r="AN23" s="226">
        <f t="shared" si="3"/>
        <v>0</v>
      </c>
      <c r="AP23" s="110">
        <v>3780.28</v>
      </c>
      <c r="AQ23" s="110">
        <v>883.44</v>
      </c>
      <c r="AR23" s="110"/>
      <c r="AS23" s="115">
        <v>22.62</v>
      </c>
      <c r="AT23" s="204"/>
      <c r="AU23" s="88">
        <v>-21.909070000000085</v>
      </c>
      <c r="AV23" s="328"/>
      <c r="AW23" s="335"/>
      <c r="AX23" s="226">
        <f t="shared" si="4"/>
        <v>0.71092999999991591</v>
      </c>
      <c r="AZ23" s="110">
        <v>2438.59</v>
      </c>
      <c r="BA23" s="113"/>
      <c r="BB23" s="110"/>
      <c r="BC23" s="111"/>
      <c r="BD23" s="204"/>
      <c r="BE23" s="88">
        <v>122.80212999999968</v>
      </c>
      <c r="BF23" s="28"/>
      <c r="BG23" s="28"/>
      <c r="BH23" s="226">
        <f t="shared" si="5"/>
        <v>122.80212999999968</v>
      </c>
      <c r="BJ23" s="110">
        <v>18180.93</v>
      </c>
      <c r="BK23" s="113">
        <v>968.95</v>
      </c>
      <c r="BL23" s="110"/>
      <c r="BM23" s="111">
        <v>134.51</v>
      </c>
      <c r="BN23" s="204"/>
      <c r="BO23" s="88">
        <v>34.052090000000106</v>
      </c>
      <c r="BP23" s="328">
        <v>45.5</v>
      </c>
      <c r="BQ23" s="28"/>
      <c r="BR23" s="226">
        <f t="shared" si="6"/>
        <v>214.0620900000001</v>
      </c>
      <c r="BT23" s="110">
        <v>3451.06</v>
      </c>
      <c r="BU23" s="113">
        <v>1349.16</v>
      </c>
      <c r="BV23" s="110"/>
      <c r="BW23" s="111">
        <v>90.78</v>
      </c>
      <c r="BX23" s="204"/>
      <c r="BY23" s="215"/>
      <c r="BZ23" s="28"/>
      <c r="CA23" s="28"/>
      <c r="CB23" s="226">
        <f t="shared" si="7"/>
        <v>90.78</v>
      </c>
      <c r="CD23" s="110">
        <v>2708.54</v>
      </c>
      <c r="CE23" s="113"/>
      <c r="CF23" s="110"/>
      <c r="CG23" s="111">
        <v>248.7</v>
      </c>
      <c r="CH23" s="204"/>
      <c r="CI23" s="88">
        <v>77.267020000000002</v>
      </c>
      <c r="CJ23" s="328"/>
      <c r="CK23" s="28"/>
      <c r="CL23" s="226">
        <f t="shared" si="8"/>
        <v>325.96701999999999</v>
      </c>
      <c r="CN23" s="110">
        <v>2489.19</v>
      </c>
      <c r="CO23" s="110">
        <v>893.21</v>
      </c>
      <c r="CP23" s="113">
        <v>1979.19</v>
      </c>
      <c r="CQ23" s="110"/>
      <c r="CR23" s="111">
        <v>443.36</v>
      </c>
      <c r="CS23" s="204"/>
      <c r="CT23" s="215"/>
      <c r="CU23" s="328">
        <v>134.82372999999998</v>
      </c>
      <c r="CV23" s="28"/>
      <c r="CW23" s="226">
        <f t="shared" si="9"/>
        <v>578.18372999999997</v>
      </c>
    </row>
    <row r="24" spans="1:101" s="129" customFormat="1" x14ac:dyDescent="0.25">
      <c r="A24" s="109">
        <v>45858</v>
      </c>
      <c r="B24" s="139">
        <v>3206.16</v>
      </c>
      <c r="C24" s="140">
        <v>2777.53</v>
      </c>
      <c r="D24" s="139">
        <v>35.11</v>
      </c>
      <c r="E24" s="141">
        <v>200.51</v>
      </c>
      <c r="F24" s="204"/>
      <c r="G24" s="88"/>
      <c r="H24" s="28"/>
      <c r="I24" s="335"/>
      <c r="J24" s="226">
        <f t="shared" si="0"/>
        <v>200.51</v>
      </c>
      <c r="L24" s="110">
        <v>4651.74</v>
      </c>
      <c r="M24" s="113">
        <v>3503.48</v>
      </c>
      <c r="N24" s="110"/>
      <c r="O24" s="111">
        <v>2.2799999999999998</v>
      </c>
      <c r="P24" s="204"/>
      <c r="Q24" s="88">
        <v>9.1744999999999948</v>
      </c>
      <c r="R24" s="328"/>
      <c r="S24" s="335"/>
      <c r="T24" s="226">
        <f t="shared" si="1"/>
        <v>11.454499999999994</v>
      </c>
      <c r="U24" s="138"/>
      <c r="V24" s="110">
        <v>384</v>
      </c>
      <c r="W24" s="113"/>
      <c r="X24" s="110"/>
      <c r="Y24" s="111"/>
      <c r="Z24" s="204"/>
      <c r="AA24" s="88"/>
      <c r="AB24" s="28"/>
      <c r="AC24" s="28"/>
      <c r="AD24" s="226">
        <f t="shared" si="2"/>
        <v>0</v>
      </c>
      <c r="AF24" s="110">
        <v>1564.65</v>
      </c>
      <c r="AG24" s="113">
        <v>489.5</v>
      </c>
      <c r="AH24" s="110"/>
      <c r="AI24" s="111"/>
      <c r="AJ24" s="204"/>
      <c r="AK24" s="215"/>
      <c r="AL24" s="28"/>
      <c r="AM24" s="28"/>
      <c r="AN24" s="226">
        <f t="shared" si="3"/>
        <v>0</v>
      </c>
      <c r="AP24" s="110">
        <v>3032.71</v>
      </c>
      <c r="AQ24" s="110">
        <v>691.93</v>
      </c>
      <c r="AR24" s="110"/>
      <c r="AS24" s="115">
        <v>5.64</v>
      </c>
      <c r="AT24" s="204"/>
      <c r="AU24" s="88">
        <v>23.854199999999878</v>
      </c>
      <c r="AV24" s="328"/>
      <c r="AW24" s="335"/>
      <c r="AX24" s="226">
        <f t="shared" si="4"/>
        <v>29.494199999999879</v>
      </c>
      <c r="AZ24" s="110">
        <v>2517.6799999999998</v>
      </c>
      <c r="BA24" s="113"/>
      <c r="BB24" s="110"/>
      <c r="BC24" s="111"/>
      <c r="BD24" s="204"/>
      <c r="BE24" s="88">
        <v>4.4600599999999702</v>
      </c>
      <c r="BF24" s="28"/>
      <c r="BG24" s="28"/>
      <c r="BH24" s="226">
        <f t="shared" si="5"/>
        <v>4.4600599999999702</v>
      </c>
      <c r="BJ24" s="110">
        <v>9265.76</v>
      </c>
      <c r="BK24" s="113">
        <v>850.17</v>
      </c>
      <c r="BL24" s="110"/>
      <c r="BM24" s="111">
        <v>35.11</v>
      </c>
      <c r="BN24" s="204"/>
      <c r="BO24" s="88"/>
      <c r="BP24" s="328"/>
      <c r="BQ24" s="28"/>
      <c r="BR24" s="226">
        <f t="shared" si="6"/>
        <v>35.11</v>
      </c>
      <c r="BT24" s="110">
        <v>1828.88</v>
      </c>
      <c r="BU24" s="113">
        <v>974.99</v>
      </c>
      <c r="BV24" s="110"/>
      <c r="BW24" s="111">
        <v>4.58</v>
      </c>
      <c r="BX24" s="204"/>
      <c r="BY24" s="215"/>
      <c r="BZ24" s="28"/>
      <c r="CA24" s="28"/>
      <c r="CB24" s="226">
        <f t="shared" si="7"/>
        <v>4.58</v>
      </c>
      <c r="CD24" s="110">
        <v>1703.47</v>
      </c>
      <c r="CE24" s="113"/>
      <c r="CF24" s="110"/>
      <c r="CG24" s="111">
        <v>16.37</v>
      </c>
      <c r="CH24" s="204"/>
      <c r="CI24" s="88"/>
      <c r="CJ24" s="328"/>
      <c r="CK24" s="28"/>
      <c r="CL24" s="226">
        <f t="shared" si="8"/>
        <v>16.37</v>
      </c>
      <c r="CN24" s="110">
        <v>807.43</v>
      </c>
      <c r="CO24" s="110">
        <v>607.09</v>
      </c>
      <c r="CP24" s="113">
        <v>1665.89</v>
      </c>
      <c r="CQ24" s="110"/>
      <c r="CR24" s="111"/>
      <c r="CS24" s="204"/>
      <c r="CT24" s="215"/>
      <c r="CU24" s="328">
        <v>95.57577000000002</v>
      </c>
      <c r="CV24" s="28"/>
      <c r="CW24" s="226">
        <f t="shared" si="9"/>
        <v>95.57577000000002</v>
      </c>
    </row>
    <row r="25" spans="1:101" s="129" customFormat="1" x14ac:dyDescent="0.25">
      <c r="A25" s="109">
        <v>45859</v>
      </c>
      <c r="B25" s="139">
        <v>2496.84</v>
      </c>
      <c r="C25" s="140">
        <v>2006.93</v>
      </c>
      <c r="D25" s="139">
        <v>3.66</v>
      </c>
      <c r="E25" s="141">
        <v>189.18</v>
      </c>
      <c r="F25" s="204"/>
      <c r="G25" s="88">
        <v>72.199209999999965</v>
      </c>
      <c r="H25" s="28"/>
      <c r="I25" s="335"/>
      <c r="J25" s="226">
        <f t="shared" si="0"/>
        <v>261.37920999999994</v>
      </c>
      <c r="L25" s="110">
        <v>6066.03</v>
      </c>
      <c r="M25" s="113">
        <v>3527.59</v>
      </c>
      <c r="N25" s="110"/>
      <c r="O25" s="111">
        <v>77.819999999999993</v>
      </c>
      <c r="P25" s="204"/>
      <c r="Q25" s="88">
        <v>43.109210000000019</v>
      </c>
      <c r="R25" s="328">
        <v>9.8975199999999859</v>
      </c>
      <c r="S25" s="335"/>
      <c r="T25" s="226">
        <f t="shared" si="1"/>
        <v>130.82673</v>
      </c>
      <c r="U25" s="138"/>
      <c r="V25" s="110">
        <v>774.03</v>
      </c>
      <c r="W25" s="113"/>
      <c r="X25" s="110"/>
      <c r="Y25" s="111"/>
      <c r="Z25" s="204"/>
      <c r="AA25" s="88">
        <v>9.3710799999999779</v>
      </c>
      <c r="AB25" s="28"/>
      <c r="AC25" s="28"/>
      <c r="AD25" s="226">
        <f t="shared" si="2"/>
        <v>9.3710799999999779</v>
      </c>
      <c r="AF25" s="110">
        <v>5045.21</v>
      </c>
      <c r="AG25" s="113">
        <v>307.95999999999998</v>
      </c>
      <c r="AH25" s="110"/>
      <c r="AI25" s="111"/>
      <c r="AJ25" s="204"/>
      <c r="AK25" s="215"/>
      <c r="AL25" s="28"/>
      <c r="AM25" s="28"/>
      <c r="AN25" s="226">
        <f t="shared" si="3"/>
        <v>0</v>
      </c>
      <c r="AP25" s="110">
        <v>3204.97</v>
      </c>
      <c r="AQ25" s="110">
        <v>1036.6400000000001</v>
      </c>
      <c r="AR25" s="110"/>
      <c r="AS25" s="115">
        <v>34.729999999999997</v>
      </c>
      <c r="AT25" s="204"/>
      <c r="AU25" s="88">
        <v>-9.6858900000001924</v>
      </c>
      <c r="AV25" s="328">
        <v>8.1390900000000101</v>
      </c>
      <c r="AW25" s="335">
        <v>5.645824999999995</v>
      </c>
      <c r="AX25" s="226">
        <f t="shared" si="4"/>
        <v>38.82902499999981</v>
      </c>
      <c r="AZ25" s="110">
        <v>3843.65</v>
      </c>
      <c r="BA25" s="113"/>
      <c r="BB25" s="110"/>
      <c r="BC25" s="111"/>
      <c r="BD25" s="204"/>
      <c r="BE25" s="88">
        <v>66.935049999999961</v>
      </c>
      <c r="BF25" s="28"/>
      <c r="BG25" s="28"/>
      <c r="BH25" s="226">
        <f t="shared" si="5"/>
        <v>66.935049999999961</v>
      </c>
      <c r="BJ25" s="110">
        <v>17221.02</v>
      </c>
      <c r="BK25" s="113">
        <v>944.94</v>
      </c>
      <c r="BL25" s="110"/>
      <c r="BM25" s="111">
        <v>134.13</v>
      </c>
      <c r="BN25" s="204"/>
      <c r="BO25" s="88">
        <v>80.344520000000216</v>
      </c>
      <c r="BP25" s="328">
        <v>4.1732000000000085</v>
      </c>
      <c r="BQ25" s="28"/>
      <c r="BR25" s="226">
        <f t="shared" si="6"/>
        <v>218.64772000000022</v>
      </c>
      <c r="BT25" s="110">
        <v>3407.5</v>
      </c>
      <c r="BU25" s="113">
        <v>1354.59</v>
      </c>
      <c r="BV25" s="110"/>
      <c r="BW25" s="111">
        <v>2.62</v>
      </c>
      <c r="BX25" s="204"/>
      <c r="BY25" s="215"/>
      <c r="BZ25" s="28"/>
      <c r="CA25" s="28"/>
      <c r="CB25" s="226">
        <f t="shared" si="7"/>
        <v>2.62</v>
      </c>
      <c r="CD25" s="110">
        <v>1397.83</v>
      </c>
      <c r="CE25" s="113"/>
      <c r="CF25" s="110"/>
      <c r="CG25" s="111">
        <v>28.47</v>
      </c>
      <c r="CH25" s="204"/>
      <c r="CI25" s="88"/>
      <c r="CJ25" s="328"/>
      <c r="CK25" s="28"/>
      <c r="CL25" s="226">
        <f t="shared" si="8"/>
        <v>28.47</v>
      </c>
      <c r="CN25" s="110">
        <v>1818.78</v>
      </c>
      <c r="CO25" s="110">
        <v>551.57000000000005</v>
      </c>
      <c r="CP25" s="113">
        <v>1363.78</v>
      </c>
      <c r="CQ25" s="110"/>
      <c r="CR25" s="111">
        <v>675.03</v>
      </c>
      <c r="CS25" s="204"/>
      <c r="CT25" s="215"/>
      <c r="CU25" s="328"/>
      <c r="CV25" s="28"/>
      <c r="CW25" s="226">
        <f t="shared" si="9"/>
        <v>675.03</v>
      </c>
    </row>
    <row r="26" spans="1:101" s="129" customFormat="1" x14ac:dyDescent="0.25">
      <c r="A26" s="109">
        <v>45860</v>
      </c>
      <c r="B26" s="139">
        <v>3122.72</v>
      </c>
      <c r="C26" s="140">
        <v>3110.17</v>
      </c>
      <c r="D26" s="139">
        <v>6.63</v>
      </c>
      <c r="E26" s="141">
        <v>178.96</v>
      </c>
      <c r="F26" s="204"/>
      <c r="G26" s="88">
        <v>28.560000000000009</v>
      </c>
      <c r="H26" s="28"/>
      <c r="I26" s="335"/>
      <c r="J26" s="226">
        <f t="shared" si="0"/>
        <v>207.52</v>
      </c>
      <c r="L26" s="110">
        <v>4379.84</v>
      </c>
      <c r="M26" s="113">
        <v>2456.3200000000002</v>
      </c>
      <c r="N26" s="110"/>
      <c r="O26" s="111">
        <v>11.05</v>
      </c>
      <c r="P26" s="204"/>
      <c r="Q26" s="88">
        <v>397.56333000000006</v>
      </c>
      <c r="R26" s="328"/>
      <c r="S26" s="335">
        <v>197.31520519999998</v>
      </c>
      <c r="T26" s="226">
        <f t="shared" si="1"/>
        <v>605.92853520000006</v>
      </c>
      <c r="U26" s="138"/>
      <c r="V26" s="110">
        <v>140</v>
      </c>
      <c r="W26" s="113"/>
      <c r="X26" s="110"/>
      <c r="Y26" s="111"/>
      <c r="Z26" s="204"/>
      <c r="AA26" s="88">
        <v>52.416099999999972</v>
      </c>
      <c r="AB26" s="28"/>
      <c r="AC26" s="28"/>
      <c r="AD26" s="226">
        <f t="shared" si="2"/>
        <v>52.416099999999972</v>
      </c>
      <c r="AF26" s="110">
        <v>7401.42</v>
      </c>
      <c r="AG26" s="113">
        <v>440.19</v>
      </c>
      <c r="AH26" s="110"/>
      <c r="AI26" s="111"/>
      <c r="AJ26" s="204"/>
      <c r="AK26" s="215"/>
      <c r="AL26" s="28"/>
      <c r="AM26" s="28"/>
      <c r="AN26" s="226">
        <f t="shared" si="3"/>
        <v>0</v>
      </c>
      <c r="AP26" s="110">
        <v>4251.8</v>
      </c>
      <c r="AQ26" s="110">
        <v>1351.52</v>
      </c>
      <c r="AR26" s="110"/>
      <c r="AS26" s="115">
        <v>71.77</v>
      </c>
      <c r="AT26" s="204"/>
      <c r="AU26" s="88">
        <v>52.754769999999752</v>
      </c>
      <c r="AV26" s="328"/>
      <c r="AW26" s="335">
        <v>7.9632560000000012</v>
      </c>
      <c r="AX26" s="226">
        <f t="shared" si="4"/>
        <v>132.48802599999976</v>
      </c>
      <c r="AZ26" s="110">
        <v>7304.8</v>
      </c>
      <c r="BA26" s="113"/>
      <c r="BB26" s="110"/>
      <c r="BC26" s="111"/>
      <c r="BD26" s="204"/>
      <c r="BE26" s="88">
        <v>41.850449999999952</v>
      </c>
      <c r="BF26" s="28"/>
      <c r="BG26" s="28"/>
      <c r="BH26" s="226">
        <f t="shared" si="5"/>
        <v>41.850449999999952</v>
      </c>
      <c r="BJ26" s="110">
        <v>28185.35</v>
      </c>
      <c r="BK26" s="113">
        <v>899.43</v>
      </c>
      <c r="BL26" s="110"/>
      <c r="BM26" s="111">
        <v>171.97</v>
      </c>
      <c r="BN26" s="204"/>
      <c r="BO26" s="88">
        <v>22.073239999999998</v>
      </c>
      <c r="BP26" s="328"/>
      <c r="BQ26" s="28"/>
      <c r="BR26" s="226">
        <f t="shared" si="6"/>
        <v>194.04324</v>
      </c>
      <c r="BT26" s="110">
        <v>2743.12</v>
      </c>
      <c r="BU26" s="113">
        <v>971.08</v>
      </c>
      <c r="BV26" s="110"/>
      <c r="BW26" s="111">
        <v>89.05</v>
      </c>
      <c r="BX26" s="204"/>
      <c r="BY26" s="215"/>
      <c r="BZ26" s="28"/>
      <c r="CA26" s="28"/>
      <c r="CB26" s="226">
        <f t="shared" si="7"/>
        <v>89.05</v>
      </c>
      <c r="CD26" s="110">
        <v>1918.2</v>
      </c>
      <c r="CE26" s="113"/>
      <c r="CF26" s="110"/>
      <c r="CG26" s="111">
        <v>48.35</v>
      </c>
      <c r="CH26" s="204"/>
      <c r="CI26" s="88">
        <v>60.318750000000023</v>
      </c>
      <c r="CJ26" s="328"/>
      <c r="CK26" s="28"/>
      <c r="CL26" s="226">
        <f t="shared" si="8"/>
        <v>108.66875000000002</v>
      </c>
      <c r="CN26" s="110">
        <v>1711.48</v>
      </c>
      <c r="CO26" s="110">
        <v>656.9</v>
      </c>
      <c r="CP26" s="113">
        <v>1544.32</v>
      </c>
      <c r="CQ26" s="110"/>
      <c r="CR26" s="111">
        <v>780.44</v>
      </c>
      <c r="CS26" s="204"/>
      <c r="CT26" s="215"/>
      <c r="CU26" s="328">
        <v>77.771239999999992</v>
      </c>
      <c r="CV26" s="28"/>
      <c r="CW26" s="226">
        <f t="shared" si="9"/>
        <v>858.21124000000009</v>
      </c>
    </row>
    <row r="27" spans="1:101" s="129" customFormat="1" x14ac:dyDescent="0.25">
      <c r="A27" s="109">
        <v>45861</v>
      </c>
      <c r="B27" s="139">
        <v>1543.9</v>
      </c>
      <c r="C27" s="140">
        <v>1639.07</v>
      </c>
      <c r="D27" s="139">
        <v>2.4</v>
      </c>
      <c r="E27" s="141">
        <v>85.95</v>
      </c>
      <c r="F27" s="204"/>
      <c r="G27" s="88"/>
      <c r="H27" s="28"/>
      <c r="I27" s="335">
        <v>30.097591599999987</v>
      </c>
      <c r="J27" s="226">
        <f t="shared" si="0"/>
        <v>116.04759159999999</v>
      </c>
      <c r="L27" s="110">
        <v>4561.9399999999996</v>
      </c>
      <c r="M27" s="113">
        <v>3537.3</v>
      </c>
      <c r="N27" s="110"/>
      <c r="O27" s="111">
        <v>34.58</v>
      </c>
      <c r="P27" s="204"/>
      <c r="Q27" s="88"/>
      <c r="R27" s="328"/>
      <c r="S27" s="335">
        <v>42.195633199999861</v>
      </c>
      <c r="T27" s="226">
        <f t="shared" si="1"/>
        <v>76.775633199999859</v>
      </c>
      <c r="U27" s="138"/>
      <c r="V27" s="110">
        <v>455.04</v>
      </c>
      <c r="W27" s="113"/>
      <c r="X27" s="110"/>
      <c r="Y27" s="111"/>
      <c r="Z27" s="204"/>
      <c r="AA27" s="88"/>
      <c r="AB27" s="28"/>
      <c r="AC27" s="28"/>
      <c r="AD27" s="226">
        <f t="shared" si="2"/>
        <v>0</v>
      </c>
      <c r="AF27" s="110">
        <v>3698.09</v>
      </c>
      <c r="AG27" s="113">
        <v>304.58999999999997</v>
      </c>
      <c r="AH27" s="110"/>
      <c r="AI27" s="111"/>
      <c r="AJ27" s="204"/>
      <c r="AK27" s="215"/>
      <c r="AL27" s="28"/>
      <c r="AM27" s="28"/>
      <c r="AN27" s="226">
        <f t="shared" si="3"/>
        <v>0</v>
      </c>
      <c r="AP27" s="110">
        <v>9021.9699999999993</v>
      </c>
      <c r="AQ27" s="110">
        <v>1499.58</v>
      </c>
      <c r="AR27" s="110"/>
      <c r="AS27" s="115">
        <v>226.5</v>
      </c>
      <c r="AT27" s="204"/>
      <c r="AU27" s="88">
        <v>-5.3114400000000757</v>
      </c>
      <c r="AV27" s="328"/>
      <c r="AW27" s="335"/>
      <c r="AX27" s="226">
        <f t="shared" si="4"/>
        <v>221.18855999999994</v>
      </c>
      <c r="AZ27" s="110">
        <v>5403.65</v>
      </c>
      <c r="BA27" s="113"/>
      <c r="BB27" s="110"/>
      <c r="BC27" s="111"/>
      <c r="BD27" s="204"/>
      <c r="BE27" s="88">
        <v>73.953981999999712</v>
      </c>
      <c r="BF27" s="28"/>
      <c r="BG27" s="28"/>
      <c r="BH27" s="226">
        <f t="shared" si="5"/>
        <v>73.953981999999712</v>
      </c>
      <c r="BJ27" s="110">
        <v>11473.67</v>
      </c>
      <c r="BK27" s="113">
        <v>663.69</v>
      </c>
      <c r="BL27" s="110"/>
      <c r="BM27" s="111">
        <v>36.479999999999997</v>
      </c>
      <c r="BN27" s="204"/>
      <c r="BO27" s="88">
        <v>45.969609999999989</v>
      </c>
      <c r="BP27" s="328">
        <v>66.757449999999977</v>
      </c>
      <c r="BQ27" s="28"/>
      <c r="BR27" s="226">
        <f t="shared" si="6"/>
        <v>149.20705999999996</v>
      </c>
      <c r="BT27" s="110">
        <v>3195.53</v>
      </c>
      <c r="BU27" s="113">
        <v>1064.71</v>
      </c>
      <c r="BV27" s="110"/>
      <c r="BW27" s="111">
        <v>308.52</v>
      </c>
      <c r="BX27" s="204"/>
      <c r="BY27" s="215"/>
      <c r="BZ27" s="28"/>
      <c r="CA27" s="28"/>
      <c r="CB27" s="226">
        <f t="shared" si="7"/>
        <v>308.52</v>
      </c>
      <c r="CD27" s="110">
        <v>1088.8499999999999</v>
      </c>
      <c r="CE27" s="113"/>
      <c r="CF27" s="110"/>
      <c r="CG27" s="111">
        <v>13.02</v>
      </c>
      <c r="CH27" s="204"/>
      <c r="CI27" s="88">
        <v>34.892499999999984</v>
      </c>
      <c r="CJ27" s="328"/>
      <c r="CK27" s="28"/>
      <c r="CL27" s="226">
        <f t="shared" si="8"/>
        <v>47.91249999999998</v>
      </c>
      <c r="CN27" s="110">
        <v>2188.3200000000002</v>
      </c>
      <c r="CO27" s="110">
        <v>385.69</v>
      </c>
      <c r="CP27" s="113">
        <v>1995.25</v>
      </c>
      <c r="CQ27" s="110"/>
      <c r="CR27" s="111">
        <v>416.71</v>
      </c>
      <c r="CS27" s="204"/>
      <c r="CT27" s="215"/>
      <c r="CU27" s="328"/>
      <c r="CV27" s="28"/>
      <c r="CW27" s="226">
        <f t="shared" si="9"/>
        <v>416.71</v>
      </c>
    </row>
    <row r="28" spans="1:101" s="129" customFormat="1" x14ac:dyDescent="0.25">
      <c r="A28" s="109">
        <v>45862</v>
      </c>
      <c r="B28" s="139">
        <v>3438.52</v>
      </c>
      <c r="C28" s="140">
        <v>3039.64</v>
      </c>
      <c r="D28" s="139">
        <v>27.98</v>
      </c>
      <c r="E28" s="141">
        <v>408.02</v>
      </c>
      <c r="F28" s="204"/>
      <c r="G28" s="88">
        <v>25.308399999999992</v>
      </c>
      <c r="H28" s="28"/>
      <c r="I28" s="335"/>
      <c r="J28" s="226">
        <f t="shared" si="0"/>
        <v>433.32839999999999</v>
      </c>
      <c r="L28" s="110">
        <v>4244.4799999999996</v>
      </c>
      <c r="M28" s="113">
        <v>3315.54</v>
      </c>
      <c r="N28" s="110"/>
      <c r="O28" s="111">
        <v>68.55</v>
      </c>
      <c r="P28" s="204"/>
      <c r="Q28" s="88"/>
      <c r="R28" s="328"/>
      <c r="S28" s="335">
        <v>22.702484400000003</v>
      </c>
      <c r="T28" s="226">
        <f t="shared" si="1"/>
        <v>91.2524844</v>
      </c>
      <c r="U28" s="138"/>
      <c r="V28" s="110">
        <v>380</v>
      </c>
      <c r="W28" s="113"/>
      <c r="X28" s="110"/>
      <c r="Y28" s="111"/>
      <c r="Z28" s="204"/>
      <c r="AA28" s="88"/>
      <c r="AB28" s="28"/>
      <c r="AC28" s="28"/>
      <c r="AD28" s="226">
        <f t="shared" si="2"/>
        <v>0</v>
      </c>
      <c r="AF28" s="110">
        <v>3687.47</v>
      </c>
      <c r="AG28" s="113">
        <v>846.02</v>
      </c>
      <c r="AH28" s="110"/>
      <c r="AI28" s="111"/>
      <c r="AJ28" s="204"/>
      <c r="AK28" s="215"/>
      <c r="AL28" s="28"/>
      <c r="AM28" s="28"/>
      <c r="AN28" s="226">
        <f t="shared" si="3"/>
        <v>0</v>
      </c>
      <c r="AP28" s="110">
        <v>6877.64</v>
      </c>
      <c r="AQ28" s="110">
        <v>1168.5899999999999</v>
      </c>
      <c r="AR28" s="110"/>
      <c r="AS28" s="115">
        <v>140.25</v>
      </c>
      <c r="AT28" s="204"/>
      <c r="AU28" s="88">
        <v>25.837629999999891</v>
      </c>
      <c r="AV28" s="28"/>
      <c r="AW28" s="335">
        <v>17.116600699999985</v>
      </c>
      <c r="AX28" s="226">
        <f t="shared" si="4"/>
        <v>183.20423069999987</v>
      </c>
      <c r="AZ28" s="110">
        <v>3671.17</v>
      </c>
      <c r="BA28" s="113"/>
      <c r="BB28" s="110"/>
      <c r="BC28" s="111"/>
      <c r="BD28" s="204"/>
      <c r="BE28" s="88">
        <v>18.354269999999929</v>
      </c>
      <c r="BF28" s="28"/>
      <c r="BG28" s="28"/>
      <c r="BH28" s="226">
        <f t="shared" si="5"/>
        <v>18.354269999999929</v>
      </c>
      <c r="BJ28" s="110">
        <v>25911.11</v>
      </c>
      <c r="BK28" s="113">
        <v>923.96</v>
      </c>
      <c r="BL28" s="110"/>
      <c r="BM28" s="111">
        <v>249.03</v>
      </c>
      <c r="BN28" s="204"/>
      <c r="BO28" s="88">
        <v>58.014490000000087</v>
      </c>
      <c r="BP28" s="328">
        <v>3.2113899999999944</v>
      </c>
      <c r="BQ28" s="28"/>
      <c r="BR28" s="226">
        <f t="shared" si="6"/>
        <v>310.2558800000001</v>
      </c>
      <c r="BT28" s="110">
        <v>2801.73</v>
      </c>
      <c r="BU28" s="113">
        <v>1201.95</v>
      </c>
      <c r="BV28" s="110"/>
      <c r="BW28" s="111">
        <v>13.89</v>
      </c>
      <c r="BX28" s="204"/>
      <c r="BY28" s="215"/>
      <c r="BZ28" s="28"/>
      <c r="CA28" s="28"/>
      <c r="CB28" s="226">
        <f t="shared" si="7"/>
        <v>13.89</v>
      </c>
      <c r="CD28" s="110">
        <v>1738.19</v>
      </c>
      <c r="CE28" s="113"/>
      <c r="CF28" s="110"/>
      <c r="CG28" s="111">
        <v>89.13</v>
      </c>
      <c r="CH28" s="204"/>
      <c r="CI28" s="88">
        <v>79.574999999999932</v>
      </c>
      <c r="CJ28" s="328"/>
      <c r="CK28" s="28"/>
      <c r="CL28" s="226">
        <f t="shared" si="8"/>
        <v>168.70499999999993</v>
      </c>
      <c r="CN28" s="110">
        <v>1037.1500000000001</v>
      </c>
      <c r="CO28" s="110">
        <v>850.04</v>
      </c>
      <c r="CP28" s="113">
        <v>2103.0500000000002</v>
      </c>
      <c r="CQ28" s="110"/>
      <c r="CR28" s="111">
        <v>584.32000000000005</v>
      </c>
      <c r="CS28" s="204"/>
      <c r="CT28" s="215"/>
      <c r="CU28" s="328">
        <v>49.138530000000017</v>
      </c>
      <c r="CV28" s="28"/>
      <c r="CW28" s="226">
        <f t="shared" si="9"/>
        <v>633.45853000000011</v>
      </c>
    </row>
    <row r="29" spans="1:101" s="129" customFormat="1" x14ac:dyDescent="0.25">
      <c r="A29" s="109">
        <v>45863</v>
      </c>
      <c r="B29" s="139">
        <v>7300.04</v>
      </c>
      <c r="C29" s="140">
        <v>3106.9</v>
      </c>
      <c r="D29" s="139">
        <v>29.87</v>
      </c>
      <c r="E29" s="141">
        <v>207.66</v>
      </c>
      <c r="F29" s="204"/>
      <c r="G29" s="88"/>
      <c r="H29" s="28"/>
      <c r="I29" s="335">
        <v>33.642679999999928</v>
      </c>
      <c r="J29" s="226">
        <f t="shared" si="0"/>
        <v>241.30267999999992</v>
      </c>
      <c r="L29" s="110">
        <v>4470.38</v>
      </c>
      <c r="M29" s="113">
        <v>2537.4</v>
      </c>
      <c r="N29" s="110"/>
      <c r="O29" s="111">
        <v>29.79</v>
      </c>
      <c r="P29" s="204"/>
      <c r="Q29" s="88">
        <v>324.20564999999976</v>
      </c>
      <c r="R29" s="328"/>
      <c r="S29" s="335">
        <v>149.52240000000006</v>
      </c>
      <c r="T29" s="226">
        <f t="shared" si="1"/>
        <v>503.51804999999985</v>
      </c>
      <c r="U29" s="138"/>
      <c r="V29" s="110">
        <v>2198.13</v>
      </c>
      <c r="W29" s="113"/>
      <c r="X29" s="110"/>
      <c r="Y29" s="111"/>
      <c r="Z29" s="204"/>
      <c r="AA29" s="88">
        <v>54.196469999999991</v>
      </c>
      <c r="AB29" s="28"/>
      <c r="AC29" s="28"/>
      <c r="AD29" s="226">
        <f t="shared" si="2"/>
        <v>54.196469999999991</v>
      </c>
      <c r="AF29" s="110">
        <v>4371.74</v>
      </c>
      <c r="AG29" s="113">
        <v>642.27</v>
      </c>
      <c r="AH29" s="110"/>
      <c r="AI29" s="111"/>
      <c r="AJ29" s="204"/>
      <c r="AK29" s="215"/>
      <c r="AL29" s="28"/>
      <c r="AM29" s="28"/>
      <c r="AN29" s="226">
        <f t="shared" si="3"/>
        <v>0</v>
      </c>
      <c r="AP29" s="110">
        <v>4815.3500000000004</v>
      </c>
      <c r="AQ29" s="110">
        <v>704.54</v>
      </c>
      <c r="AR29" s="110"/>
      <c r="AS29" s="115">
        <v>55.28</v>
      </c>
      <c r="AT29" s="204"/>
      <c r="AU29" s="88">
        <v>7.3661399999998451</v>
      </c>
      <c r="AV29" s="28"/>
      <c r="AW29" s="335">
        <v>11.209424000000013</v>
      </c>
      <c r="AX29" s="226">
        <f t="shared" si="4"/>
        <v>73.855563999999859</v>
      </c>
      <c r="AZ29" s="110">
        <v>3591.67</v>
      </c>
      <c r="BA29" s="113"/>
      <c r="BB29" s="110"/>
      <c r="BC29" s="111"/>
      <c r="BD29" s="204"/>
      <c r="BE29" s="88">
        <v>9.2690399999999329</v>
      </c>
      <c r="BF29" s="28"/>
      <c r="BG29" s="28"/>
      <c r="BH29" s="226">
        <f t="shared" si="5"/>
        <v>9.2690399999999329</v>
      </c>
      <c r="BJ29" s="110">
        <v>21642.69</v>
      </c>
      <c r="BK29" s="113">
        <v>967.24</v>
      </c>
      <c r="BL29" s="110"/>
      <c r="BM29" s="111">
        <v>186.62</v>
      </c>
      <c r="BN29" s="204"/>
      <c r="BO29" s="88">
        <v>154.72119000000004</v>
      </c>
      <c r="BP29" s="328">
        <v>59.193550000000116</v>
      </c>
      <c r="BQ29" s="28"/>
      <c r="BR29" s="226">
        <f t="shared" si="6"/>
        <v>400.53474000000017</v>
      </c>
      <c r="BT29" s="110">
        <v>2929.95</v>
      </c>
      <c r="BU29" s="113">
        <v>1099.17</v>
      </c>
      <c r="BV29" s="110"/>
      <c r="BW29" s="111">
        <v>166.25</v>
      </c>
      <c r="BX29" s="204"/>
      <c r="BY29" s="215"/>
      <c r="BZ29" s="28"/>
      <c r="CA29" s="28"/>
      <c r="CB29" s="226">
        <f t="shared" si="7"/>
        <v>166.25</v>
      </c>
      <c r="CD29" s="110">
        <v>1257.9000000000001</v>
      </c>
      <c r="CE29" s="113"/>
      <c r="CF29" s="110"/>
      <c r="CG29" s="111">
        <v>95.69</v>
      </c>
      <c r="CH29" s="204"/>
      <c r="CI29" s="88"/>
      <c r="CJ29" s="328"/>
      <c r="CK29" s="28"/>
      <c r="CL29" s="226">
        <f t="shared" si="8"/>
        <v>95.69</v>
      </c>
      <c r="CN29" s="110">
        <v>1278.94</v>
      </c>
      <c r="CO29" s="110">
        <v>964.88</v>
      </c>
      <c r="CP29" s="113">
        <v>2605.69</v>
      </c>
      <c r="CQ29" s="110"/>
      <c r="CR29" s="111">
        <v>609.22</v>
      </c>
      <c r="CS29" s="204"/>
      <c r="CT29" s="215"/>
      <c r="CU29" s="328">
        <v>58.11999999999999</v>
      </c>
      <c r="CV29" s="28"/>
      <c r="CW29" s="226">
        <f t="shared" si="9"/>
        <v>667.34</v>
      </c>
    </row>
    <row r="30" spans="1:101" s="129" customFormat="1" x14ac:dyDescent="0.25">
      <c r="A30" s="109">
        <v>45864</v>
      </c>
      <c r="B30" s="139">
        <v>3591.8</v>
      </c>
      <c r="C30" s="140">
        <v>2660.91</v>
      </c>
      <c r="D30" s="139">
        <v>8.43</v>
      </c>
      <c r="E30" s="141">
        <v>304.44</v>
      </c>
      <c r="F30" s="204"/>
      <c r="G30" s="88"/>
      <c r="H30" s="28"/>
      <c r="I30" s="335"/>
      <c r="J30" s="226">
        <f t="shared" si="0"/>
        <v>304.44</v>
      </c>
      <c r="L30" s="110">
        <v>5209.8999999999996</v>
      </c>
      <c r="M30" s="113">
        <v>3295.04</v>
      </c>
      <c r="N30" s="110"/>
      <c r="O30" s="111">
        <v>32.28</v>
      </c>
      <c r="P30" s="204"/>
      <c r="Q30" s="88">
        <v>25.737689999999986</v>
      </c>
      <c r="R30" s="328"/>
      <c r="S30" s="335"/>
      <c r="T30" s="226">
        <f t="shared" si="1"/>
        <v>58.017689999999988</v>
      </c>
      <c r="U30" s="138"/>
      <c r="V30" s="110">
        <v>1042.0899999999999</v>
      </c>
      <c r="W30" s="113"/>
      <c r="X30" s="110"/>
      <c r="Y30" s="111"/>
      <c r="Z30" s="204"/>
      <c r="AA30" s="88">
        <v>-0.66472000000004527</v>
      </c>
      <c r="AB30" s="28"/>
      <c r="AC30" s="28"/>
      <c r="AD30" s="226">
        <f t="shared" si="2"/>
        <v>-0.66472000000004527</v>
      </c>
      <c r="AF30" s="110">
        <v>5377.4500000000007</v>
      </c>
      <c r="AG30" s="113">
        <v>980.53</v>
      </c>
      <c r="AH30" s="110"/>
      <c r="AI30" s="111"/>
      <c r="AJ30" s="204"/>
      <c r="AK30" s="215"/>
      <c r="AL30" s="28"/>
      <c r="AM30" s="28"/>
      <c r="AN30" s="226">
        <f t="shared" si="3"/>
        <v>0</v>
      </c>
      <c r="AP30" s="110">
        <v>5817.1</v>
      </c>
      <c r="AQ30" s="110">
        <v>1384</v>
      </c>
      <c r="AR30" s="110"/>
      <c r="AS30" s="115">
        <v>65.709999999999994</v>
      </c>
      <c r="AT30" s="204"/>
      <c r="AU30" s="88">
        <v>9.2491399999998833</v>
      </c>
      <c r="AV30" s="28"/>
      <c r="AW30" s="335"/>
      <c r="AX30" s="226">
        <f t="shared" si="4"/>
        <v>74.959139999999877</v>
      </c>
      <c r="AZ30" s="110">
        <v>3106.23</v>
      </c>
      <c r="BA30" s="113"/>
      <c r="BB30" s="110"/>
      <c r="BC30" s="111"/>
      <c r="BD30" s="204"/>
      <c r="BE30" s="88">
        <v>-0.66320000000006729</v>
      </c>
      <c r="BF30" s="28"/>
      <c r="BG30" s="28"/>
      <c r="BH30" s="226">
        <f t="shared" si="5"/>
        <v>-0.66320000000006729</v>
      </c>
      <c r="BJ30" s="110">
        <v>26053.69</v>
      </c>
      <c r="BK30" s="113">
        <v>1700.13</v>
      </c>
      <c r="BL30" s="110"/>
      <c r="BM30" s="111">
        <v>175.6</v>
      </c>
      <c r="BN30" s="204"/>
      <c r="BO30" s="88">
        <v>-4.8758500000000993</v>
      </c>
      <c r="BP30" s="328">
        <v>20.736599999999868</v>
      </c>
      <c r="BQ30" s="28"/>
      <c r="BR30" s="226">
        <f t="shared" si="6"/>
        <v>191.46074999999976</v>
      </c>
      <c r="BT30" s="110">
        <v>2253.5700000000002</v>
      </c>
      <c r="BU30" s="113">
        <v>1153.72</v>
      </c>
      <c r="BV30" s="110"/>
      <c r="BW30" s="111">
        <v>299.63</v>
      </c>
      <c r="BX30" s="204"/>
      <c r="BY30" s="215"/>
      <c r="BZ30" s="28"/>
      <c r="CA30" s="28"/>
      <c r="CB30" s="226">
        <f t="shared" si="7"/>
        <v>299.63</v>
      </c>
      <c r="CD30" s="110">
        <v>1979.62</v>
      </c>
      <c r="CE30" s="113"/>
      <c r="CF30" s="110"/>
      <c r="CG30" s="111">
        <v>526.54</v>
      </c>
      <c r="CH30" s="204"/>
      <c r="CI30" s="88">
        <v>44.127900000000068</v>
      </c>
      <c r="CJ30" s="328">
        <v>36.557469999999853</v>
      </c>
      <c r="CK30" s="28"/>
      <c r="CL30" s="226">
        <f t="shared" si="8"/>
        <v>607.22536999999988</v>
      </c>
      <c r="CN30" s="110">
        <v>3878.76</v>
      </c>
      <c r="CO30" s="110">
        <v>1304.71</v>
      </c>
      <c r="CP30" s="113">
        <v>3813.98</v>
      </c>
      <c r="CQ30" s="110"/>
      <c r="CR30" s="111">
        <v>441.02</v>
      </c>
      <c r="CS30" s="204"/>
      <c r="CT30" s="215"/>
      <c r="CU30" s="328">
        <v>193.91560999999996</v>
      </c>
      <c r="CV30" s="28"/>
      <c r="CW30" s="226">
        <f t="shared" si="9"/>
        <v>634.93561</v>
      </c>
    </row>
    <row r="31" spans="1:101" s="129" customFormat="1" x14ac:dyDescent="0.25">
      <c r="A31" s="109">
        <v>45865</v>
      </c>
      <c r="B31" s="139">
        <v>1223.27</v>
      </c>
      <c r="C31" s="140">
        <v>1662.77</v>
      </c>
      <c r="D31" s="139">
        <v>62.61</v>
      </c>
      <c r="E31" s="141"/>
      <c r="F31" s="204"/>
      <c r="G31" s="88"/>
      <c r="H31" s="28"/>
      <c r="I31" s="335"/>
      <c r="J31" s="226">
        <f t="shared" si="0"/>
        <v>0</v>
      </c>
      <c r="L31" s="110">
        <v>4259.49</v>
      </c>
      <c r="M31" s="113">
        <v>2971.99</v>
      </c>
      <c r="N31" s="110"/>
      <c r="O31" s="111">
        <v>3.77</v>
      </c>
      <c r="P31" s="204"/>
      <c r="Q31" s="88">
        <v>3.3363799999999912</v>
      </c>
      <c r="R31" s="328"/>
      <c r="S31" s="335"/>
      <c r="T31" s="226">
        <f t="shared" si="1"/>
        <v>7.1063799999999908</v>
      </c>
      <c r="U31" s="138"/>
      <c r="V31" s="110">
        <v>3572.5</v>
      </c>
      <c r="W31" s="113"/>
      <c r="X31" s="110"/>
      <c r="Y31" s="111"/>
      <c r="Z31" s="204"/>
      <c r="AA31" s="88">
        <v>-0.1813600000000406</v>
      </c>
      <c r="AB31" s="28"/>
      <c r="AC31" s="28"/>
      <c r="AD31" s="226">
        <f t="shared" si="2"/>
        <v>-0.1813600000000406</v>
      </c>
      <c r="AF31" s="110">
        <v>2768.72</v>
      </c>
      <c r="AG31" s="113">
        <v>454.73</v>
      </c>
      <c r="AH31" s="110"/>
      <c r="AI31" s="111"/>
      <c r="AJ31" s="204"/>
      <c r="AK31" s="215"/>
      <c r="AL31" s="28"/>
      <c r="AM31" s="28"/>
      <c r="AN31" s="226">
        <f t="shared" si="3"/>
        <v>0</v>
      </c>
      <c r="AP31" s="110">
        <v>2860.57</v>
      </c>
      <c r="AQ31" s="110">
        <v>1368.02</v>
      </c>
      <c r="AR31" s="110"/>
      <c r="AS31" s="115">
        <v>8.4600000000000009</v>
      </c>
      <c r="AT31" s="204"/>
      <c r="AU31" s="88">
        <v>2.8743900000000053</v>
      </c>
      <c r="AV31" s="28"/>
      <c r="AW31" s="335"/>
      <c r="AX31" s="226">
        <f t="shared" si="4"/>
        <v>11.334390000000006</v>
      </c>
      <c r="AZ31" s="110">
        <v>1785.94</v>
      </c>
      <c r="BA31" s="113"/>
      <c r="BB31" s="110"/>
      <c r="BC31" s="111"/>
      <c r="BD31" s="204"/>
      <c r="BE31" s="88">
        <v>19.193679999999972</v>
      </c>
      <c r="BF31" s="28"/>
      <c r="BG31" s="28"/>
      <c r="BH31" s="226">
        <f t="shared" si="5"/>
        <v>19.193679999999972</v>
      </c>
      <c r="BJ31" s="110">
        <v>10866.18</v>
      </c>
      <c r="BK31" s="113">
        <v>1059.06</v>
      </c>
      <c r="BL31" s="110"/>
      <c r="BM31" s="111">
        <v>18.350000000000001</v>
      </c>
      <c r="BN31" s="204"/>
      <c r="BO31" s="88"/>
      <c r="BP31" s="328"/>
      <c r="BQ31" s="28"/>
      <c r="BR31" s="226">
        <f t="shared" si="6"/>
        <v>18.350000000000001</v>
      </c>
      <c r="BT31" s="110">
        <v>1704.24</v>
      </c>
      <c r="BU31" s="113">
        <v>856.21</v>
      </c>
      <c r="BV31" s="110"/>
      <c r="BW31" s="111"/>
      <c r="BX31" s="204"/>
      <c r="BY31" s="215"/>
      <c r="BZ31" s="28"/>
      <c r="CA31" s="28"/>
      <c r="CB31" s="226">
        <f t="shared" si="7"/>
        <v>0</v>
      </c>
      <c r="CD31" s="110">
        <v>1216.1300000000001</v>
      </c>
      <c r="CE31" s="113"/>
      <c r="CF31" s="110"/>
      <c r="CG31" s="111">
        <v>4.0599999999999996</v>
      </c>
      <c r="CH31" s="204"/>
      <c r="CI31" s="88"/>
      <c r="CJ31" s="328">
        <v>8.1200000000000045</v>
      </c>
      <c r="CK31" s="28"/>
      <c r="CL31" s="226">
        <f t="shared" si="8"/>
        <v>12.180000000000003</v>
      </c>
      <c r="CN31" s="110">
        <v>3345.31</v>
      </c>
      <c r="CO31" s="110">
        <v>1291.6400000000001</v>
      </c>
      <c r="CP31" s="113">
        <v>4341.29</v>
      </c>
      <c r="CQ31" s="110"/>
      <c r="CR31" s="111"/>
      <c r="CS31" s="204"/>
      <c r="CT31" s="215"/>
      <c r="CU31" s="328"/>
      <c r="CV31" s="28"/>
      <c r="CW31" s="226">
        <f t="shared" si="9"/>
        <v>0</v>
      </c>
    </row>
    <row r="32" spans="1:101" s="129" customFormat="1" x14ac:dyDescent="0.25">
      <c r="A32" s="109">
        <v>45866</v>
      </c>
      <c r="B32" s="139">
        <v>1564.58</v>
      </c>
      <c r="C32" s="140">
        <v>1378.2</v>
      </c>
      <c r="D32" s="139"/>
      <c r="E32" s="141">
        <v>89.99</v>
      </c>
      <c r="F32" s="204"/>
      <c r="G32" s="88"/>
      <c r="H32" s="28"/>
      <c r="I32" s="335"/>
      <c r="J32" s="226">
        <f t="shared" si="0"/>
        <v>89.99</v>
      </c>
      <c r="L32" s="110">
        <v>3544.16</v>
      </c>
      <c r="M32" s="113">
        <v>2806.81</v>
      </c>
      <c r="N32" s="110"/>
      <c r="O32" s="111">
        <v>47.97</v>
      </c>
      <c r="P32" s="204"/>
      <c r="Q32" s="88">
        <v>332.60915999999997</v>
      </c>
      <c r="R32" s="328"/>
      <c r="S32" s="335"/>
      <c r="T32" s="226">
        <f t="shared" si="1"/>
        <v>380.57916</v>
      </c>
      <c r="U32" s="138"/>
      <c r="V32" s="110">
        <v>872.54</v>
      </c>
      <c r="W32" s="113"/>
      <c r="X32" s="110"/>
      <c r="Y32" s="111"/>
      <c r="Z32" s="204"/>
      <c r="AA32" s="88">
        <v>-0.28180000000003247</v>
      </c>
      <c r="AB32" s="28"/>
      <c r="AC32" s="28"/>
      <c r="AD32" s="226">
        <f t="shared" si="2"/>
        <v>-0.28180000000003247</v>
      </c>
      <c r="AF32" s="110">
        <v>5978.41</v>
      </c>
      <c r="AG32" s="113">
        <v>821.57</v>
      </c>
      <c r="AH32" s="110"/>
      <c r="AI32" s="111"/>
      <c r="AJ32" s="204"/>
      <c r="AK32" s="215"/>
      <c r="AL32" s="28"/>
      <c r="AM32" s="28"/>
      <c r="AN32" s="226">
        <f t="shared" si="3"/>
        <v>0</v>
      </c>
      <c r="AP32" s="110">
        <v>3687.19</v>
      </c>
      <c r="AQ32" s="110">
        <v>1373.37</v>
      </c>
      <c r="AR32" s="110"/>
      <c r="AS32" s="115">
        <v>31.15</v>
      </c>
      <c r="AT32" s="204"/>
      <c r="AU32" s="88">
        <v>-19.966800000000035</v>
      </c>
      <c r="AV32" s="28"/>
      <c r="AW32" s="335"/>
      <c r="AX32" s="226">
        <f t="shared" si="4"/>
        <v>11.183199999999964</v>
      </c>
      <c r="AZ32" s="110">
        <v>2043.15</v>
      </c>
      <c r="BA32" s="113"/>
      <c r="BB32" s="110"/>
      <c r="BC32" s="111"/>
      <c r="BD32" s="204"/>
      <c r="BE32" s="88">
        <v>-0.3586800000000494</v>
      </c>
      <c r="BF32" s="28"/>
      <c r="BG32" s="28"/>
      <c r="BH32" s="226">
        <f t="shared" si="5"/>
        <v>-0.3586800000000494</v>
      </c>
      <c r="BJ32" s="110">
        <v>10545.77</v>
      </c>
      <c r="BK32" s="113">
        <v>1087.28</v>
      </c>
      <c r="BL32" s="110"/>
      <c r="BM32" s="111">
        <v>239.85</v>
      </c>
      <c r="BN32" s="204"/>
      <c r="BO32" s="88">
        <v>8.0043100000000038</v>
      </c>
      <c r="BP32" s="328"/>
      <c r="BQ32" s="28"/>
      <c r="BR32" s="226">
        <f t="shared" si="6"/>
        <v>247.85431</v>
      </c>
      <c r="BT32" s="110">
        <v>1696.16</v>
      </c>
      <c r="BU32" s="113">
        <v>724.2</v>
      </c>
      <c r="BV32" s="110"/>
      <c r="BW32" s="111">
        <v>198.9</v>
      </c>
      <c r="BX32" s="204"/>
      <c r="BY32" s="215"/>
      <c r="BZ32" s="28"/>
      <c r="CA32" s="28"/>
      <c r="CB32" s="226">
        <f t="shared" si="7"/>
        <v>198.9</v>
      </c>
      <c r="CD32" s="110">
        <v>1294.43</v>
      </c>
      <c r="CE32" s="113"/>
      <c r="CF32" s="110"/>
      <c r="CG32" s="111">
        <v>126.39</v>
      </c>
      <c r="CH32" s="204"/>
      <c r="CI32" s="88"/>
      <c r="CJ32" s="328"/>
      <c r="CK32" s="28"/>
      <c r="CL32" s="226">
        <f t="shared" si="8"/>
        <v>126.39</v>
      </c>
      <c r="CN32" s="110">
        <v>1553.76</v>
      </c>
      <c r="CO32" s="110">
        <v>959.34</v>
      </c>
      <c r="CP32" s="113">
        <v>2675.56</v>
      </c>
      <c r="CQ32" s="110"/>
      <c r="CR32" s="111">
        <v>10.43</v>
      </c>
      <c r="CS32" s="204"/>
      <c r="CT32" s="215"/>
      <c r="CU32" s="328"/>
      <c r="CV32" s="28"/>
      <c r="CW32" s="226">
        <f t="shared" si="9"/>
        <v>10.43</v>
      </c>
    </row>
    <row r="33" spans="1:101" s="129" customFormat="1" x14ac:dyDescent="0.25">
      <c r="A33" s="109">
        <v>45867</v>
      </c>
      <c r="B33" s="139">
        <v>3702.96</v>
      </c>
      <c r="C33" s="140">
        <v>1045.2</v>
      </c>
      <c r="D33" s="139"/>
      <c r="E33" s="141">
        <v>156.44999999999999</v>
      </c>
      <c r="F33" s="204"/>
      <c r="G33" s="88"/>
      <c r="H33" s="28"/>
      <c r="I33" s="335"/>
      <c r="J33" s="226">
        <f t="shared" si="0"/>
        <v>156.44999999999999</v>
      </c>
      <c r="L33" s="110">
        <v>3755.28</v>
      </c>
      <c r="M33" s="113">
        <v>2887.6</v>
      </c>
      <c r="N33" s="110"/>
      <c r="O33" s="111">
        <v>4.21</v>
      </c>
      <c r="P33" s="204"/>
      <c r="Q33" s="88"/>
      <c r="R33" s="328"/>
      <c r="S33" s="335"/>
      <c r="T33" s="226">
        <f t="shared" si="1"/>
        <v>4.21</v>
      </c>
      <c r="U33" s="138"/>
      <c r="V33" s="110">
        <v>212.05</v>
      </c>
      <c r="W33" s="113"/>
      <c r="X33" s="110"/>
      <c r="Y33" s="111"/>
      <c r="Z33" s="204"/>
      <c r="AA33" s="88"/>
      <c r="AB33" s="28"/>
      <c r="AC33" s="28"/>
      <c r="AD33" s="226">
        <f t="shared" si="2"/>
        <v>0</v>
      </c>
      <c r="AF33" s="110">
        <v>5669.86</v>
      </c>
      <c r="AG33" s="113">
        <v>247.72</v>
      </c>
      <c r="AH33" s="110"/>
      <c r="AI33" s="111"/>
      <c r="AJ33" s="204"/>
      <c r="AK33" s="215"/>
      <c r="AL33" s="28"/>
      <c r="AM33" s="28"/>
      <c r="AN33" s="226">
        <f t="shared" si="3"/>
        <v>0</v>
      </c>
      <c r="AP33" s="110">
        <v>4349.55</v>
      </c>
      <c r="AQ33" s="110">
        <v>2029.23</v>
      </c>
      <c r="AR33" s="110"/>
      <c r="AS33" s="115">
        <v>22.95</v>
      </c>
      <c r="AT33" s="204"/>
      <c r="AU33" s="88">
        <v>24.182310000000001</v>
      </c>
      <c r="AV33" s="28"/>
      <c r="AW33" s="335"/>
      <c r="AX33" s="226">
        <f t="shared" si="4"/>
        <v>47.132310000000004</v>
      </c>
      <c r="AZ33" s="110">
        <v>4152.87</v>
      </c>
      <c r="BA33" s="113"/>
      <c r="BB33" s="110"/>
      <c r="BC33" s="111"/>
      <c r="BD33" s="204"/>
      <c r="BE33" s="88">
        <v>-0.83258000000012089</v>
      </c>
      <c r="BF33" s="28"/>
      <c r="BG33" s="28"/>
      <c r="BH33" s="226">
        <f t="shared" si="5"/>
        <v>-0.83258000000012089</v>
      </c>
      <c r="BJ33" s="110">
        <v>6442.61</v>
      </c>
      <c r="BK33" s="113">
        <v>745.61</v>
      </c>
      <c r="BL33" s="110"/>
      <c r="BM33" s="111">
        <v>77</v>
      </c>
      <c r="BN33" s="204"/>
      <c r="BO33" s="88">
        <v>-2.8356299999999806</v>
      </c>
      <c r="BP33" s="328"/>
      <c r="BQ33" s="28"/>
      <c r="BR33" s="226">
        <f t="shared" si="6"/>
        <v>74.164370000000019</v>
      </c>
      <c r="BT33" s="110">
        <v>1471.46</v>
      </c>
      <c r="BU33" s="113">
        <v>1074.24</v>
      </c>
      <c r="BV33" s="110"/>
      <c r="BW33" s="111"/>
      <c r="BX33" s="204"/>
      <c r="BY33" s="215"/>
      <c r="BZ33" s="28"/>
      <c r="CA33" s="28"/>
      <c r="CB33" s="226">
        <f t="shared" si="7"/>
        <v>0</v>
      </c>
      <c r="CD33" s="110">
        <v>1054.32</v>
      </c>
      <c r="CE33" s="113"/>
      <c r="CF33" s="110"/>
      <c r="CG33" s="111">
        <v>111.62</v>
      </c>
      <c r="CH33" s="204"/>
      <c r="CI33" s="88">
        <v>8.8281000000000063</v>
      </c>
      <c r="CJ33" s="328"/>
      <c r="CK33" s="28"/>
      <c r="CL33" s="226">
        <f t="shared" si="8"/>
        <v>120.44810000000001</v>
      </c>
      <c r="CN33" s="110">
        <v>2749.18</v>
      </c>
      <c r="CO33" s="110">
        <v>1229.04</v>
      </c>
      <c r="CP33" s="113">
        <v>2829.6</v>
      </c>
      <c r="CQ33" s="110"/>
      <c r="CR33" s="111"/>
      <c r="CS33" s="204"/>
      <c r="CT33" s="215"/>
      <c r="CU33" s="328"/>
      <c r="CV33" s="28"/>
      <c r="CW33" s="226">
        <f t="shared" si="9"/>
        <v>0</v>
      </c>
    </row>
    <row r="34" spans="1:101" s="129" customFormat="1" x14ac:dyDescent="0.25">
      <c r="A34" s="109">
        <v>45868</v>
      </c>
      <c r="B34" s="139">
        <v>3173.57</v>
      </c>
      <c r="C34" s="140">
        <v>1763.33</v>
      </c>
      <c r="D34" s="139">
        <v>1.46</v>
      </c>
      <c r="E34" s="141">
        <v>105.25</v>
      </c>
      <c r="F34" s="204"/>
      <c r="G34" s="88"/>
      <c r="H34" s="28"/>
      <c r="I34" s="335"/>
      <c r="J34" s="226">
        <f t="shared" si="0"/>
        <v>105.25</v>
      </c>
      <c r="L34" s="110">
        <v>4294.91</v>
      </c>
      <c r="M34" s="113">
        <v>2792.32</v>
      </c>
      <c r="N34" s="110"/>
      <c r="O34" s="111">
        <v>51.55</v>
      </c>
      <c r="P34" s="204"/>
      <c r="Q34" s="88">
        <v>338.8997999999998</v>
      </c>
      <c r="R34" s="328"/>
      <c r="S34" s="335"/>
      <c r="T34" s="226">
        <f t="shared" si="1"/>
        <v>390.44979999999981</v>
      </c>
      <c r="U34" s="138"/>
      <c r="V34" s="110">
        <v>2156.0500000000002</v>
      </c>
      <c r="W34" s="113"/>
      <c r="X34" s="110"/>
      <c r="Y34" s="111"/>
      <c r="Z34" s="204"/>
      <c r="AA34" s="88">
        <v>13.335199999999887</v>
      </c>
      <c r="AB34" s="28"/>
      <c r="AC34" s="28"/>
      <c r="AD34" s="226">
        <f t="shared" si="2"/>
        <v>13.335199999999887</v>
      </c>
      <c r="AF34" s="110">
        <v>4779.04</v>
      </c>
      <c r="AG34" s="113">
        <v>657.72</v>
      </c>
      <c r="AH34" s="110"/>
      <c r="AI34" s="111"/>
      <c r="AJ34" s="204"/>
      <c r="AK34" s="215"/>
      <c r="AL34" s="28"/>
      <c r="AM34" s="28"/>
      <c r="AN34" s="226">
        <f t="shared" si="3"/>
        <v>0</v>
      </c>
      <c r="AP34" s="110">
        <v>5434.75</v>
      </c>
      <c r="AQ34" s="110">
        <v>1145.9100000000001</v>
      </c>
      <c r="AR34" s="110"/>
      <c r="AS34" s="115">
        <v>140.46</v>
      </c>
      <c r="AT34" s="204"/>
      <c r="AU34" s="88">
        <v>5.00127999999998</v>
      </c>
      <c r="AV34" s="28"/>
      <c r="AW34" s="335"/>
      <c r="AX34" s="226">
        <f t="shared" si="4"/>
        <v>145.46127999999999</v>
      </c>
      <c r="AZ34" s="110">
        <v>8455.73</v>
      </c>
      <c r="BA34" s="113"/>
      <c r="BB34" s="110"/>
      <c r="BC34" s="111">
        <v>210</v>
      </c>
      <c r="BD34" s="204"/>
      <c r="BE34" s="88">
        <v>-1.2628200000000191</v>
      </c>
      <c r="BF34" s="28"/>
      <c r="BG34" s="28"/>
      <c r="BH34" s="226">
        <f t="shared" si="5"/>
        <v>208.73717999999997</v>
      </c>
      <c r="BJ34" s="110">
        <v>21263.94</v>
      </c>
      <c r="BK34" s="113">
        <v>658.7</v>
      </c>
      <c r="BL34" s="110"/>
      <c r="BM34" s="111">
        <v>532.79</v>
      </c>
      <c r="BN34" s="204"/>
      <c r="BO34" s="88">
        <v>63.755240000000001</v>
      </c>
      <c r="BP34" s="328">
        <v>2.2754199999999969</v>
      </c>
      <c r="BQ34" s="28"/>
      <c r="BR34" s="226">
        <f t="shared" si="6"/>
        <v>598.82065999999986</v>
      </c>
      <c r="BT34" s="110">
        <v>1363.86</v>
      </c>
      <c r="BU34" s="113">
        <v>1300.8699999999999</v>
      </c>
      <c r="BV34" s="110"/>
      <c r="BW34" s="111">
        <v>144.06</v>
      </c>
      <c r="BX34" s="204"/>
      <c r="BY34" s="215"/>
      <c r="BZ34" s="28"/>
      <c r="CA34" s="28"/>
      <c r="CB34" s="226">
        <f t="shared" si="7"/>
        <v>144.06</v>
      </c>
      <c r="CD34" s="110">
        <v>1433.05</v>
      </c>
      <c r="CE34" s="113"/>
      <c r="CF34" s="110"/>
      <c r="CG34" s="111">
        <v>94.37</v>
      </c>
      <c r="CH34" s="204"/>
      <c r="CI34" s="88">
        <v>47.398500000000013</v>
      </c>
      <c r="CJ34" s="328">
        <v>2.74</v>
      </c>
      <c r="CK34" s="28"/>
      <c r="CL34" s="226">
        <f t="shared" si="8"/>
        <v>144.50850000000003</v>
      </c>
      <c r="CN34" s="110">
        <v>1769.58</v>
      </c>
      <c r="CO34" s="110">
        <v>1003.3</v>
      </c>
      <c r="CP34" s="113">
        <v>2363.14</v>
      </c>
      <c r="CQ34" s="110"/>
      <c r="CR34" s="111">
        <v>696.57</v>
      </c>
      <c r="CS34" s="204"/>
      <c r="CT34" s="215"/>
      <c r="CU34" s="328"/>
      <c r="CV34" s="28"/>
      <c r="CW34" s="226">
        <f t="shared" si="9"/>
        <v>696.57</v>
      </c>
    </row>
    <row r="35" spans="1:101" s="129" customFormat="1" ht="15.75" thickBot="1" x14ac:dyDescent="0.3">
      <c r="A35" s="121">
        <v>45869</v>
      </c>
      <c r="B35" s="139">
        <v>2595.86</v>
      </c>
      <c r="C35" s="140">
        <v>3994.71</v>
      </c>
      <c r="D35" s="139">
        <v>26.77</v>
      </c>
      <c r="E35" s="141">
        <v>127.53</v>
      </c>
      <c r="F35" s="204"/>
      <c r="G35" s="88"/>
      <c r="H35" s="45"/>
      <c r="I35" s="336"/>
      <c r="J35" s="227">
        <f t="shared" si="0"/>
        <v>127.53</v>
      </c>
      <c r="L35" s="110">
        <v>5402.04</v>
      </c>
      <c r="M35" s="113">
        <v>2567.0500000000002</v>
      </c>
      <c r="N35" s="110"/>
      <c r="O35" s="111">
        <v>17.760000000000002</v>
      </c>
      <c r="P35" s="204"/>
      <c r="Q35" s="88">
        <v>24.122500000000016</v>
      </c>
      <c r="R35" s="328"/>
      <c r="S35" s="336"/>
      <c r="T35" s="227">
        <f t="shared" si="1"/>
        <v>41.882500000000022</v>
      </c>
      <c r="U35" s="138"/>
      <c r="V35" s="110">
        <v>3951.24</v>
      </c>
      <c r="W35" s="113"/>
      <c r="X35" s="110"/>
      <c r="Y35" s="111"/>
      <c r="Z35" s="204"/>
      <c r="AA35" s="88">
        <v>-7.3060000000012337E-2</v>
      </c>
      <c r="AB35" s="45"/>
      <c r="AC35" s="45"/>
      <c r="AD35" s="227">
        <f t="shared" si="2"/>
        <v>-7.3060000000012337E-2</v>
      </c>
      <c r="AF35" s="110">
        <v>2134.15</v>
      </c>
      <c r="AG35" s="113">
        <v>426.29</v>
      </c>
      <c r="AH35" s="110"/>
      <c r="AI35" s="111"/>
      <c r="AJ35" s="204"/>
      <c r="AK35" s="216"/>
      <c r="AL35" s="45"/>
      <c r="AM35" s="45"/>
      <c r="AN35" s="227">
        <f t="shared" si="3"/>
        <v>0</v>
      </c>
      <c r="AP35" s="110">
        <v>3367.16</v>
      </c>
      <c r="AQ35" s="110">
        <v>933.87</v>
      </c>
      <c r="AR35" s="110"/>
      <c r="AS35" s="123">
        <v>57.24</v>
      </c>
      <c r="AT35" s="204"/>
      <c r="AU35" s="88">
        <v>-95.194010000000191</v>
      </c>
      <c r="AV35" s="45"/>
      <c r="AW35" s="336">
        <v>13.584985200000006</v>
      </c>
      <c r="AX35" s="227">
        <f t="shared" si="4"/>
        <v>-24.369024800000183</v>
      </c>
      <c r="AZ35" s="110">
        <v>4478.79</v>
      </c>
      <c r="BA35" s="113"/>
      <c r="BB35" s="110"/>
      <c r="BC35" s="111"/>
      <c r="BD35" s="204"/>
      <c r="BE35" s="88">
        <v>-0.38726000000001193</v>
      </c>
      <c r="BF35" s="45"/>
      <c r="BG35" s="45"/>
      <c r="BH35" s="227">
        <f t="shared" si="5"/>
        <v>-0.38726000000001193</v>
      </c>
      <c r="BJ35" s="110">
        <v>17915.740000000002</v>
      </c>
      <c r="BK35" s="113">
        <v>977.21</v>
      </c>
      <c r="BL35" s="110"/>
      <c r="BM35" s="111">
        <v>643.75</v>
      </c>
      <c r="BN35" s="204"/>
      <c r="BO35" s="88">
        <v>51.616150000000019</v>
      </c>
      <c r="BP35" s="328"/>
      <c r="BQ35" s="45"/>
      <c r="BR35" s="227">
        <f t="shared" si="6"/>
        <v>695.36615000000006</v>
      </c>
      <c r="BT35" s="110">
        <v>1916.62</v>
      </c>
      <c r="BU35" s="113">
        <v>767.25</v>
      </c>
      <c r="BV35" s="110"/>
      <c r="BW35" s="111">
        <v>75.010000000000005</v>
      </c>
      <c r="BX35" s="204"/>
      <c r="BY35" s="216"/>
      <c r="BZ35" s="45"/>
      <c r="CA35" s="45"/>
      <c r="CB35" s="227">
        <f t="shared" si="7"/>
        <v>75.010000000000005</v>
      </c>
      <c r="CD35" s="110">
        <v>2550.06</v>
      </c>
      <c r="CE35" s="113"/>
      <c r="CF35" s="110"/>
      <c r="CG35" s="111">
        <v>15.6</v>
      </c>
      <c r="CH35" s="204"/>
      <c r="CI35" s="88">
        <v>10.593899999999991</v>
      </c>
      <c r="CJ35" s="328"/>
      <c r="CK35" s="45"/>
      <c r="CL35" s="227">
        <f t="shared" si="8"/>
        <v>26.193899999999992</v>
      </c>
      <c r="CN35" s="110">
        <v>2508.98</v>
      </c>
      <c r="CO35" s="142">
        <v>433.3</v>
      </c>
      <c r="CP35" s="143">
        <v>1622.62</v>
      </c>
      <c r="CQ35" s="110"/>
      <c r="CR35" s="111">
        <v>144.54</v>
      </c>
      <c r="CS35" s="204"/>
      <c r="CT35" s="216"/>
      <c r="CU35" s="328"/>
      <c r="CV35" s="45"/>
      <c r="CW35" s="227">
        <f t="shared" si="9"/>
        <v>144.54</v>
      </c>
    </row>
    <row r="36" spans="1:101" s="309" customFormat="1" ht="16.5" thickBot="1" x14ac:dyDescent="0.3">
      <c r="B36" s="251">
        <f>SUM(B5:B35)</f>
        <v>104657.35000000002</v>
      </c>
      <c r="C36" s="251">
        <f>SUM(C5:C35)</f>
        <v>84838.39</v>
      </c>
      <c r="D36" s="252">
        <f>SUM(D5:D35)</f>
        <v>489.13</v>
      </c>
      <c r="E36" s="251">
        <f>SUM(E5:E35)</f>
        <v>5621.6399999999985</v>
      </c>
      <c r="F36" s="306"/>
      <c r="G36" s="307">
        <f t="shared" ref="G36:J36" si="10">SUM(G5:G35)</f>
        <v>403.78354999999993</v>
      </c>
      <c r="H36" s="308">
        <f t="shared" si="10"/>
        <v>0</v>
      </c>
      <c r="I36" s="308">
        <f t="shared" si="10"/>
        <v>150.58026579999989</v>
      </c>
      <c r="J36" s="308">
        <f t="shared" si="10"/>
        <v>6176.0038157999988</v>
      </c>
      <c r="L36" s="251">
        <f>SUM(L5:L35)</f>
        <v>143582.62000000002</v>
      </c>
      <c r="M36" s="252">
        <f>SUM(M5:M35)</f>
        <v>88256.390000000014</v>
      </c>
      <c r="N36" s="252">
        <f>SUM(N5:N35)</f>
        <v>0</v>
      </c>
      <c r="O36" s="253">
        <f>SUM(O5:O35)</f>
        <v>941.91999999999973</v>
      </c>
      <c r="P36" s="306"/>
      <c r="Q36" s="307">
        <f t="shared" ref="Q36" si="11">SUM(Q5:Q35)</f>
        <v>4503.5041200000005</v>
      </c>
      <c r="R36" s="308">
        <f t="shared" ref="R36" si="12">SUM(R5:R35)</f>
        <v>82.439709999999991</v>
      </c>
      <c r="S36" s="308">
        <f t="shared" ref="S36" si="13">SUM(S5:S35)</f>
        <v>1840.9165189000005</v>
      </c>
      <c r="T36" s="308">
        <f t="shared" ref="T36" si="14">SUM(T5:T35)</f>
        <v>7368.7803488999971</v>
      </c>
      <c r="V36" s="251">
        <f>SUM(V5:V35)</f>
        <v>42116.97</v>
      </c>
      <c r="W36" s="252">
        <f>SUM(W5:W35)</f>
        <v>0</v>
      </c>
      <c r="X36" s="252">
        <f>SUM(X5:X35)</f>
        <v>0</v>
      </c>
      <c r="Y36" s="253">
        <f>SUM(Y5:Y35)</f>
        <v>0</v>
      </c>
      <c r="Z36" s="306"/>
      <c r="AA36" s="307">
        <f t="shared" ref="AA36" si="15">SUM(AA5:AA35)</f>
        <v>363.58868799999965</v>
      </c>
      <c r="AB36" s="308">
        <f t="shared" ref="AB36" si="16">SUM(AB5:AB35)</f>
        <v>0</v>
      </c>
      <c r="AC36" s="308">
        <f t="shared" ref="AC36" si="17">SUM(AC5:AC35)</f>
        <v>0</v>
      </c>
      <c r="AD36" s="308">
        <f t="shared" ref="AD36" si="18">SUM(AD5:AD35)</f>
        <v>363.58868799999965</v>
      </c>
      <c r="AF36" s="251">
        <f>SUM(AF5:AF35)</f>
        <v>131946.43</v>
      </c>
      <c r="AG36" s="252">
        <f>SUM(AG5:AG35)</f>
        <v>16817.289999999997</v>
      </c>
      <c r="AH36" s="252">
        <f>SUM(AH5:AH35)</f>
        <v>0</v>
      </c>
      <c r="AI36" s="253">
        <f>SUM(AI5:AI35)</f>
        <v>0</v>
      </c>
      <c r="AJ36" s="306"/>
      <c r="AK36" s="307">
        <f t="shared" ref="AK36" si="19">SUM(AK5:AK35)</f>
        <v>0</v>
      </c>
      <c r="AL36" s="308">
        <f t="shared" ref="AL36" si="20">SUM(AL5:AL35)</f>
        <v>0</v>
      </c>
      <c r="AM36" s="308">
        <f t="shared" ref="AM36" si="21">SUM(AM5:AM35)</f>
        <v>0</v>
      </c>
      <c r="AN36" s="308">
        <f t="shared" ref="AN36" si="22">SUM(AN5:AN35)</f>
        <v>0</v>
      </c>
      <c r="AP36" s="252">
        <f>SUM(AP5:AP35)</f>
        <v>141514.60000000003</v>
      </c>
      <c r="AQ36" s="252">
        <f>SUM(AQ5:AQ35)</f>
        <v>35536.450000000004</v>
      </c>
      <c r="AR36" s="252">
        <f>SUM(AR5:AR35)</f>
        <v>0</v>
      </c>
      <c r="AS36" s="252">
        <f>SUM(AS5:AS35)</f>
        <v>2469.6100000000006</v>
      </c>
      <c r="AT36" s="306"/>
      <c r="AU36" s="307">
        <f t="shared" ref="AU36" si="23">SUM(AU5:AU35)</f>
        <v>231.14948999999646</v>
      </c>
      <c r="AV36" s="308">
        <f t="shared" ref="AV36" si="24">SUM(AV5:AV35)</f>
        <v>73.299160000000029</v>
      </c>
      <c r="AW36" s="308">
        <f t="shared" ref="AW36" si="25">SUM(AW5:AW35)</f>
        <v>188.2316845999998</v>
      </c>
      <c r="AX36" s="308">
        <f t="shared" ref="AX36" si="26">SUM(AX5:AX35)</f>
        <v>2962.2903345999962</v>
      </c>
      <c r="AZ36" s="251">
        <f>SUM(AZ5:AZ35)</f>
        <v>154637.21</v>
      </c>
      <c r="BA36" s="252">
        <f>SUM(BA5:BA35)</f>
        <v>0</v>
      </c>
      <c r="BB36" s="252">
        <f>SUM(BB5:BB35)</f>
        <v>0</v>
      </c>
      <c r="BC36" s="253">
        <f>SUM(BC5:BC35)</f>
        <v>210</v>
      </c>
      <c r="BD36" s="306"/>
      <c r="BE36" s="307">
        <f t="shared" ref="BE36" si="27">SUM(BE5:BE35)</f>
        <v>849.74845199999925</v>
      </c>
      <c r="BF36" s="308">
        <f t="shared" ref="BF36" si="28">SUM(BF5:BF35)</f>
        <v>0</v>
      </c>
      <c r="BG36" s="308">
        <f t="shared" ref="BG36" si="29">SUM(BG5:BG35)</f>
        <v>0</v>
      </c>
      <c r="BH36" s="308">
        <f t="shared" ref="BH36" si="30">SUM(BH5:BH35)</f>
        <v>1059.7484519999994</v>
      </c>
      <c r="BJ36" s="251">
        <f>SUM(BJ5:BJ35)</f>
        <v>531774.00999999989</v>
      </c>
      <c r="BK36" s="252">
        <f>SUM(BK5:BK35)</f>
        <v>27798.799999999996</v>
      </c>
      <c r="BL36" s="252">
        <f>SUM(BL5:BL35)</f>
        <v>0</v>
      </c>
      <c r="BM36" s="253">
        <f>SUM(BM5:BM35)</f>
        <v>6373.8600000000006</v>
      </c>
      <c r="BN36" s="306"/>
      <c r="BO36" s="307">
        <f t="shared" ref="BO36" si="31">SUM(BO5:BO35)</f>
        <v>1644.3684100000014</v>
      </c>
      <c r="BP36" s="308">
        <f t="shared" ref="BP36" si="32">SUM(BP5:BP35)</f>
        <v>969.87688000000026</v>
      </c>
      <c r="BQ36" s="308">
        <f t="shared" ref="BQ36" si="33">SUM(BQ5:BQ35)</f>
        <v>0</v>
      </c>
      <c r="BR36" s="308">
        <f t="shared" ref="BR36" si="34">SUM(BR5:BR35)</f>
        <v>8988.1052900000013</v>
      </c>
      <c r="BT36" s="251">
        <f>SUM(BT5:BT35)</f>
        <v>94271.070000000022</v>
      </c>
      <c r="BU36" s="252">
        <f>SUM(BU5:BU35)</f>
        <v>42142.81</v>
      </c>
      <c r="BV36" s="252">
        <f>SUM(BV5:BV35)</f>
        <v>0</v>
      </c>
      <c r="BW36" s="253">
        <f>SUM(BW5:BW35)</f>
        <v>1647.4399999999998</v>
      </c>
      <c r="BX36" s="306"/>
      <c r="BY36" s="307">
        <f t="shared" ref="BY36" si="35">SUM(BY5:BY35)</f>
        <v>0</v>
      </c>
      <c r="BZ36" s="308">
        <f t="shared" ref="BZ36" si="36">SUM(BZ5:BZ35)</f>
        <v>0</v>
      </c>
      <c r="CA36" s="308">
        <f t="shared" ref="CA36" si="37">SUM(CA5:CA35)</f>
        <v>0</v>
      </c>
      <c r="CB36" s="308">
        <f t="shared" ref="CB36" si="38">SUM(CB5:CB35)</f>
        <v>1647.4399999999998</v>
      </c>
      <c r="CD36" s="251">
        <f>SUM(CD5:CD35)</f>
        <v>59110.470000000008</v>
      </c>
      <c r="CE36" s="252">
        <f>SUM(CE5:CE35)</f>
        <v>0</v>
      </c>
      <c r="CF36" s="252">
        <f>SUM(CF5:CF35)</f>
        <v>0</v>
      </c>
      <c r="CG36" s="253">
        <f>SUM(CG5:CG35)</f>
        <v>4361.8200000000006</v>
      </c>
      <c r="CH36" s="306"/>
      <c r="CI36" s="307">
        <f t="shared" ref="CI36" si="39">SUM(CI5:CI35)</f>
        <v>760.59330999999986</v>
      </c>
      <c r="CJ36" s="308">
        <f t="shared" ref="CJ36" si="40">SUM(CJ5:CJ35)</f>
        <v>173.05242999999993</v>
      </c>
      <c r="CK36" s="308">
        <f t="shared" ref="CK36" si="41">SUM(CK5:CK35)</f>
        <v>0</v>
      </c>
      <c r="CL36" s="308">
        <f t="shared" ref="CL36" si="42">SUM(CL5:CL35)</f>
        <v>5295.4657399999996</v>
      </c>
      <c r="CN36" s="251">
        <f>SUM(CN5:CN35)</f>
        <v>48729.020000000004</v>
      </c>
      <c r="CO36" s="252">
        <f>SUM(CO5:CO35)</f>
        <v>23104.6</v>
      </c>
      <c r="CP36" s="252">
        <f>SUM(CP5:CP35)</f>
        <v>58878.270000000011</v>
      </c>
      <c r="CQ36" s="252">
        <f>SUM(CQ5:CQ35)</f>
        <v>0</v>
      </c>
      <c r="CR36" s="253">
        <f>SUM(CR5:CR35)</f>
        <v>14966.66</v>
      </c>
      <c r="CS36" s="306"/>
      <c r="CT36" s="307">
        <f t="shared" ref="CT36" si="43">SUM(CT5:CT35)</f>
        <v>0</v>
      </c>
      <c r="CU36" s="308">
        <f t="shared" ref="CU36" si="44">SUM(CU5:CU35)</f>
        <v>1557.5035299999997</v>
      </c>
      <c r="CV36" s="308">
        <f t="shared" ref="CV36" si="45">SUM(CV5:CV35)</f>
        <v>0</v>
      </c>
      <c r="CW36" s="308">
        <f t="shared" ref="CW36" si="46">SUM(CW5:CW35)</f>
        <v>16524.163530000002</v>
      </c>
    </row>
    <row r="39" spans="1:101" ht="21" x14ac:dyDescent="0.35">
      <c r="B39" s="91" t="s">
        <v>53</v>
      </c>
      <c r="L39" s="91" t="s">
        <v>54</v>
      </c>
      <c r="V39" s="91" t="s">
        <v>55</v>
      </c>
      <c r="AF39" s="91" t="s">
        <v>56</v>
      </c>
      <c r="AP39" s="91" t="s">
        <v>57</v>
      </c>
      <c r="AZ39" s="91" t="s">
        <v>58</v>
      </c>
      <c r="BJ39" s="91" t="s">
        <v>59</v>
      </c>
      <c r="BT39" s="91" t="s">
        <v>60</v>
      </c>
      <c r="CD39" s="91" t="s">
        <v>61</v>
      </c>
      <c r="CN39" s="91" t="s">
        <v>62</v>
      </c>
    </row>
    <row r="40" spans="1:101" ht="15.75" thickBot="1" x14ac:dyDescent="0.3"/>
    <row r="41" spans="1:101" s="129" customFormat="1" ht="12.75" x14ac:dyDescent="0.2">
      <c r="A41" s="125" t="s">
        <v>15</v>
      </c>
      <c r="B41" s="4" t="s">
        <v>16</v>
      </c>
      <c r="C41" s="126" t="s">
        <v>16</v>
      </c>
      <c r="D41" s="128" t="s">
        <v>17</v>
      </c>
      <c r="E41" s="127" t="s">
        <v>17</v>
      </c>
      <c r="F41" s="212"/>
      <c r="G41" s="232" t="s">
        <v>17</v>
      </c>
      <c r="H41" s="233" t="s">
        <v>17</v>
      </c>
      <c r="I41" s="234" t="s">
        <v>17</v>
      </c>
      <c r="J41" s="254" t="s">
        <v>68</v>
      </c>
      <c r="L41" s="4" t="s">
        <v>16</v>
      </c>
      <c r="M41" s="126" t="s">
        <v>16</v>
      </c>
      <c r="N41" s="128" t="s">
        <v>17</v>
      </c>
      <c r="O41" s="127" t="s">
        <v>17</v>
      </c>
      <c r="P41" s="212"/>
      <c r="Q41" s="232" t="s">
        <v>17</v>
      </c>
      <c r="R41" s="233" t="s">
        <v>17</v>
      </c>
      <c r="S41" s="234" t="s">
        <v>17</v>
      </c>
      <c r="T41" s="254" t="s">
        <v>68</v>
      </c>
      <c r="V41" s="4" t="s">
        <v>16</v>
      </c>
      <c r="W41" s="126" t="s">
        <v>16</v>
      </c>
      <c r="X41" s="128" t="s">
        <v>17</v>
      </c>
      <c r="Y41" s="127" t="s">
        <v>17</v>
      </c>
      <c r="Z41" s="212"/>
      <c r="AA41" s="232" t="s">
        <v>17</v>
      </c>
      <c r="AB41" s="233" t="s">
        <v>17</v>
      </c>
      <c r="AC41" s="234" t="s">
        <v>17</v>
      </c>
      <c r="AD41" s="254" t="s">
        <v>68</v>
      </c>
      <c r="AF41" s="4" t="s">
        <v>16</v>
      </c>
      <c r="AG41" s="126" t="s">
        <v>16</v>
      </c>
      <c r="AH41" s="128" t="s">
        <v>17</v>
      </c>
      <c r="AI41" s="127" t="s">
        <v>17</v>
      </c>
      <c r="AJ41" s="212"/>
      <c r="AK41" s="232" t="s">
        <v>17</v>
      </c>
      <c r="AL41" s="233" t="s">
        <v>17</v>
      </c>
      <c r="AM41" s="234" t="s">
        <v>17</v>
      </c>
      <c r="AN41" s="254" t="s">
        <v>68</v>
      </c>
      <c r="AP41" s="4" t="s">
        <v>16</v>
      </c>
      <c r="AQ41" s="126" t="s">
        <v>16</v>
      </c>
      <c r="AR41" s="128" t="s">
        <v>17</v>
      </c>
      <c r="AS41" s="127" t="s">
        <v>17</v>
      </c>
      <c r="AT41" s="212"/>
      <c r="AU41" s="232" t="s">
        <v>17</v>
      </c>
      <c r="AV41" s="233" t="s">
        <v>17</v>
      </c>
      <c r="AW41" s="234" t="s">
        <v>17</v>
      </c>
      <c r="AX41" s="254" t="s">
        <v>68</v>
      </c>
      <c r="AZ41" s="4" t="s">
        <v>16</v>
      </c>
      <c r="BA41" s="126" t="s">
        <v>16</v>
      </c>
      <c r="BB41" s="128" t="s">
        <v>17</v>
      </c>
      <c r="BC41" s="127" t="s">
        <v>17</v>
      </c>
      <c r="BD41" s="212"/>
      <c r="BE41" s="232" t="s">
        <v>17</v>
      </c>
      <c r="BF41" s="233" t="s">
        <v>17</v>
      </c>
      <c r="BG41" s="234" t="s">
        <v>17</v>
      </c>
      <c r="BH41" s="254" t="s">
        <v>68</v>
      </c>
      <c r="BJ41" s="4" t="s">
        <v>16</v>
      </c>
      <c r="BK41" s="126" t="s">
        <v>16</v>
      </c>
      <c r="BL41" s="128" t="s">
        <v>17</v>
      </c>
      <c r="BM41" s="127" t="s">
        <v>17</v>
      </c>
      <c r="BN41" s="212"/>
      <c r="BO41" s="232" t="s">
        <v>17</v>
      </c>
      <c r="BP41" s="233" t="s">
        <v>17</v>
      </c>
      <c r="BQ41" s="234" t="s">
        <v>17</v>
      </c>
      <c r="BR41" s="254" t="s">
        <v>68</v>
      </c>
      <c r="BT41" s="4" t="s">
        <v>16</v>
      </c>
      <c r="BU41" s="126" t="s">
        <v>16</v>
      </c>
      <c r="BV41" s="128" t="s">
        <v>17</v>
      </c>
      <c r="BW41" s="127" t="s">
        <v>17</v>
      </c>
      <c r="BX41" s="212"/>
      <c r="BY41" s="232" t="s">
        <v>17</v>
      </c>
      <c r="BZ41" s="233" t="s">
        <v>17</v>
      </c>
      <c r="CA41" s="234" t="s">
        <v>17</v>
      </c>
      <c r="CB41" s="254" t="s">
        <v>68</v>
      </c>
      <c r="CD41" s="4" t="s">
        <v>16</v>
      </c>
      <c r="CE41" s="126" t="s">
        <v>16</v>
      </c>
      <c r="CF41" s="128" t="s">
        <v>17</v>
      </c>
      <c r="CG41" s="127" t="s">
        <v>17</v>
      </c>
      <c r="CH41" s="212"/>
      <c r="CI41" s="232" t="s">
        <v>17</v>
      </c>
      <c r="CJ41" s="233" t="s">
        <v>17</v>
      </c>
      <c r="CK41" s="234" t="s">
        <v>17</v>
      </c>
      <c r="CL41" s="254" t="s">
        <v>68</v>
      </c>
      <c r="CN41" s="4" t="s">
        <v>16</v>
      </c>
      <c r="CO41" s="126" t="s">
        <v>16</v>
      </c>
      <c r="CP41" s="126" t="s">
        <v>16</v>
      </c>
      <c r="CQ41" s="128" t="s">
        <v>17</v>
      </c>
      <c r="CR41" s="127" t="s">
        <v>17</v>
      </c>
      <c r="CS41" s="212"/>
      <c r="CT41" s="232" t="s">
        <v>17</v>
      </c>
      <c r="CU41" s="233" t="s">
        <v>17</v>
      </c>
      <c r="CV41" s="234" t="s">
        <v>17</v>
      </c>
      <c r="CW41" s="255" t="s">
        <v>68</v>
      </c>
    </row>
    <row r="42" spans="1:101" s="129" customFormat="1" ht="13.5" thickBot="1" x14ac:dyDescent="0.25">
      <c r="A42" s="130"/>
      <c r="B42" s="131" t="s">
        <v>19</v>
      </c>
      <c r="C42" s="132" t="s">
        <v>20</v>
      </c>
      <c r="D42" s="134" t="s">
        <v>20</v>
      </c>
      <c r="E42" s="133" t="s">
        <v>21</v>
      </c>
      <c r="F42" s="212"/>
      <c r="G42" s="235" t="s">
        <v>64</v>
      </c>
      <c r="H42" s="236" t="s">
        <v>65</v>
      </c>
      <c r="I42" s="237" t="s">
        <v>66</v>
      </c>
      <c r="J42" s="238" t="s">
        <v>69</v>
      </c>
      <c r="L42" s="131" t="s">
        <v>19</v>
      </c>
      <c r="M42" s="132" t="s">
        <v>20</v>
      </c>
      <c r="N42" s="134" t="s">
        <v>20</v>
      </c>
      <c r="O42" s="133" t="s">
        <v>21</v>
      </c>
      <c r="P42" s="212"/>
      <c r="Q42" s="235" t="s">
        <v>64</v>
      </c>
      <c r="R42" s="236" t="s">
        <v>65</v>
      </c>
      <c r="S42" s="237" t="s">
        <v>66</v>
      </c>
      <c r="T42" s="238" t="s">
        <v>69</v>
      </c>
      <c r="V42" s="131" t="s">
        <v>19</v>
      </c>
      <c r="W42" s="132" t="s">
        <v>20</v>
      </c>
      <c r="X42" s="134" t="s">
        <v>20</v>
      </c>
      <c r="Y42" s="133" t="s">
        <v>21</v>
      </c>
      <c r="Z42" s="212"/>
      <c r="AA42" s="235" t="s">
        <v>64</v>
      </c>
      <c r="AB42" s="236" t="s">
        <v>65</v>
      </c>
      <c r="AC42" s="237" t="s">
        <v>66</v>
      </c>
      <c r="AD42" s="238" t="s">
        <v>69</v>
      </c>
      <c r="AF42" s="131" t="s">
        <v>19</v>
      </c>
      <c r="AG42" s="132" t="s">
        <v>20</v>
      </c>
      <c r="AH42" s="134" t="s">
        <v>20</v>
      </c>
      <c r="AI42" s="133" t="s">
        <v>21</v>
      </c>
      <c r="AJ42" s="212"/>
      <c r="AK42" s="235" t="s">
        <v>64</v>
      </c>
      <c r="AL42" s="236" t="s">
        <v>65</v>
      </c>
      <c r="AM42" s="237" t="s">
        <v>66</v>
      </c>
      <c r="AN42" s="238" t="s">
        <v>69</v>
      </c>
      <c r="AP42" s="131" t="s">
        <v>19</v>
      </c>
      <c r="AQ42" s="132" t="s">
        <v>20</v>
      </c>
      <c r="AR42" s="134" t="s">
        <v>20</v>
      </c>
      <c r="AS42" s="133" t="s">
        <v>21</v>
      </c>
      <c r="AT42" s="212"/>
      <c r="AU42" s="235" t="s">
        <v>64</v>
      </c>
      <c r="AV42" s="236" t="s">
        <v>65</v>
      </c>
      <c r="AW42" s="237" t="s">
        <v>66</v>
      </c>
      <c r="AX42" s="238" t="s">
        <v>69</v>
      </c>
      <c r="AZ42" s="131" t="s">
        <v>19</v>
      </c>
      <c r="BA42" s="132" t="s">
        <v>20</v>
      </c>
      <c r="BB42" s="134" t="s">
        <v>20</v>
      </c>
      <c r="BC42" s="133" t="s">
        <v>21</v>
      </c>
      <c r="BD42" s="212"/>
      <c r="BE42" s="235" t="s">
        <v>64</v>
      </c>
      <c r="BF42" s="236" t="s">
        <v>65</v>
      </c>
      <c r="BG42" s="237" t="s">
        <v>66</v>
      </c>
      <c r="BH42" s="238" t="s">
        <v>69</v>
      </c>
      <c r="BJ42" s="131" t="s">
        <v>19</v>
      </c>
      <c r="BK42" s="132" t="s">
        <v>20</v>
      </c>
      <c r="BL42" s="134" t="s">
        <v>20</v>
      </c>
      <c r="BM42" s="133" t="s">
        <v>21</v>
      </c>
      <c r="BN42" s="212"/>
      <c r="BO42" s="235" t="s">
        <v>64</v>
      </c>
      <c r="BP42" s="236" t="s">
        <v>65</v>
      </c>
      <c r="BQ42" s="237" t="s">
        <v>66</v>
      </c>
      <c r="BR42" s="238" t="s">
        <v>69</v>
      </c>
      <c r="BT42" s="131" t="s">
        <v>19</v>
      </c>
      <c r="BU42" s="132" t="s">
        <v>20</v>
      </c>
      <c r="BV42" s="134" t="s">
        <v>20</v>
      </c>
      <c r="BW42" s="133" t="s">
        <v>21</v>
      </c>
      <c r="BX42" s="212"/>
      <c r="BY42" s="235" t="s">
        <v>64</v>
      </c>
      <c r="BZ42" s="236" t="s">
        <v>65</v>
      </c>
      <c r="CA42" s="237" t="s">
        <v>66</v>
      </c>
      <c r="CB42" s="238" t="s">
        <v>69</v>
      </c>
      <c r="CD42" s="131" t="s">
        <v>19</v>
      </c>
      <c r="CE42" s="132" t="s">
        <v>20</v>
      </c>
      <c r="CF42" s="134" t="s">
        <v>20</v>
      </c>
      <c r="CG42" s="133" t="s">
        <v>21</v>
      </c>
      <c r="CH42" s="212"/>
      <c r="CI42" s="235" t="s">
        <v>64</v>
      </c>
      <c r="CJ42" s="236" t="s">
        <v>65</v>
      </c>
      <c r="CK42" s="237" t="s">
        <v>66</v>
      </c>
      <c r="CL42" s="238" t="s">
        <v>69</v>
      </c>
      <c r="CN42" s="131" t="s">
        <v>19</v>
      </c>
      <c r="CO42" s="132" t="s">
        <v>20</v>
      </c>
      <c r="CP42" s="132" t="s">
        <v>22</v>
      </c>
      <c r="CQ42" s="134" t="s">
        <v>20</v>
      </c>
      <c r="CR42" s="133" t="s">
        <v>21</v>
      </c>
      <c r="CS42" s="212"/>
      <c r="CT42" s="235" t="s">
        <v>64</v>
      </c>
      <c r="CU42" s="236" t="s">
        <v>65</v>
      </c>
      <c r="CV42" s="237" t="s">
        <v>66</v>
      </c>
      <c r="CW42" s="256" t="s">
        <v>69</v>
      </c>
    </row>
    <row r="43" spans="1:101" s="129" customFormat="1" x14ac:dyDescent="0.25">
      <c r="A43" s="102">
        <v>45870</v>
      </c>
      <c r="B43" s="135">
        <v>2226.84</v>
      </c>
      <c r="C43" s="136">
        <v>2960.99</v>
      </c>
      <c r="D43" s="135">
        <v>23.6</v>
      </c>
      <c r="E43" s="137">
        <v>176.23</v>
      </c>
      <c r="F43" s="204"/>
      <c r="G43" s="88"/>
      <c r="H43" s="15"/>
      <c r="I43" s="337">
        <v>62.497744799999964</v>
      </c>
      <c r="J43" s="225">
        <f>SUM(E43:I43)</f>
        <v>238.72774479999995</v>
      </c>
      <c r="L43" s="103">
        <v>4709.2299999999996</v>
      </c>
      <c r="M43" s="106">
        <v>2697.59</v>
      </c>
      <c r="N43" s="103"/>
      <c r="O43" s="104">
        <v>23.42</v>
      </c>
      <c r="P43" s="204"/>
      <c r="Q43" s="88">
        <v>71.886210000000005</v>
      </c>
      <c r="R43" s="328"/>
      <c r="S43" s="337">
        <v>204.78336610000014</v>
      </c>
      <c r="T43" s="225">
        <f>SUM(O43:S43)</f>
        <v>300.08957610000016</v>
      </c>
      <c r="U43" s="138"/>
      <c r="V43" s="103">
        <v>1004.07</v>
      </c>
      <c r="W43" s="106"/>
      <c r="X43" s="103"/>
      <c r="Y43" s="104">
        <v>12.84</v>
      </c>
      <c r="Z43" s="204"/>
      <c r="AA43" s="88">
        <v>-0.72843000000017355</v>
      </c>
      <c r="AB43" s="15"/>
      <c r="AC43" s="15"/>
      <c r="AD43" s="225">
        <f>SUM(Y43:AC43)</f>
        <v>12.111569999999826</v>
      </c>
      <c r="AF43" s="103">
        <v>4466.8899999999994</v>
      </c>
      <c r="AG43" s="106">
        <v>975.94</v>
      </c>
      <c r="AH43" s="103"/>
      <c r="AI43" s="104"/>
      <c r="AJ43" s="204"/>
      <c r="AK43" s="214"/>
      <c r="AL43" s="15"/>
      <c r="AM43" s="15"/>
      <c r="AN43" s="225">
        <f>SUM(AI43:AM43)</f>
        <v>0</v>
      </c>
      <c r="AP43" s="103">
        <v>4617.5</v>
      </c>
      <c r="AQ43" s="103">
        <v>1569.57</v>
      </c>
      <c r="AR43" s="103"/>
      <c r="AS43" s="108">
        <v>27.92</v>
      </c>
      <c r="AT43" s="204"/>
      <c r="AU43" s="88">
        <v>-53.940490000000096</v>
      </c>
      <c r="AV43" s="328">
        <v>21.589999999999975</v>
      </c>
      <c r="AW43" s="337"/>
      <c r="AX43" s="225">
        <f>SUM(AS43:AW43)</f>
        <v>-4.4304900000001197</v>
      </c>
      <c r="AZ43" s="103">
        <v>3870.04</v>
      </c>
      <c r="BA43" s="106"/>
      <c r="BB43" s="103"/>
      <c r="BC43" s="104"/>
      <c r="BD43" s="204"/>
      <c r="BE43" s="88">
        <v>-2.1375400000001719</v>
      </c>
      <c r="BF43" s="15"/>
      <c r="BG43" s="15"/>
      <c r="BH43" s="225">
        <f>SUM(BC43:BG43)</f>
        <v>-2.1375400000001719</v>
      </c>
      <c r="BJ43" s="103">
        <v>17690.63</v>
      </c>
      <c r="BK43" s="106">
        <v>1065.77</v>
      </c>
      <c r="BL43" s="103"/>
      <c r="BM43" s="104">
        <v>201.07</v>
      </c>
      <c r="BN43" s="204"/>
      <c r="BO43" s="88">
        <v>58.628820000000005</v>
      </c>
      <c r="BP43" s="328">
        <v>4.9078399999999647</v>
      </c>
      <c r="BQ43" s="15"/>
      <c r="BR43" s="225">
        <f>SUM(BM43:BQ43)</f>
        <v>264.60665999999998</v>
      </c>
      <c r="BT43" s="103">
        <v>2136.6</v>
      </c>
      <c r="BU43" s="106">
        <v>1693.29</v>
      </c>
      <c r="BV43" s="103"/>
      <c r="BW43" s="104">
        <v>197.18</v>
      </c>
      <c r="BX43" s="204"/>
      <c r="BY43" s="214"/>
      <c r="BZ43" s="15"/>
      <c r="CA43" s="15"/>
      <c r="CB43" s="225">
        <f>SUM(BW43:CA43)</f>
        <v>197.18</v>
      </c>
      <c r="CD43" s="103">
        <v>2082.4899999999998</v>
      </c>
      <c r="CE43" s="106"/>
      <c r="CF43" s="103"/>
      <c r="CG43" s="104">
        <v>137.22999999999999</v>
      </c>
      <c r="CH43" s="204"/>
      <c r="CI43" s="88">
        <v>5.875</v>
      </c>
      <c r="CJ43" s="328"/>
      <c r="CK43" s="15"/>
      <c r="CL43" s="225">
        <f>SUM(CG43:CK43)</f>
        <v>143.10499999999999</v>
      </c>
      <c r="CN43" s="103">
        <v>1413.63</v>
      </c>
      <c r="CO43" s="103">
        <v>910.59</v>
      </c>
      <c r="CP43" s="106">
        <v>2669.01</v>
      </c>
      <c r="CQ43" s="103"/>
      <c r="CR43" s="104">
        <v>994.76</v>
      </c>
      <c r="CS43" s="204"/>
      <c r="CT43" s="214"/>
      <c r="CU43" s="328"/>
      <c r="CV43" s="15"/>
      <c r="CW43" s="225">
        <f>SUM(CR43:CV43)</f>
        <v>994.76</v>
      </c>
    </row>
    <row r="44" spans="1:101" s="129" customFormat="1" x14ac:dyDescent="0.25">
      <c r="A44" s="109">
        <v>45871</v>
      </c>
      <c r="B44" s="139">
        <v>1254.82</v>
      </c>
      <c r="C44" s="140">
        <v>2732.36</v>
      </c>
      <c r="D44" s="139">
        <v>3.05</v>
      </c>
      <c r="E44" s="141">
        <v>86.17</v>
      </c>
      <c r="F44" s="204"/>
      <c r="G44" s="88">
        <v>1.3000000000000114</v>
      </c>
      <c r="H44" s="28"/>
      <c r="I44" s="335"/>
      <c r="J44" s="226">
        <f t="shared" ref="J44:J73" si="47">SUM(E44:I44)</f>
        <v>87.470000000000013</v>
      </c>
      <c r="L44" s="110">
        <v>6006.6</v>
      </c>
      <c r="M44" s="113">
        <v>3303.89</v>
      </c>
      <c r="N44" s="110"/>
      <c r="O44" s="111">
        <v>36.590000000000003</v>
      </c>
      <c r="P44" s="204"/>
      <c r="Q44" s="88">
        <v>284.63300999999979</v>
      </c>
      <c r="R44" s="328"/>
      <c r="S44" s="335"/>
      <c r="T44" s="226">
        <f t="shared" ref="T44:T73" si="48">SUM(O44:S44)</f>
        <v>321.22300999999982</v>
      </c>
      <c r="U44" s="138"/>
      <c r="V44" s="110">
        <v>1217.7</v>
      </c>
      <c r="W44" s="113"/>
      <c r="X44" s="110"/>
      <c r="Y44" s="111"/>
      <c r="Z44" s="204"/>
      <c r="AA44" s="88"/>
      <c r="AB44" s="28"/>
      <c r="AC44" s="28"/>
      <c r="AD44" s="226">
        <f t="shared" ref="AD44:AD73" si="49">SUM(Y44:AC44)</f>
        <v>0</v>
      </c>
      <c r="AF44" s="110">
        <v>1739.81</v>
      </c>
      <c r="AG44" s="113">
        <v>560.39</v>
      </c>
      <c r="AH44" s="110"/>
      <c r="AI44" s="111"/>
      <c r="AJ44" s="204"/>
      <c r="AK44" s="215"/>
      <c r="AL44" s="28"/>
      <c r="AM44" s="28"/>
      <c r="AN44" s="226">
        <f t="shared" ref="AN44:AN73" si="50">SUM(AI44:AM44)</f>
        <v>0</v>
      </c>
      <c r="AP44" s="110">
        <v>5911.09</v>
      </c>
      <c r="AQ44" s="110">
        <v>928.64</v>
      </c>
      <c r="AR44" s="110"/>
      <c r="AS44" s="115">
        <v>31.87</v>
      </c>
      <c r="AT44" s="204"/>
      <c r="AU44" s="88">
        <v>8.6848299999999625</v>
      </c>
      <c r="AV44" s="328"/>
      <c r="AW44" s="335">
        <v>7.3042866000000117</v>
      </c>
      <c r="AX44" s="226">
        <f t="shared" ref="AX44:AX73" si="51">SUM(AS44:AW44)</f>
        <v>47.859116599999979</v>
      </c>
      <c r="AZ44" s="110">
        <v>5820.34</v>
      </c>
      <c r="BA44" s="113"/>
      <c r="BB44" s="110"/>
      <c r="BC44" s="111"/>
      <c r="BD44" s="204"/>
      <c r="BE44" s="88">
        <v>44.305489999999892</v>
      </c>
      <c r="BF44" s="28"/>
      <c r="BG44" s="28"/>
      <c r="BH44" s="226">
        <f t="shared" ref="BH44:BH73" si="52">SUM(BC44:BG44)</f>
        <v>44.305489999999892</v>
      </c>
      <c r="BJ44" s="110">
        <v>24754.35</v>
      </c>
      <c r="BK44" s="113">
        <v>1366.42</v>
      </c>
      <c r="BL44" s="110"/>
      <c r="BM44" s="111">
        <v>300.48</v>
      </c>
      <c r="BN44" s="204"/>
      <c r="BO44" s="88">
        <v>23.980720000000034</v>
      </c>
      <c r="BP44" s="328"/>
      <c r="BQ44" s="28"/>
      <c r="BR44" s="226">
        <f t="shared" ref="BR44:BR73" si="53">SUM(BM44:BQ44)</f>
        <v>324.46072000000004</v>
      </c>
      <c r="BT44" s="110">
        <v>2077.38</v>
      </c>
      <c r="BU44" s="113">
        <v>821.61</v>
      </c>
      <c r="BV44" s="110"/>
      <c r="BW44" s="111">
        <v>63.01</v>
      </c>
      <c r="BX44" s="204"/>
      <c r="BY44" s="215"/>
      <c r="BZ44" s="28"/>
      <c r="CA44" s="28"/>
      <c r="CB44" s="226">
        <f t="shared" ref="CB44:CB73" si="54">SUM(BW44:CA44)</f>
        <v>63.01</v>
      </c>
      <c r="CD44" s="110">
        <v>2562.15</v>
      </c>
      <c r="CE44" s="113"/>
      <c r="CF44" s="110"/>
      <c r="CG44" s="111">
        <v>19.260000000000002</v>
      </c>
      <c r="CH44" s="204"/>
      <c r="CI44" s="88">
        <v>37.682099999999991</v>
      </c>
      <c r="CJ44" s="328"/>
      <c r="CK44" s="28"/>
      <c r="CL44" s="226">
        <f t="shared" ref="CL44:CL73" si="55">SUM(CG44:CK44)</f>
        <v>56.942099999999996</v>
      </c>
      <c r="CN44" s="110">
        <v>1744.19</v>
      </c>
      <c r="CO44" s="110">
        <v>844.49</v>
      </c>
      <c r="CP44" s="113">
        <v>2303.15</v>
      </c>
      <c r="CQ44" s="110"/>
      <c r="CR44" s="111">
        <v>418.42</v>
      </c>
      <c r="CS44" s="204"/>
      <c r="CT44" s="215"/>
      <c r="CU44" s="328">
        <v>97.503699999999924</v>
      </c>
      <c r="CV44" s="28"/>
      <c r="CW44" s="226">
        <f t="shared" ref="CW44:CW73" si="56">SUM(CR44:CV44)</f>
        <v>515.92369999999994</v>
      </c>
    </row>
    <row r="45" spans="1:101" s="129" customFormat="1" x14ac:dyDescent="0.25">
      <c r="A45" s="109">
        <v>45872</v>
      </c>
      <c r="B45" s="139">
        <v>3535.57</v>
      </c>
      <c r="C45" s="140">
        <v>1787.77</v>
      </c>
      <c r="D45" s="139">
        <v>2.19</v>
      </c>
      <c r="E45" s="141">
        <v>172.69</v>
      </c>
      <c r="F45" s="204"/>
      <c r="G45" s="88">
        <v>0.65000000000000568</v>
      </c>
      <c r="H45" s="28"/>
      <c r="I45" s="335"/>
      <c r="J45" s="226">
        <f t="shared" si="47"/>
        <v>173.34</v>
      </c>
      <c r="L45" s="110">
        <v>4022.49</v>
      </c>
      <c r="M45" s="113">
        <v>3697.88</v>
      </c>
      <c r="N45" s="110"/>
      <c r="O45" s="111">
        <v>3.29</v>
      </c>
      <c r="P45" s="204"/>
      <c r="Q45" s="88"/>
      <c r="R45" s="328"/>
      <c r="S45" s="335"/>
      <c r="T45" s="226">
        <f t="shared" si="48"/>
        <v>3.29</v>
      </c>
      <c r="U45" s="138"/>
      <c r="V45" s="110">
        <v>160</v>
      </c>
      <c r="W45" s="113"/>
      <c r="X45" s="110"/>
      <c r="Y45" s="111"/>
      <c r="Z45" s="204"/>
      <c r="AA45" s="88">
        <v>-0.14426000000003114</v>
      </c>
      <c r="AB45" s="28"/>
      <c r="AC45" s="28"/>
      <c r="AD45" s="226">
        <f t="shared" si="49"/>
        <v>-0.14426000000003114</v>
      </c>
      <c r="AF45" s="110">
        <v>4371.43</v>
      </c>
      <c r="AG45" s="113">
        <v>426.59</v>
      </c>
      <c r="AH45" s="110"/>
      <c r="AI45" s="111"/>
      <c r="AJ45" s="204"/>
      <c r="AK45" s="215"/>
      <c r="AL45" s="28"/>
      <c r="AM45" s="28"/>
      <c r="AN45" s="226">
        <f t="shared" si="50"/>
        <v>0</v>
      </c>
      <c r="AP45" s="110">
        <v>2439.6999999999998</v>
      </c>
      <c r="AQ45" s="110">
        <v>621.79</v>
      </c>
      <c r="AR45" s="110"/>
      <c r="AS45" s="115">
        <v>8.91</v>
      </c>
      <c r="AT45" s="204"/>
      <c r="AU45" s="88">
        <v>18.150259999999975</v>
      </c>
      <c r="AV45" s="328"/>
      <c r="AW45" s="335"/>
      <c r="AX45" s="226">
        <f t="shared" si="51"/>
        <v>27.060259999999975</v>
      </c>
      <c r="AZ45" s="110">
        <v>3669.85</v>
      </c>
      <c r="BA45" s="113"/>
      <c r="BB45" s="110"/>
      <c r="BC45" s="111"/>
      <c r="BD45" s="204"/>
      <c r="BE45" s="88">
        <v>-0.26590000000001623</v>
      </c>
      <c r="BF45" s="28"/>
      <c r="BG45" s="28"/>
      <c r="BH45" s="226">
        <f t="shared" si="52"/>
        <v>-0.26590000000001623</v>
      </c>
      <c r="BJ45" s="110">
        <v>6869.83</v>
      </c>
      <c r="BK45" s="113">
        <v>583.30999999999995</v>
      </c>
      <c r="BL45" s="110"/>
      <c r="BM45" s="111">
        <v>48.51</v>
      </c>
      <c r="BN45" s="204"/>
      <c r="BO45" s="88">
        <v>-0.40032999999999674</v>
      </c>
      <c r="BP45" s="328">
        <v>2.0689400000000262</v>
      </c>
      <c r="BQ45" s="28"/>
      <c r="BR45" s="226">
        <f t="shared" si="53"/>
        <v>50.178610000000027</v>
      </c>
      <c r="BT45" s="110">
        <v>1246.6099999999999</v>
      </c>
      <c r="BU45" s="113">
        <v>1091.5899999999999</v>
      </c>
      <c r="BV45" s="110"/>
      <c r="BW45" s="111"/>
      <c r="BX45" s="204"/>
      <c r="BY45" s="215"/>
      <c r="BZ45" s="28"/>
      <c r="CA45" s="28"/>
      <c r="CB45" s="226">
        <f t="shared" si="54"/>
        <v>0</v>
      </c>
      <c r="CD45" s="110">
        <v>1212.3</v>
      </c>
      <c r="CE45" s="113"/>
      <c r="CF45" s="110"/>
      <c r="CG45" s="111">
        <v>41.9</v>
      </c>
      <c r="CH45" s="204"/>
      <c r="CI45" s="88">
        <v>40.626799999999989</v>
      </c>
      <c r="CJ45" s="328"/>
      <c r="CK45" s="28"/>
      <c r="CL45" s="226">
        <f t="shared" si="55"/>
        <v>82.52679999999998</v>
      </c>
      <c r="CN45" s="110">
        <v>1531.53</v>
      </c>
      <c r="CO45" s="110">
        <v>854</v>
      </c>
      <c r="CP45" s="113">
        <v>1531.5</v>
      </c>
      <c r="CQ45" s="110"/>
      <c r="CR45" s="111">
        <v>68.540000000000006</v>
      </c>
      <c r="CS45" s="204"/>
      <c r="CT45" s="215"/>
      <c r="CU45" s="328"/>
      <c r="CV45" s="28"/>
      <c r="CW45" s="226">
        <f t="shared" si="56"/>
        <v>68.540000000000006</v>
      </c>
    </row>
    <row r="46" spans="1:101" s="129" customFormat="1" x14ac:dyDescent="0.25">
      <c r="A46" s="109">
        <v>45873</v>
      </c>
      <c r="B46" s="139">
        <v>7455.2</v>
      </c>
      <c r="C46" s="140">
        <v>2660.74</v>
      </c>
      <c r="D46" s="139">
        <v>4.42</v>
      </c>
      <c r="E46" s="141">
        <v>175.65</v>
      </c>
      <c r="F46" s="204"/>
      <c r="G46" s="88">
        <v>38.839879999999994</v>
      </c>
      <c r="H46" s="28"/>
      <c r="I46" s="335">
        <v>35.683200000000056</v>
      </c>
      <c r="J46" s="226">
        <f t="shared" si="47"/>
        <v>250.17308000000006</v>
      </c>
      <c r="L46" s="110">
        <v>4791.37</v>
      </c>
      <c r="M46" s="113">
        <v>2715.29</v>
      </c>
      <c r="N46" s="110"/>
      <c r="O46" s="111">
        <v>44.57</v>
      </c>
      <c r="P46" s="204"/>
      <c r="Q46" s="88">
        <v>395.75675999999953</v>
      </c>
      <c r="R46" s="328">
        <v>9.2536299999999869</v>
      </c>
      <c r="S46" s="335"/>
      <c r="T46" s="226">
        <f t="shared" si="48"/>
        <v>449.58038999999951</v>
      </c>
      <c r="U46" s="138"/>
      <c r="V46" s="110">
        <v>1216.67</v>
      </c>
      <c r="W46" s="113"/>
      <c r="X46" s="110"/>
      <c r="Y46" s="111"/>
      <c r="Z46" s="204"/>
      <c r="AA46" s="88">
        <v>-0.56676000000004478</v>
      </c>
      <c r="AB46" s="28"/>
      <c r="AC46" s="28"/>
      <c r="AD46" s="226">
        <f t="shared" si="49"/>
        <v>-0.56676000000004478</v>
      </c>
      <c r="AF46" s="110">
        <v>4677.91</v>
      </c>
      <c r="AG46" s="113">
        <v>297.10000000000002</v>
      </c>
      <c r="AH46" s="110"/>
      <c r="AI46" s="111"/>
      <c r="AJ46" s="204"/>
      <c r="AK46" s="215"/>
      <c r="AL46" s="28"/>
      <c r="AM46" s="28"/>
      <c r="AN46" s="226">
        <f t="shared" si="50"/>
        <v>0</v>
      </c>
      <c r="AP46" s="110">
        <v>4923.91</v>
      </c>
      <c r="AQ46" s="110">
        <v>914.79</v>
      </c>
      <c r="AR46" s="110"/>
      <c r="AS46" s="115">
        <v>161.66</v>
      </c>
      <c r="AT46" s="204"/>
      <c r="AU46" s="88">
        <v>2.668399999999906</v>
      </c>
      <c r="AV46" s="328"/>
      <c r="AW46" s="335">
        <v>11.3366848</v>
      </c>
      <c r="AX46" s="226">
        <f t="shared" si="51"/>
        <v>175.6650847999999</v>
      </c>
      <c r="AZ46" s="110">
        <v>2810.67</v>
      </c>
      <c r="BA46" s="113"/>
      <c r="BB46" s="110"/>
      <c r="BC46" s="111"/>
      <c r="BD46" s="204"/>
      <c r="BE46" s="88">
        <v>27.462609999999984</v>
      </c>
      <c r="BF46" s="28"/>
      <c r="BG46" s="28"/>
      <c r="BH46" s="226">
        <f t="shared" si="52"/>
        <v>27.462609999999984</v>
      </c>
      <c r="BJ46" s="110">
        <v>13144.86</v>
      </c>
      <c r="BK46" s="113">
        <v>787.84</v>
      </c>
      <c r="BL46" s="110"/>
      <c r="BM46" s="111">
        <v>133.01</v>
      </c>
      <c r="BN46" s="204"/>
      <c r="BO46" s="88">
        <v>16.105899999999963</v>
      </c>
      <c r="BP46" s="328">
        <v>14.210679999999911</v>
      </c>
      <c r="BQ46" s="28"/>
      <c r="BR46" s="226">
        <f t="shared" si="53"/>
        <v>163.32657999999986</v>
      </c>
      <c r="BT46" s="110">
        <v>1997.57</v>
      </c>
      <c r="BU46" s="113">
        <v>1151.92</v>
      </c>
      <c r="BV46" s="110"/>
      <c r="BW46" s="111">
        <v>204.12</v>
      </c>
      <c r="BX46" s="204"/>
      <c r="BY46" s="215"/>
      <c r="BZ46" s="28"/>
      <c r="CA46" s="28"/>
      <c r="CB46" s="226">
        <f t="shared" si="54"/>
        <v>204.12</v>
      </c>
      <c r="CD46" s="110">
        <v>2224.0300000000002</v>
      </c>
      <c r="CE46" s="113"/>
      <c r="CF46" s="110"/>
      <c r="CG46" s="111">
        <v>14.11</v>
      </c>
      <c r="CH46" s="204"/>
      <c r="CI46" s="88"/>
      <c r="CJ46" s="328"/>
      <c r="CK46" s="28"/>
      <c r="CL46" s="226">
        <f t="shared" si="55"/>
        <v>14.11</v>
      </c>
      <c r="CN46" s="110">
        <v>1501.12</v>
      </c>
      <c r="CO46" s="110">
        <v>1220.08</v>
      </c>
      <c r="CP46" s="113">
        <v>1922.07</v>
      </c>
      <c r="CQ46" s="110"/>
      <c r="CR46" s="111">
        <v>1013.11</v>
      </c>
      <c r="CS46" s="204"/>
      <c r="CT46" s="215"/>
      <c r="CU46" s="328"/>
      <c r="CV46" s="28"/>
      <c r="CW46" s="226">
        <f t="shared" si="56"/>
        <v>1013.11</v>
      </c>
    </row>
    <row r="47" spans="1:101" s="129" customFormat="1" x14ac:dyDescent="0.25">
      <c r="A47" s="109">
        <v>45874</v>
      </c>
      <c r="B47" s="139">
        <v>7799.8</v>
      </c>
      <c r="C47" s="140">
        <v>2454.7399999999998</v>
      </c>
      <c r="D47" s="139">
        <v>4.3</v>
      </c>
      <c r="E47" s="141">
        <v>285.93</v>
      </c>
      <c r="F47" s="204"/>
      <c r="G47" s="88"/>
      <c r="H47" s="28"/>
      <c r="I47" s="335"/>
      <c r="J47" s="226">
        <f t="shared" si="47"/>
        <v>285.93</v>
      </c>
      <c r="L47" s="110">
        <v>4889.24</v>
      </c>
      <c r="M47" s="113">
        <v>2726.27</v>
      </c>
      <c r="N47" s="110"/>
      <c r="O47" s="111">
        <v>21.26</v>
      </c>
      <c r="P47" s="204"/>
      <c r="Q47" s="88">
        <v>67.30874</v>
      </c>
      <c r="R47" s="328"/>
      <c r="S47" s="335">
        <v>166.08800000000008</v>
      </c>
      <c r="T47" s="226">
        <f t="shared" si="48"/>
        <v>254.65674000000007</v>
      </c>
      <c r="U47" s="138"/>
      <c r="V47" s="110">
        <v>1190.04</v>
      </c>
      <c r="W47" s="113"/>
      <c r="X47" s="110"/>
      <c r="Y47" s="111"/>
      <c r="Z47" s="204"/>
      <c r="AA47" s="88">
        <v>-0.46189000000003944</v>
      </c>
      <c r="AB47" s="28"/>
      <c r="AC47" s="28"/>
      <c r="AD47" s="226">
        <f t="shared" si="49"/>
        <v>-0.46189000000003944</v>
      </c>
      <c r="AF47" s="110">
        <v>9819.69</v>
      </c>
      <c r="AG47" s="113">
        <v>434.12</v>
      </c>
      <c r="AH47" s="110"/>
      <c r="AI47" s="111"/>
      <c r="AJ47" s="204"/>
      <c r="AK47" s="215"/>
      <c r="AL47" s="28"/>
      <c r="AM47" s="28"/>
      <c r="AN47" s="226">
        <f t="shared" si="50"/>
        <v>0</v>
      </c>
      <c r="AP47" s="110">
        <v>3800.89</v>
      </c>
      <c r="AQ47" s="110">
        <v>732.79</v>
      </c>
      <c r="AR47" s="110"/>
      <c r="AS47" s="115">
        <v>105.55</v>
      </c>
      <c r="AT47" s="204"/>
      <c r="AU47" s="88">
        <v>-80.395840000000064</v>
      </c>
      <c r="AV47" s="328"/>
      <c r="AW47" s="335">
        <v>13.343075200000001</v>
      </c>
      <c r="AX47" s="226">
        <f t="shared" si="51"/>
        <v>38.497235199999935</v>
      </c>
      <c r="AZ47" s="110">
        <v>5531.03</v>
      </c>
      <c r="BA47" s="113"/>
      <c r="BB47" s="110"/>
      <c r="BC47" s="111"/>
      <c r="BD47" s="204"/>
      <c r="BE47" s="88">
        <v>-1.11200000000008</v>
      </c>
      <c r="BF47" s="28"/>
      <c r="BG47" s="28"/>
      <c r="BH47" s="226">
        <f t="shared" si="52"/>
        <v>-1.11200000000008</v>
      </c>
      <c r="BJ47" s="110">
        <v>14369.39</v>
      </c>
      <c r="BK47" s="113">
        <v>1020.12</v>
      </c>
      <c r="BL47" s="110"/>
      <c r="BM47" s="111">
        <v>383.68</v>
      </c>
      <c r="BN47" s="204"/>
      <c r="BO47" s="88">
        <v>90.592579999999984</v>
      </c>
      <c r="BP47" s="328"/>
      <c r="BQ47" s="28"/>
      <c r="BR47" s="226">
        <f t="shared" si="53"/>
        <v>474.27258</v>
      </c>
      <c r="BT47" s="110">
        <v>2861.05</v>
      </c>
      <c r="BU47" s="113">
        <v>813.46</v>
      </c>
      <c r="BV47" s="110"/>
      <c r="BW47" s="111">
        <v>12.59</v>
      </c>
      <c r="BX47" s="204"/>
      <c r="BY47" s="215"/>
      <c r="BZ47" s="28"/>
      <c r="CA47" s="28"/>
      <c r="CB47" s="226">
        <f t="shared" si="54"/>
        <v>12.59</v>
      </c>
      <c r="CD47" s="110">
        <v>1616.49</v>
      </c>
      <c r="CE47" s="113"/>
      <c r="CF47" s="110"/>
      <c r="CG47" s="111">
        <v>126.09</v>
      </c>
      <c r="CH47" s="204"/>
      <c r="CI47" s="88"/>
      <c r="CJ47" s="328">
        <v>42.195189999999911</v>
      </c>
      <c r="CK47" s="28"/>
      <c r="CL47" s="226">
        <f t="shared" si="55"/>
        <v>168.28518999999991</v>
      </c>
      <c r="CN47" s="110">
        <v>1958.07</v>
      </c>
      <c r="CO47" s="110">
        <v>369.02</v>
      </c>
      <c r="CP47" s="113">
        <v>2202.9499999999998</v>
      </c>
      <c r="CQ47" s="110"/>
      <c r="CR47" s="111">
        <v>840.54</v>
      </c>
      <c r="CS47" s="204"/>
      <c r="CT47" s="215"/>
      <c r="CU47" s="328">
        <v>121.71665</v>
      </c>
      <c r="CV47" s="28"/>
      <c r="CW47" s="226">
        <f t="shared" si="56"/>
        <v>962.25664999999992</v>
      </c>
    </row>
    <row r="48" spans="1:101" s="129" customFormat="1" x14ac:dyDescent="0.25">
      <c r="A48" s="109">
        <v>45875</v>
      </c>
      <c r="B48" s="139">
        <v>3117.79</v>
      </c>
      <c r="C48" s="140">
        <v>1597.96</v>
      </c>
      <c r="D48" s="139">
        <v>0.44</v>
      </c>
      <c r="E48" s="141">
        <v>135.94999999999999</v>
      </c>
      <c r="F48" s="204"/>
      <c r="G48" s="88"/>
      <c r="H48" s="28"/>
      <c r="I48" s="335"/>
      <c r="J48" s="226">
        <f t="shared" si="47"/>
        <v>135.94999999999999</v>
      </c>
      <c r="L48" s="110">
        <v>4578.2299999999996</v>
      </c>
      <c r="M48" s="113">
        <v>3228.9</v>
      </c>
      <c r="N48" s="110"/>
      <c r="O48" s="111">
        <v>47.26</v>
      </c>
      <c r="P48" s="204"/>
      <c r="Q48" s="88">
        <v>10.074689999999947</v>
      </c>
      <c r="R48" s="328"/>
      <c r="S48" s="335"/>
      <c r="T48" s="226">
        <f t="shared" si="48"/>
        <v>57.334689999999945</v>
      </c>
      <c r="U48" s="138"/>
      <c r="V48" s="110">
        <v>80</v>
      </c>
      <c r="W48" s="113"/>
      <c r="X48" s="110"/>
      <c r="Y48" s="111"/>
      <c r="Z48" s="204"/>
      <c r="AA48" s="88"/>
      <c r="AB48" s="28"/>
      <c r="AC48" s="28"/>
      <c r="AD48" s="226">
        <f t="shared" si="49"/>
        <v>0</v>
      </c>
      <c r="AF48" s="110">
        <v>5988.25</v>
      </c>
      <c r="AG48" s="113">
        <v>697.23</v>
      </c>
      <c r="AH48" s="110"/>
      <c r="AI48" s="111"/>
      <c r="AJ48" s="204"/>
      <c r="AK48" s="215"/>
      <c r="AL48" s="28"/>
      <c r="AM48" s="28"/>
      <c r="AN48" s="226">
        <f t="shared" si="50"/>
        <v>0</v>
      </c>
      <c r="AP48" s="110">
        <v>4023.56</v>
      </c>
      <c r="AQ48" s="110">
        <v>952.54</v>
      </c>
      <c r="AR48" s="110"/>
      <c r="AS48" s="115">
        <v>76.099999999999994</v>
      </c>
      <c r="AT48" s="204"/>
      <c r="AU48" s="88">
        <v>-14.26151999999999</v>
      </c>
      <c r="AV48" s="328"/>
      <c r="AW48" s="335"/>
      <c r="AX48" s="226">
        <f t="shared" si="51"/>
        <v>61.838480000000004</v>
      </c>
      <c r="AZ48" s="110">
        <v>5394.89</v>
      </c>
      <c r="BA48" s="113"/>
      <c r="BB48" s="110"/>
      <c r="BC48" s="111"/>
      <c r="BD48" s="204"/>
      <c r="BE48" s="88">
        <v>-1.8025400000001355</v>
      </c>
      <c r="BF48" s="28"/>
      <c r="BG48" s="28"/>
      <c r="BH48" s="226">
        <f t="shared" si="52"/>
        <v>-1.8025400000001355</v>
      </c>
      <c r="BJ48" s="110">
        <v>16160.24</v>
      </c>
      <c r="BK48" s="113">
        <v>861.22</v>
      </c>
      <c r="BL48" s="110"/>
      <c r="BM48" s="111">
        <v>147.34</v>
      </c>
      <c r="BN48" s="204"/>
      <c r="BO48" s="88">
        <v>44.592060000000032</v>
      </c>
      <c r="BP48" s="328"/>
      <c r="BQ48" s="28"/>
      <c r="BR48" s="226">
        <f t="shared" si="53"/>
        <v>191.93206000000004</v>
      </c>
      <c r="BT48" s="110">
        <v>1837.99</v>
      </c>
      <c r="BU48" s="113">
        <v>1012.3</v>
      </c>
      <c r="BV48" s="110"/>
      <c r="BW48" s="111"/>
      <c r="BX48" s="204"/>
      <c r="BY48" s="215"/>
      <c r="BZ48" s="28"/>
      <c r="CA48" s="28"/>
      <c r="CB48" s="226">
        <f t="shared" si="54"/>
        <v>0</v>
      </c>
      <c r="CD48" s="110">
        <v>1695.42</v>
      </c>
      <c r="CE48" s="113"/>
      <c r="CF48" s="110"/>
      <c r="CG48" s="111">
        <v>550.47</v>
      </c>
      <c r="CH48" s="204"/>
      <c r="CI48" s="88"/>
      <c r="CJ48" s="328"/>
      <c r="CK48" s="28"/>
      <c r="CL48" s="226">
        <f t="shared" si="55"/>
        <v>550.47</v>
      </c>
      <c r="CN48" s="110">
        <v>1686.27</v>
      </c>
      <c r="CO48" s="110">
        <v>953.88</v>
      </c>
      <c r="CP48" s="113">
        <v>2175.3900000000003</v>
      </c>
      <c r="CQ48" s="110"/>
      <c r="CR48" s="111">
        <v>629.32000000000005</v>
      </c>
      <c r="CS48" s="204"/>
      <c r="CT48" s="215"/>
      <c r="CU48" s="328">
        <v>101</v>
      </c>
      <c r="CV48" s="28"/>
      <c r="CW48" s="226">
        <f t="shared" si="56"/>
        <v>730.32</v>
      </c>
    </row>
    <row r="49" spans="1:101" s="129" customFormat="1" x14ac:dyDescent="0.25">
      <c r="A49" s="109">
        <v>45876</v>
      </c>
      <c r="B49" s="139">
        <v>6014.33</v>
      </c>
      <c r="C49" s="140">
        <v>3356.1</v>
      </c>
      <c r="D49" s="139">
        <v>46.22</v>
      </c>
      <c r="E49" s="141">
        <v>237.77</v>
      </c>
      <c r="F49" s="204"/>
      <c r="G49" s="88">
        <v>1.8753999999999849</v>
      </c>
      <c r="H49" s="28"/>
      <c r="I49" s="335">
        <v>33.057271000000014</v>
      </c>
      <c r="J49" s="226">
        <f t="shared" si="47"/>
        <v>272.70267100000001</v>
      </c>
      <c r="L49" s="110">
        <v>5188.93</v>
      </c>
      <c r="M49" s="113">
        <v>2703.73</v>
      </c>
      <c r="N49" s="110"/>
      <c r="O49" s="111">
        <v>18.87</v>
      </c>
      <c r="P49" s="204"/>
      <c r="Q49" s="88">
        <v>100.08222999999998</v>
      </c>
      <c r="R49" s="328"/>
      <c r="S49" s="335"/>
      <c r="T49" s="226">
        <f t="shared" si="48"/>
        <v>118.95222999999999</v>
      </c>
      <c r="U49" s="138"/>
      <c r="V49" s="110">
        <v>2949.83</v>
      </c>
      <c r="W49" s="113"/>
      <c r="X49" s="110"/>
      <c r="Y49" s="111"/>
      <c r="Z49" s="204"/>
      <c r="AA49" s="88">
        <v>-0.70167000000009239</v>
      </c>
      <c r="AB49" s="28"/>
      <c r="AC49" s="28"/>
      <c r="AD49" s="226">
        <f t="shared" si="49"/>
        <v>-0.70167000000009239</v>
      </c>
      <c r="AF49" s="110">
        <v>6758.61</v>
      </c>
      <c r="AG49" s="113">
        <v>473.27</v>
      </c>
      <c r="AH49" s="110"/>
      <c r="AI49" s="111"/>
      <c r="AJ49" s="204"/>
      <c r="AK49" s="215"/>
      <c r="AL49" s="28"/>
      <c r="AM49" s="28"/>
      <c r="AN49" s="226">
        <f t="shared" si="50"/>
        <v>0</v>
      </c>
      <c r="AP49" s="110">
        <v>4975.18</v>
      </c>
      <c r="AQ49" s="110">
        <v>1242.67</v>
      </c>
      <c r="AR49" s="110"/>
      <c r="AS49" s="115">
        <v>118.52</v>
      </c>
      <c r="AT49" s="204"/>
      <c r="AU49" s="88">
        <v>-85.494050000000186</v>
      </c>
      <c r="AV49" s="328"/>
      <c r="AW49" s="335">
        <v>8.6174570000000017</v>
      </c>
      <c r="AX49" s="226">
        <f t="shared" si="51"/>
        <v>41.643406999999812</v>
      </c>
      <c r="AZ49" s="110">
        <v>6023.22</v>
      </c>
      <c r="BA49" s="113"/>
      <c r="BB49" s="110"/>
      <c r="BC49" s="111"/>
      <c r="BD49" s="204"/>
      <c r="BE49" s="88">
        <v>2.452159999999779</v>
      </c>
      <c r="BF49" s="28"/>
      <c r="BG49" s="28"/>
      <c r="BH49" s="226">
        <f t="shared" si="52"/>
        <v>2.452159999999779</v>
      </c>
      <c r="BJ49" s="110">
        <v>31031.119999999999</v>
      </c>
      <c r="BK49" s="113">
        <v>857.81</v>
      </c>
      <c r="BL49" s="110"/>
      <c r="BM49" s="111">
        <v>248.36</v>
      </c>
      <c r="BN49" s="204"/>
      <c r="BO49" s="88">
        <v>-5.4362700000000359</v>
      </c>
      <c r="BP49" s="328">
        <v>27.374890000000079</v>
      </c>
      <c r="BQ49" s="28"/>
      <c r="BR49" s="226">
        <f t="shared" si="53"/>
        <v>270.29862000000003</v>
      </c>
      <c r="BT49" s="110">
        <v>3422.69</v>
      </c>
      <c r="BU49" s="113">
        <v>1316.62</v>
      </c>
      <c r="BV49" s="110"/>
      <c r="BW49" s="111">
        <v>7.23</v>
      </c>
      <c r="BX49" s="204"/>
      <c r="BY49" s="215"/>
      <c r="BZ49" s="28"/>
      <c r="CA49" s="28"/>
      <c r="CB49" s="226">
        <f t="shared" si="54"/>
        <v>7.23</v>
      </c>
      <c r="CD49" s="110">
        <v>1798.07</v>
      </c>
      <c r="CE49" s="113"/>
      <c r="CF49" s="110"/>
      <c r="CG49" s="111">
        <v>62.74</v>
      </c>
      <c r="CH49" s="204"/>
      <c r="CI49" s="88"/>
      <c r="CJ49" s="328"/>
      <c r="CK49" s="28"/>
      <c r="CL49" s="226">
        <f t="shared" si="55"/>
        <v>62.74</v>
      </c>
      <c r="CN49" s="110">
        <v>779.11</v>
      </c>
      <c r="CO49" s="110">
        <v>438.14</v>
      </c>
      <c r="CP49" s="113">
        <v>1776.98</v>
      </c>
      <c r="CQ49" s="110"/>
      <c r="CR49" s="111">
        <v>552.23</v>
      </c>
      <c r="CS49" s="204"/>
      <c r="CT49" s="215"/>
      <c r="CU49" s="328">
        <v>48.728909999999999</v>
      </c>
      <c r="CV49" s="28"/>
      <c r="CW49" s="226">
        <f t="shared" si="56"/>
        <v>600.95891000000006</v>
      </c>
    </row>
    <row r="50" spans="1:101" s="129" customFormat="1" x14ac:dyDescent="0.25">
      <c r="A50" s="109">
        <v>45877</v>
      </c>
      <c r="B50" s="139">
        <v>2583.5</v>
      </c>
      <c r="C50" s="140">
        <v>2471.66</v>
      </c>
      <c r="D50" s="139">
        <v>4.53</v>
      </c>
      <c r="E50" s="141">
        <v>113.1</v>
      </c>
      <c r="F50" s="204"/>
      <c r="G50" s="88">
        <v>16.502239999999972</v>
      </c>
      <c r="H50" s="28"/>
      <c r="I50" s="335"/>
      <c r="J50" s="226">
        <f t="shared" si="47"/>
        <v>129.60223999999997</v>
      </c>
      <c r="L50" s="110">
        <v>5517.57</v>
      </c>
      <c r="M50" s="113">
        <v>2861.84</v>
      </c>
      <c r="N50" s="110"/>
      <c r="O50" s="111">
        <v>34.74</v>
      </c>
      <c r="P50" s="204"/>
      <c r="Q50" s="88">
        <v>432.40046000000018</v>
      </c>
      <c r="R50" s="328"/>
      <c r="S50" s="335">
        <v>143.49440000000004</v>
      </c>
      <c r="T50" s="226">
        <f t="shared" si="48"/>
        <v>610.63486000000023</v>
      </c>
      <c r="U50" s="138"/>
      <c r="V50" s="110">
        <v>1313.48</v>
      </c>
      <c r="W50" s="113"/>
      <c r="X50" s="110"/>
      <c r="Y50" s="111"/>
      <c r="Z50" s="204"/>
      <c r="AA50" s="88"/>
      <c r="AB50" s="28"/>
      <c r="AC50" s="28"/>
      <c r="AD50" s="226">
        <f t="shared" si="49"/>
        <v>0</v>
      </c>
      <c r="AF50" s="110">
        <v>6402.2</v>
      </c>
      <c r="AG50" s="113">
        <v>296.99</v>
      </c>
      <c r="AH50" s="110"/>
      <c r="AI50" s="111"/>
      <c r="AJ50" s="204"/>
      <c r="AK50" s="215"/>
      <c r="AL50" s="28"/>
      <c r="AM50" s="28"/>
      <c r="AN50" s="226">
        <f t="shared" si="50"/>
        <v>0</v>
      </c>
      <c r="AP50" s="110">
        <v>3386.84</v>
      </c>
      <c r="AQ50" s="110">
        <v>911.45</v>
      </c>
      <c r="AR50" s="110"/>
      <c r="AS50" s="115">
        <v>47.72</v>
      </c>
      <c r="AT50" s="204"/>
      <c r="AU50" s="88">
        <v>223.61349999999987</v>
      </c>
      <c r="AV50" s="328">
        <v>46.927440000000047</v>
      </c>
      <c r="AW50" s="335">
        <v>22.819041999999982</v>
      </c>
      <c r="AX50" s="226">
        <f t="shared" si="51"/>
        <v>341.07998199999986</v>
      </c>
      <c r="AZ50" s="110">
        <v>4835.16</v>
      </c>
      <c r="BA50" s="113"/>
      <c r="BB50" s="110"/>
      <c r="BC50" s="111">
        <v>317</v>
      </c>
      <c r="BD50" s="204"/>
      <c r="BE50" s="88">
        <v>13.751919999999842</v>
      </c>
      <c r="BF50" s="28"/>
      <c r="BG50" s="28"/>
      <c r="BH50" s="226">
        <f t="shared" si="52"/>
        <v>330.75191999999981</v>
      </c>
      <c r="BJ50" s="110">
        <v>26005.59</v>
      </c>
      <c r="BK50" s="113">
        <v>763.1</v>
      </c>
      <c r="BL50" s="110"/>
      <c r="BM50" s="111">
        <v>289.41000000000003</v>
      </c>
      <c r="BN50" s="204"/>
      <c r="BO50" s="88">
        <v>63.617049999999921</v>
      </c>
      <c r="BP50" s="328">
        <v>49.552930000000217</v>
      </c>
      <c r="BQ50" s="28"/>
      <c r="BR50" s="226">
        <f t="shared" si="53"/>
        <v>402.57998000000015</v>
      </c>
      <c r="BT50" s="110">
        <v>4127.78</v>
      </c>
      <c r="BU50" s="113">
        <v>1353.55</v>
      </c>
      <c r="BV50" s="110"/>
      <c r="BW50" s="111">
        <v>5.45</v>
      </c>
      <c r="BX50" s="204"/>
      <c r="BY50" s="215"/>
      <c r="BZ50" s="28"/>
      <c r="CA50" s="28"/>
      <c r="CB50" s="226">
        <f t="shared" si="54"/>
        <v>5.45</v>
      </c>
      <c r="CD50" s="110">
        <v>3549.05</v>
      </c>
      <c r="CE50" s="113"/>
      <c r="CF50" s="110"/>
      <c r="CG50" s="111">
        <v>66.010000000000005</v>
      </c>
      <c r="CH50" s="204"/>
      <c r="CI50" s="88">
        <v>9.8460000000000036</v>
      </c>
      <c r="CJ50" s="328"/>
      <c r="CK50" s="28"/>
      <c r="CL50" s="226">
        <f t="shared" si="55"/>
        <v>75.856000000000009</v>
      </c>
      <c r="CN50" s="110">
        <v>2555.35</v>
      </c>
      <c r="CO50" s="110">
        <v>917.44</v>
      </c>
      <c r="CP50" s="113">
        <v>2648.38</v>
      </c>
      <c r="CQ50" s="110"/>
      <c r="CR50" s="111">
        <v>790.76</v>
      </c>
      <c r="CS50" s="204"/>
      <c r="CT50" s="215"/>
      <c r="CU50" s="328">
        <v>72.72</v>
      </c>
      <c r="CV50" s="28"/>
      <c r="CW50" s="226">
        <f t="shared" si="56"/>
        <v>863.48</v>
      </c>
    </row>
    <row r="51" spans="1:101" s="129" customFormat="1" x14ac:dyDescent="0.25">
      <c r="A51" s="109">
        <v>45878</v>
      </c>
      <c r="B51" s="139">
        <v>7510.71</v>
      </c>
      <c r="C51" s="140">
        <v>2679.44</v>
      </c>
      <c r="D51" s="139">
        <v>2.74</v>
      </c>
      <c r="E51" s="141">
        <v>291.63</v>
      </c>
      <c r="F51" s="204"/>
      <c r="G51" s="88">
        <v>54.735180000000021</v>
      </c>
      <c r="H51" s="28"/>
      <c r="I51" s="335"/>
      <c r="J51" s="226">
        <f t="shared" si="47"/>
        <v>346.36518000000001</v>
      </c>
      <c r="L51" s="110">
        <v>5254.1</v>
      </c>
      <c r="M51" s="113">
        <v>3419.26</v>
      </c>
      <c r="N51" s="110"/>
      <c r="O51" s="111">
        <v>60.1</v>
      </c>
      <c r="P51" s="204"/>
      <c r="Q51" s="88">
        <v>40.884849999999943</v>
      </c>
      <c r="R51" s="328"/>
      <c r="S51" s="335"/>
      <c r="T51" s="226">
        <f t="shared" si="48"/>
        <v>100.98484999999994</v>
      </c>
      <c r="U51" s="138"/>
      <c r="V51" s="110">
        <v>551.03</v>
      </c>
      <c r="W51" s="113"/>
      <c r="X51" s="110"/>
      <c r="Y51" s="111"/>
      <c r="Z51" s="204"/>
      <c r="AA51" s="88">
        <v>29.223719999999872</v>
      </c>
      <c r="AB51" s="28"/>
      <c r="AC51" s="28"/>
      <c r="AD51" s="226">
        <f t="shared" si="49"/>
        <v>29.223719999999872</v>
      </c>
      <c r="AF51" s="110">
        <v>5057.92</v>
      </c>
      <c r="AG51" s="113">
        <v>572.66999999999996</v>
      </c>
      <c r="AH51" s="110"/>
      <c r="AI51" s="111"/>
      <c r="AJ51" s="204"/>
      <c r="AK51" s="215"/>
      <c r="AL51" s="28"/>
      <c r="AM51" s="28"/>
      <c r="AN51" s="226">
        <f t="shared" si="50"/>
        <v>0</v>
      </c>
      <c r="AP51" s="110">
        <v>4333.7299999999996</v>
      </c>
      <c r="AQ51" s="110">
        <v>881.81</v>
      </c>
      <c r="AR51" s="110"/>
      <c r="AS51" s="115">
        <v>37.71</v>
      </c>
      <c r="AT51" s="204"/>
      <c r="AU51" s="88">
        <v>56.418779999999998</v>
      </c>
      <c r="AV51" s="328"/>
      <c r="AW51" s="335">
        <v>6.9874309999999866</v>
      </c>
      <c r="AX51" s="226">
        <f t="shared" si="51"/>
        <v>101.11621099999999</v>
      </c>
      <c r="AZ51" s="110">
        <v>3133.7</v>
      </c>
      <c r="BA51" s="113"/>
      <c r="BB51" s="110"/>
      <c r="BC51" s="111"/>
      <c r="BD51" s="204"/>
      <c r="BE51" s="88">
        <v>-0.58606000000001757</v>
      </c>
      <c r="BF51" s="28"/>
      <c r="BG51" s="28"/>
      <c r="BH51" s="226">
        <f t="shared" si="52"/>
        <v>-0.58606000000001757</v>
      </c>
      <c r="BJ51" s="110">
        <v>21111.87</v>
      </c>
      <c r="BK51" s="113">
        <v>955.45</v>
      </c>
      <c r="BL51" s="110"/>
      <c r="BM51" s="111">
        <v>206.78</v>
      </c>
      <c r="BN51" s="204"/>
      <c r="BO51" s="88">
        <v>-8.2869500000000471</v>
      </c>
      <c r="BP51" s="328">
        <v>6.0858199999999556</v>
      </c>
      <c r="BQ51" s="28"/>
      <c r="BR51" s="226">
        <f t="shared" si="53"/>
        <v>204.57886999999991</v>
      </c>
      <c r="BT51" s="110">
        <v>3327.27</v>
      </c>
      <c r="BU51" s="113">
        <v>1127.74</v>
      </c>
      <c r="BV51" s="110"/>
      <c r="BW51" s="111">
        <v>249.67</v>
      </c>
      <c r="BX51" s="204"/>
      <c r="BY51" s="215"/>
      <c r="BZ51" s="28"/>
      <c r="CA51" s="28"/>
      <c r="CB51" s="226">
        <f t="shared" si="54"/>
        <v>249.67</v>
      </c>
      <c r="CD51" s="110">
        <v>1248.48</v>
      </c>
      <c r="CE51" s="113"/>
      <c r="CF51" s="110"/>
      <c r="CG51" s="111">
        <v>47.55</v>
      </c>
      <c r="CH51" s="204"/>
      <c r="CI51" s="88"/>
      <c r="CJ51" s="328"/>
      <c r="CK51" s="28"/>
      <c r="CL51" s="226">
        <f t="shared" si="55"/>
        <v>47.55</v>
      </c>
      <c r="CN51" s="110">
        <v>2164.9299999999998</v>
      </c>
      <c r="CO51" s="110">
        <v>748.33</v>
      </c>
      <c r="CP51" s="113">
        <v>1775.74</v>
      </c>
      <c r="CQ51" s="110"/>
      <c r="CR51" s="111">
        <v>233.52</v>
      </c>
      <c r="CS51" s="204"/>
      <c r="CT51" s="215"/>
      <c r="CU51" s="328">
        <v>235.31988000000004</v>
      </c>
      <c r="CV51" s="28"/>
      <c r="CW51" s="226">
        <f t="shared" si="56"/>
        <v>468.83988000000005</v>
      </c>
    </row>
    <row r="52" spans="1:101" s="129" customFormat="1" x14ac:dyDescent="0.25">
      <c r="A52" s="109">
        <v>45879</v>
      </c>
      <c r="B52" s="139">
        <v>2564.08</v>
      </c>
      <c r="C52" s="140">
        <v>1794.39</v>
      </c>
      <c r="D52" s="139">
        <v>1.49</v>
      </c>
      <c r="E52" s="141">
        <v>109.71</v>
      </c>
      <c r="F52" s="204"/>
      <c r="G52" s="88">
        <v>14.439999999999998</v>
      </c>
      <c r="H52" s="28"/>
      <c r="I52" s="335"/>
      <c r="J52" s="226">
        <f t="shared" si="47"/>
        <v>124.14999999999999</v>
      </c>
      <c r="L52" s="110">
        <v>5171.17</v>
      </c>
      <c r="M52" s="113">
        <v>3255.54</v>
      </c>
      <c r="N52" s="110"/>
      <c r="O52" s="111">
        <v>17.89</v>
      </c>
      <c r="P52" s="204"/>
      <c r="Q52" s="88">
        <v>44.457570000000004</v>
      </c>
      <c r="R52" s="328"/>
      <c r="S52" s="335"/>
      <c r="T52" s="226">
        <f t="shared" si="48"/>
        <v>62.347570000000005</v>
      </c>
      <c r="U52" s="138"/>
      <c r="V52" s="110">
        <v>325.02</v>
      </c>
      <c r="W52" s="113"/>
      <c r="X52" s="110"/>
      <c r="Y52" s="111"/>
      <c r="Z52" s="204"/>
      <c r="AA52" s="88">
        <v>-0.1792700000000309</v>
      </c>
      <c r="AB52" s="28"/>
      <c r="AC52" s="28"/>
      <c r="AD52" s="226">
        <f t="shared" si="49"/>
        <v>-0.1792700000000309</v>
      </c>
      <c r="AF52" s="110">
        <v>3539.15</v>
      </c>
      <c r="AG52" s="113">
        <v>525.65</v>
      </c>
      <c r="AH52" s="110"/>
      <c r="AI52" s="111"/>
      <c r="AJ52" s="204"/>
      <c r="AK52" s="215"/>
      <c r="AL52" s="28"/>
      <c r="AM52" s="28"/>
      <c r="AN52" s="226">
        <f t="shared" si="50"/>
        <v>0</v>
      </c>
      <c r="AP52" s="110">
        <v>3279.82</v>
      </c>
      <c r="AQ52" s="110">
        <v>1557.42</v>
      </c>
      <c r="AR52" s="110"/>
      <c r="AS52" s="115">
        <v>4.74</v>
      </c>
      <c r="AT52" s="204"/>
      <c r="AU52" s="88">
        <v>15.605979999999995</v>
      </c>
      <c r="AV52" s="328"/>
      <c r="AW52" s="335">
        <v>5.8353079999999977</v>
      </c>
      <c r="AX52" s="226">
        <f t="shared" si="51"/>
        <v>26.181287999999995</v>
      </c>
      <c r="AZ52" s="110">
        <v>2552.61</v>
      </c>
      <c r="BA52" s="113"/>
      <c r="BB52" s="110"/>
      <c r="BC52" s="111"/>
      <c r="BD52" s="204"/>
      <c r="BE52" s="88"/>
      <c r="BF52" s="28"/>
      <c r="BG52" s="28"/>
      <c r="BH52" s="226">
        <f t="shared" si="52"/>
        <v>0</v>
      </c>
      <c r="BJ52" s="110">
        <v>9729.68</v>
      </c>
      <c r="BK52" s="113">
        <v>628.95000000000005</v>
      </c>
      <c r="BL52" s="110"/>
      <c r="BM52" s="111">
        <v>29.72</v>
      </c>
      <c r="BN52" s="204"/>
      <c r="BO52" s="88">
        <v>26.788835999999989</v>
      </c>
      <c r="BP52" s="328"/>
      <c r="BQ52" s="28"/>
      <c r="BR52" s="226">
        <f t="shared" si="53"/>
        <v>56.508835999999988</v>
      </c>
      <c r="BT52" s="110">
        <v>1856.12</v>
      </c>
      <c r="BU52" s="113">
        <v>780.27</v>
      </c>
      <c r="BV52" s="110"/>
      <c r="BW52" s="111">
        <v>1.41</v>
      </c>
      <c r="BX52" s="204"/>
      <c r="BY52" s="215"/>
      <c r="BZ52" s="28"/>
      <c r="CA52" s="28"/>
      <c r="CB52" s="226">
        <f t="shared" si="54"/>
        <v>1.41</v>
      </c>
      <c r="CD52" s="110">
        <v>1390.08</v>
      </c>
      <c r="CE52" s="113"/>
      <c r="CF52" s="110"/>
      <c r="CG52" s="111">
        <v>43.81</v>
      </c>
      <c r="CH52" s="204"/>
      <c r="CI52" s="88"/>
      <c r="CJ52" s="328"/>
      <c r="CK52" s="28"/>
      <c r="CL52" s="226">
        <f t="shared" si="55"/>
        <v>43.81</v>
      </c>
      <c r="CN52" s="110">
        <v>1734.41</v>
      </c>
      <c r="CO52" s="110">
        <v>1034.9000000000001</v>
      </c>
      <c r="CP52" s="113">
        <v>1879.74</v>
      </c>
      <c r="CQ52" s="110"/>
      <c r="CR52" s="111">
        <v>178.71</v>
      </c>
      <c r="CS52" s="204"/>
      <c r="CT52" s="215"/>
      <c r="CU52" s="328">
        <v>74.745000000000005</v>
      </c>
      <c r="CV52" s="28"/>
      <c r="CW52" s="226">
        <f t="shared" si="56"/>
        <v>253.45500000000001</v>
      </c>
    </row>
    <row r="53" spans="1:101" s="129" customFormat="1" x14ac:dyDescent="0.25">
      <c r="A53" s="109">
        <v>45880</v>
      </c>
      <c r="B53" s="139">
        <v>4479.08</v>
      </c>
      <c r="C53" s="140">
        <v>3059.49</v>
      </c>
      <c r="D53" s="139">
        <v>23.2</v>
      </c>
      <c r="E53" s="141">
        <v>139.88999999999999</v>
      </c>
      <c r="F53" s="204"/>
      <c r="G53" s="88">
        <v>27.5</v>
      </c>
      <c r="H53" s="28"/>
      <c r="I53" s="335"/>
      <c r="J53" s="226">
        <f t="shared" si="47"/>
        <v>167.39</v>
      </c>
      <c r="L53" s="110">
        <v>5148.12</v>
      </c>
      <c r="M53" s="113">
        <v>2290.16</v>
      </c>
      <c r="N53" s="110"/>
      <c r="O53" s="111">
        <v>76.209999999999994</v>
      </c>
      <c r="P53" s="204"/>
      <c r="Q53" s="88">
        <v>459.25480999999979</v>
      </c>
      <c r="R53" s="328"/>
      <c r="S53" s="335">
        <v>270.15062900000004</v>
      </c>
      <c r="T53" s="226">
        <f t="shared" si="48"/>
        <v>805.61543899999992</v>
      </c>
      <c r="U53" s="138"/>
      <c r="V53" s="110">
        <v>776.49</v>
      </c>
      <c r="W53" s="113"/>
      <c r="X53" s="110"/>
      <c r="Y53" s="111"/>
      <c r="Z53" s="204"/>
      <c r="AA53" s="88">
        <v>-0.33730000000008431</v>
      </c>
      <c r="AB53" s="28"/>
      <c r="AC53" s="28"/>
      <c r="AD53" s="226">
        <f t="shared" si="49"/>
        <v>-0.33730000000008431</v>
      </c>
      <c r="AF53" s="110">
        <v>4106.71</v>
      </c>
      <c r="AG53" s="113">
        <v>462.68</v>
      </c>
      <c r="AH53" s="110"/>
      <c r="AI53" s="111"/>
      <c r="AJ53" s="204"/>
      <c r="AK53" s="215"/>
      <c r="AL53" s="28"/>
      <c r="AM53" s="28"/>
      <c r="AN53" s="226">
        <f t="shared" si="50"/>
        <v>0</v>
      </c>
      <c r="AP53" s="110">
        <v>3555.01</v>
      </c>
      <c r="AQ53" s="110">
        <v>757.18</v>
      </c>
      <c r="AR53" s="110"/>
      <c r="AS53" s="115">
        <v>126.4</v>
      </c>
      <c r="AT53" s="204"/>
      <c r="AU53" s="88">
        <v>223.84186999999983</v>
      </c>
      <c r="AV53" s="328"/>
      <c r="AW53" s="335">
        <v>4.604421600000002</v>
      </c>
      <c r="AX53" s="226">
        <f t="shared" si="51"/>
        <v>354.84629159999986</v>
      </c>
      <c r="AZ53" s="110">
        <v>7004.17</v>
      </c>
      <c r="BA53" s="113"/>
      <c r="BB53" s="110"/>
      <c r="BC53" s="111"/>
      <c r="BD53" s="204"/>
      <c r="BE53" s="88">
        <v>7.553559999999905</v>
      </c>
      <c r="BF53" s="28"/>
      <c r="BG53" s="28"/>
      <c r="BH53" s="226">
        <f t="shared" si="52"/>
        <v>7.553559999999905</v>
      </c>
      <c r="BJ53" s="110">
        <v>19824.5</v>
      </c>
      <c r="BK53" s="113">
        <v>774.07</v>
      </c>
      <c r="BL53" s="110"/>
      <c r="BM53" s="111">
        <v>363.3</v>
      </c>
      <c r="BN53" s="204"/>
      <c r="BO53" s="88">
        <v>34.225229999999996</v>
      </c>
      <c r="BP53" s="328">
        <v>14.926710000000185</v>
      </c>
      <c r="BQ53" s="28"/>
      <c r="BR53" s="226">
        <f t="shared" si="53"/>
        <v>412.45194000000021</v>
      </c>
      <c r="BT53" s="110">
        <v>4060.99</v>
      </c>
      <c r="BU53" s="113">
        <v>1266.01</v>
      </c>
      <c r="BV53" s="110"/>
      <c r="BW53" s="111">
        <v>2.9</v>
      </c>
      <c r="BX53" s="204"/>
      <c r="BY53" s="215"/>
      <c r="BZ53" s="28"/>
      <c r="CA53" s="28"/>
      <c r="CB53" s="226">
        <f t="shared" si="54"/>
        <v>2.9</v>
      </c>
      <c r="CD53" s="110">
        <v>1738.69</v>
      </c>
      <c r="CE53" s="113"/>
      <c r="CF53" s="110"/>
      <c r="CG53" s="111">
        <v>43.04</v>
      </c>
      <c r="CH53" s="204"/>
      <c r="CI53" s="88">
        <v>8.2971000000000004</v>
      </c>
      <c r="CJ53" s="328"/>
      <c r="CK53" s="28"/>
      <c r="CL53" s="226">
        <f t="shared" si="55"/>
        <v>51.3371</v>
      </c>
      <c r="CN53" s="110">
        <v>1811.46</v>
      </c>
      <c r="CO53" s="110">
        <v>559.03</v>
      </c>
      <c r="CP53" s="113">
        <v>1946.12</v>
      </c>
      <c r="CQ53" s="110"/>
      <c r="CR53" s="111">
        <v>775</v>
      </c>
      <c r="CS53" s="204"/>
      <c r="CT53" s="215"/>
      <c r="CU53" s="328">
        <v>245.60359</v>
      </c>
      <c r="CV53" s="28"/>
      <c r="CW53" s="226">
        <f t="shared" si="56"/>
        <v>1020.6035899999999</v>
      </c>
    </row>
    <row r="54" spans="1:101" s="129" customFormat="1" x14ac:dyDescent="0.25">
      <c r="A54" s="109">
        <v>45881</v>
      </c>
      <c r="B54" s="139">
        <v>1770</v>
      </c>
      <c r="C54" s="140">
        <v>3623.29</v>
      </c>
      <c r="D54" s="139">
        <v>6.58</v>
      </c>
      <c r="E54" s="141">
        <v>155.59</v>
      </c>
      <c r="F54" s="204"/>
      <c r="G54" s="88">
        <v>1.3000000000000114</v>
      </c>
      <c r="H54" s="28"/>
      <c r="I54" s="335">
        <v>35.460666999999944</v>
      </c>
      <c r="J54" s="226">
        <f t="shared" si="47"/>
        <v>192.35066699999996</v>
      </c>
      <c r="L54" s="110">
        <v>4192.3999999999996</v>
      </c>
      <c r="M54" s="113">
        <v>484.75</v>
      </c>
      <c r="N54" s="110"/>
      <c r="O54" s="111">
        <v>40.869999999999997</v>
      </c>
      <c r="P54" s="204"/>
      <c r="Q54" s="88">
        <v>377.33174999999983</v>
      </c>
      <c r="R54" s="328"/>
      <c r="S54" s="335"/>
      <c r="T54" s="226">
        <f t="shared" si="48"/>
        <v>418.20174999999983</v>
      </c>
      <c r="U54" s="138"/>
      <c r="V54" s="110">
        <v>2090.2199999999998</v>
      </c>
      <c r="W54" s="113"/>
      <c r="X54" s="110"/>
      <c r="Y54" s="111"/>
      <c r="Z54" s="204"/>
      <c r="AA54" s="88">
        <v>-9.2380000000019891E-2</v>
      </c>
      <c r="AB54" s="28"/>
      <c r="AC54" s="28"/>
      <c r="AD54" s="226">
        <f t="shared" si="49"/>
        <v>-9.2380000000019891E-2</v>
      </c>
      <c r="AF54" s="110">
        <v>7270.44</v>
      </c>
      <c r="AG54" s="113">
        <v>257.52</v>
      </c>
      <c r="AH54" s="110"/>
      <c r="AI54" s="111"/>
      <c r="AJ54" s="204"/>
      <c r="AK54" s="215"/>
      <c r="AL54" s="28"/>
      <c r="AM54" s="28"/>
      <c r="AN54" s="226">
        <f t="shared" si="50"/>
        <v>0</v>
      </c>
      <c r="AP54" s="110">
        <v>4000.74</v>
      </c>
      <c r="AQ54" s="110">
        <v>660.35</v>
      </c>
      <c r="AR54" s="110"/>
      <c r="AS54" s="115">
        <v>84.17</v>
      </c>
      <c r="AT54" s="204"/>
      <c r="AU54" s="88">
        <v>228.29419999999993</v>
      </c>
      <c r="AV54" s="328"/>
      <c r="AW54" s="335">
        <v>16.690249999999992</v>
      </c>
      <c r="AX54" s="226">
        <f t="shared" si="51"/>
        <v>329.15444999999994</v>
      </c>
      <c r="AZ54" s="110">
        <v>3644.14</v>
      </c>
      <c r="BA54" s="113"/>
      <c r="BB54" s="110"/>
      <c r="BC54" s="111"/>
      <c r="BD54" s="204"/>
      <c r="BE54" s="88">
        <v>-2.9332800000001669</v>
      </c>
      <c r="BF54" s="28"/>
      <c r="BG54" s="28"/>
      <c r="BH54" s="226">
        <f t="shared" si="52"/>
        <v>-2.9332800000001669</v>
      </c>
      <c r="BJ54" s="110">
        <v>17243.46</v>
      </c>
      <c r="BK54" s="113">
        <v>768.38</v>
      </c>
      <c r="BL54" s="110"/>
      <c r="BM54" s="111">
        <v>303.94</v>
      </c>
      <c r="BN54" s="204"/>
      <c r="BO54" s="88">
        <v>-12.70801000000003</v>
      </c>
      <c r="BP54" s="328">
        <v>118.39551999999992</v>
      </c>
      <c r="BQ54" s="28"/>
      <c r="BR54" s="226">
        <f t="shared" si="53"/>
        <v>409.62750999999992</v>
      </c>
      <c r="BT54" s="110">
        <v>3434.78</v>
      </c>
      <c r="BU54" s="113">
        <v>1400.86</v>
      </c>
      <c r="BV54" s="110"/>
      <c r="BW54" s="111"/>
      <c r="BX54" s="204"/>
      <c r="BY54" s="215"/>
      <c r="BZ54" s="28"/>
      <c r="CA54" s="28"/>
      <c r="CB54" s="226">
        <f t="shared" si="54"/>
        <v>0</v>
      </c>
      <c r="CD54" s="110">
        <v>1592.23</v>
      </c>
      <c r="CE54" s="113"/>
      <c r="CF54" s="110"/>
      <c r="CG54" s="111">
        <v>43.4</v>
      </c>
      <c r="CH54" s="204"/>
      <c r="CI54" s="88"/>
      <c r="CJ54" s="328"/>
      <c r="CK54" s="28"/>
      <c r="CL54" s="226">
        <f t="shared" si="55"/>
        <v>43.4</v>
      </c>
      <c r="CN54" s="110">
        <v>1776.92</v>
      </c>
      <c r="CO54" s="110">
        <v>696.64</v>
      </c>
      <c r="CP54" s="113">
        <v>1844.34</v>
      </c>
      <c r="CQ54" s="110"/>
      <c r="CR54" s="111">
        <v>843.48</v>
      </c>
      <c r="CS54" s="204"/>
      <c r="CT54" s="215"/>
      <c r="CU54" s="328">
        <v>195.0076</v>
      </c>
      <c r="CV54" s="28"/>
      <c r="CW54" s="226">
        <f t="shared" si="56"/>
        <v>1038.4875999999999</v>
      </c>
    </row>
    <row r="55" spans="1:101" s="129" customFormat="1" x14ac:dyDescent="0.25">
      <c r="A55" s="109">
        <v>45882</v>
      </c>
      <c r="B55" s="139">
        <v>4002.02</v>
      </c>
      <c r="C55" s="140">
        <v>2871.67</v>
      </c>
      <c r="D55" s="139">
        <v>5.97</v>
      </c>
      <c r="E55" s="141">
        <v>209.87</v>
      </c>
      <c r="F55" s="204"/>
      <c r="G55" s="88"/>
      <c r="H55" s="28"/>
      <c r="I55" s="335"/>
      <c r="J55" s="226">
        <f t="shared" si="47"/>
        <v>209.87</v>
      </c>
      <c r="L55" s="110">
        <v>5411.1</v>
      </c>
      <c r="M55" s="113">
        <v>1097.69</v>
      </c>
      <c r="N55" s="110"/>
      <c r="O55" s="111">
        <v>27.13</v>
      </c>
      <c r="P55" s="204"/>
      <c r="Q55" s="88">
        <v>323.0886499999998</v>
      </c>
      <c r="R55" s="328"/>
      <c r="S55" s="335">
        <v>205.5648000000001</v>
      </c>
      <c r="T55" s="226">
        <f t="shared" si="48"/>
        <v>555.7834499999999</v>
      </c>
      <c r="U55" s="138"/>
      <c r="V55" s="110">
        <v>628.88</v>
      </c>
      <c r="W55" s="113"/>
      <c r="X55" s="110"/>
      <c r="Y55" s="111"/>
      <c r="Z55" s="204"/>
      <c r="AA55" s="88">
        <v>-0.4645000000001005</v>
      </c>
      <c r="AB55" s="28"/>
      <c r="AC55" s="28"/>
      <c r="AD55" s="226">
        <f t="shared" si="49"/>
        <v>-0.4645000000001005</v>
      </c>
      <c r="AF55" s="110">
        <v>9395.01</v>
      </c>
      <c r="AG55" s="113">
        <v>732.66</v>
      </c>
      <c r="AH55" s="110"/>
      <c r="AI55" s="111"/>
      <c r="AJ55" s="204"/>
      <c r="AK55" s="215"/>
      <c r="AL55" s="28"/>
      <c r="AM55" s="28"/>
      <c r="AN55" s="226">
        <f t="shared" si="50"/>
        <v>0</v>
      </c>
      <c r="AP55" s="110">
        <v>5233.1499999999996</v>
      </c>
      <c r="AQ55" s="110">
        <v>1170.4000000000001</v>
      </c>
      <c r="AR55" s="110"/>
      <c r="AS55" s="115">
        <v>50.06</v>
      </c>
      <c r="AT55" s="204"/>
      <c r="AU55" s="88">
        <v>241.90465999999995</v>
      </c>
      <c r="AV55" s="328">
        <v>64.928979999999939</v>
      </c>
      <c r="AW55" s="335">
        <v>12.628849799999983</v>
      </c>
      <c r="AX55" s="226">
        <f t="shared" si="51"/>
        <v>369.5224897999999</v>
      </c>
      <c r="AZ55" s="110">
        <v>8517.09</v>
      </c>
      <c r="BA55" s="113"/>
      <c r="BB55" s="110"/>
      <c r="BC55" s="111"/>
      <c r="BD55" s="204"/>
      <c r="BE55" s="88">
        <v>-2.384660000000153</v>
      </c>
      <c r="BF55" s="28"/>
      <c r="BG55" s="28"/>
      <c r="BH55" s="226">
        <f t="shared" si="52"/>
        <v>-2.384660000000153</v>
      </c>
      <c r="BJ55" s="110">
        <v>30289.94</v>
      </c>
      <c r="BK55" s="113">
        <v>489.64</v>
      </c>
      <c r="BL55" s="110"/>
      <c r="BM55" s="111">
        <v>690.7</v>
      </c>
      <c r="BN55" s="204"/>
      <c r="BO55" s="88">
        <v>46.382690000000025</v>
      </c>
      <c r="BP55" s="328">
        <v>46.69993999999997</v>
      </c>
      <c r="BQ55" s="28"/>
      <c r="BR55" s="226">
        <f t="shared" si="53"/>
        <v>783.78263000000004</v>
      </c>
      <c r="BT55" s="110">
        <v>2383.2800000000002</v>
      </c>
      <c r="BU55" s="113">
        <v>977.14</v>
      </c>
      <c r="BV55" s="110"/>
      <c r="BW55" s="111">
        <v>230.57</v>
      </c>
      <c r="BX55" s="204"/>
      <c r="BY55" s="215"/>
      <c r="BZ55" s="28"/>
      <c r="CA55" s="28"/>
      <c r="CB55" s="226">
        <f t="shared" si="54"/>
        <v>230.57</v>
      </c>
      <c r="CD55" s="110">
        <v>2030.2</v>
      </c>
      <c r="CE55" s="113"/>
      <c r="CF55" s="110"/>
      <c r="CG55" s="111">
        <v>65.91</v>
      </c>
      <c r="CH55" s="204"/>
      <c r="CI55" s="88">
        <v>24.973380000000017</v>
      </c>
      <c r="CJ55" s="328"/>
      <c r="CK55" s="28"/>
      <c r="CL55" s="226">
        <f t="shared" si="55"/>
        <v>90.883380000000017</v>
      </c>
      <c r="CN55" s="110">
        <v>2014.2</v>
      </c>
      <c r="CO55" s="110">
        <v>801.24</v>
      </c>
      <c r="CP55" s="113">
        <v>1789.78</v>
      </c>
      <c r="CQ55" s="110"/>
      <c r="CR55" s="111">
        <v>873.26</v>
      </c>
      <c r="CS55" s="204"/>
      <c r="CT55" s="215"/>
      <c r="CU55" s="328">
        <v>63.030000000000015</v>
      </c>
      <c r="CV55" s="28"/>
      <c r="CW55" s="226">
        <f t="shared" si="56"/>
        <v>936.29</v>
      </c>
    </row>
    <row r="56" spans="1:101" s="129" customFormat="1" x14ac:dyDescent="0.25">
      <c r="A56" s="109">
        <v>45883</v>
      </c>
      <c r="B56" s="139">
        <v>3554.68</v>
      </c>
      <c r="C56" s="140">
        <v>2806.73</v>
      </c>
      <c r="D56" s="139">
        <v>4.95</v>
      </c>
      <c r="E56" s="141">
        <v>188.28</v>
      </c>
      <c r="F56" s="204"/>
      <c r="G56" s="88">
        <v>45.899999999999991</v>
      </c>
      <c r="H56" s="28"/>
      <c r="I56" s="335"/>
      <c r="J56" s="226">
        <f t="shared" si="47"/>
        <v>234.18</v>
      </c>
      <c r="L56" s="110">
        <v>6191.37</v>
      </c>
      <c r="M56" s="113">
        <v>2006.5</v>
      </c>
      <c r="N56" s="110"/>
      <c r="O56" s="111">
        <v>70.53</v>
      </c>
      <c r="P56" s="204"/>
      <c r="Q56" s="88">
        <v>71.771469999999994</v>
      </c>
      <c r="R56" s="328"/>
      <c r="S56" s="335"/>
      <c r="T56" s="226">
        <f t="shared" si="48"/>
        <v>142.30146999999999</v>
      </c>
      <c r="U56" s="138"/>
      <c r="V56" s="110">
        <v>750.07</v>
      </c>
      <c r="W56" s="113"/>
      <c r="X56" s="110"/>
      <c r="Y56" s="111"/>
      <c r="Z56" s="204"/>
      <c r="AA56" s="88"/>
      <c r="AB56" s="28"/>
      <c r="AC56" s="28"/>
      <c r="AD56" s="226">
        <f t="shared" si="49"/>
        <v>0</v>
      </c>
      <c r="AF56" s="110">
        <v>5349.81</v>
      </c>
      <c r="AG56" s="113">
        <v>516.11</v>
      </c>
      <c r="AH56" s="110"/>
      <c r="AI56" s="111"/>
      <c r="AJ56" s="204"/>
      <c r="AK56" s="215"/>
      <c r="AL56" s="28"/>
      <c r="AM56" s="28"/>
      <c r="AN56" s="226">
        <f t="shared" si="50"/>
        <v>0</v>
      </c>
      <c r="AP56" s="110">
        <v>3335.07</v>
      </c>
      <c r="AQ56" s="110">
        <v>1363.37</v>
      </c>
      <c r="AR56" s="110"/>
      <c r="AS56" s="115">
        <v>67.11</v>
      </c>
      <c r="AT56" s="204"/>
      <c r="AU56" s="88">
        <v>237.81989999999993</v>
      </c>
      <c r="AV56" s="328"/>
      <c r="AW56" s="335"/>
      <c r="AX56" s="226">
        <f t="shared" si="51"/>
        <v>304.92989999999992</v>
      </c>
      <c r="AZ56" s="110">
        <v>7743.75</v>
      </c>
      <c r="BA56" s="113"/>
      <c r="BB56" s="110"/>
      <c r="BC56" s="111"/>
      <c r="BD56" s="204"/>
      <c r="BE56" s="88">
        <v>68.120699999999943</v>
      </c>
      <c r="BF56" s="28"/>
      <c r="BG56" s="28"/>
      <c r="BH56" s="226">
        <f t="shared" si="52"/>
        <v>68.120699999999943</v>
      </c>
      <c r="BJ56" s="110">
        <v>24123.040000000001</v>
      </c>
      <c r="BK56" s="113">
        <v>813.41</v>
      </c>
      <c r="BL56" s="110"/>
      <c r="BM56" s="111">
        <v>666.16</v>
      </c>
      <c r="BN56" s="204"/>
      <c r="BO56" s="88">
        <v>28.257810000000063</v>
      </c>
      <c r="BP56" s="328">
        <v>10.137579999999986</v>
      </c>
      <c r="BQ56" s="28"/>
      <c r="BR56" s="226">
        <f t="shared" si="53"/>
        <v>704.55538999999999</v>
      </c>
      <c r="BT56" s="110">
        <v>4345.6099999999997</v>
      </c>
      <c r="BU56" s="113">
        <v>960.89</v>
      </c>
      <c r="BV56" s="110"/>
      <c r="BW56" s="111">
        <v>45.19</v>
      </c>
      <c r="BX56" s="204"/>
      <c r="BY56" s="215"/>
      <c r="BZ56" s="28"/>
      <c r="CA56" s="28"/>
      <c r="CB56" s="226">
        <f t="shared" si="54"/>
        <v>45.19</v>
      </c>
      <c r="CD56" s="110">
        <v>2260.44</v>
      </c>
      <c r="CE56" s="113"/>
      <c r="CF56" s="110"/>
      <c r="CG56" s="111">
        <v>130.88</v>
      </c>
      <c r="CH56" s="204"/>
      <c r="CI56" s="88">
        <v>83.238699999999994</v>
      </c>
      <c r="CJ56" s="328"/>
      <c r="CK56" s="28"/>
      <c r="CL56" s="226">
        <f t="shared" si="55"/>
        <v>214.11869999999999</v>
      </c>
      <c r="CN56" s="110">
        <v>1723.16</v>
      </c>
      <c r="CO56" s="110">
        <v>467.01</v>
      </c>
      <c r="CP56" s="113">
        <v>1516.5</v>
      </c>
      <c r="CQ56" s="110"/>
      <c r="CR56" s="111">
        <v>803.48</v>
      </c>
      <c r="CS56" s="204"/>
      <c r="CT56" s="215"/>
      <c r="CU56" s="328">
        <v>131.98418000000007</v>
      </c>
      <c r="CV56" s="28"/>
      <c r="CW56" s="226">
        <f t="shared" si="56"/>
        <v>935.46418000000006</v>
      </c>
    </row>
    <row r="57" spans="1:101" s="129" customFormat="1" x14ac:dyDescent="0.25">
      <c r="A57" s="109">
        <v>45884</v>
      </c>
      <c r="B57" s="139">
        <v>3362.3</v>
      </c>
      <c r="C57" s="140">
        <v>2603.7199999999998</v>
      </c>
      <c r="D57" s="139">
        <v>5.38</v>
      </c>
      <c r="E57" s="141">
        <v>145.18</v>
      </c>
      <c r="F57" s="204"/>
      <c r="G57" s="88"/>
      <c r="H57" s="28"/>
      <c r="I57" s="335"/>
      <c r="J57" s="226">
        <f t="shared" si="47"/>
        <v>145.18</v>
      </c>
      <c r="L57" s="110">
        <v>5828.94</v>
      </c>
      <c r="M57" s="113">
        <v>2233.0100000000002</v>
      </c>
      <c r="N57" s="110"/>
      <c r="O57" s="111">
        <v>42.51</v>
      </c>
      <c r="P57" s="204"/>
      <c r="Q57" s="88">
        <v>129.15875000000003</v>
      </c>
      <c r="R57" s="328"/>
      <c r="S57" s="335"/>
      <c r="T57" s="226">
        <f t="shared" si="48"/>
        <v>171.66875000000002</v>
      </c>
      <c r="U57" s="138"/>
      <c r="V57" s="110">
        <v>561.80999999999995</v>
      </c>
      <c r="W57" s="113"/>
      <c r="X57" s="110"/>
      <c r="Y57" s="111"/>
      <c r="Z57" s="204"/>
      <c r="AA57" s="88"/>
      <c r="AB57" s="28"/>
      <c r="AC57" s="28"/>
      <c r="AD57" s="226">
        <f t="shared" si="49"/>
        <v>0</v>
      </c>
      <c r="AF57" s="110">
        <v>6385.7199999999993</v>
      </c>
      <c r="AG57" s="113">
        <v>632.08000000000004</v>
      </c>
      <c r="AH57" s="110"/>
      <c r="AI57" s="111"/>
      <c r="AJ57" s="204"/>
      <c r="AK57" s="215"/>
      <c r="AL57" s="28"/>
      <c r="AM57" s="28"/>
      <c r="AN57" s="226">
        <f t="shared" si="50"/>
        <v>0</v>
      </c>
      <c r="AP57" s="110">
        <v>4451.24</v>
      </c>
      <c r="AQ57" s="110">
        <v>865.43</v>
      </c>
      <c r="AR57" s="110"/>
      <c r="AS57" s="115">
        <v>129.9</v>
      </c>
      <c r="AT57" s="204"/>
      <c r="AU57" s="88">
        <v>204.16294999999991</v>
      </c>
      <c r="AV57" s="328">
        <v>28.438550000000021</v>
      </c>
      <c r="AW57" s="335">
        <v>41.234482199999974</v>
      </c>
      <c r="AX57" s="226">
        <f t="shared" si="51"/>
        <v>403.73598219999985</v>
      </c>
      <c r="AZ57" s="110">
        <v>1729.08</v>
      </c>
      <c r="BA57" s="113"/>
      <c r="BB57" s="110"/>
      <c r="BC57" s="111"/>
      <c r="BD57" s="204"/>
      <c r="BE57" s="88">
        <v>20.102369999999951</v>
      </c>
      <c r="BF57" s="28"/>
      <c r="BG57" s="28"/>
      <c r="BH57" s="226">
        <f t="shared" si="52"/>
        <v>20.102369999999951</v>
      </c>
      <c r="BJ57" s="110">
        <v>10662.26</v>
      </c>
      <c r="BK57" s="113">
        <v>953.84</v>
      </c>
      <c r="BL57" s="110"/>
      <c r="BM57" s="111">
        <v>372.14</v>
      </c>
      <c r="BN57" s="204"/>
      <c r="BO57" s="88">
        <v>13.59329</v>
      </c>
      <c r="BP57" s="328">
        <v>88.28296000000006</v>
      </c>
      <c r="BQ57" s="28"/>
      <c r="BR57" s="226">
        <f t="shared" si="53"/>
        <v>474.01625000000007</v>
      </c>
      <c r="BT57" s="110">
        <v>3434.9</v>
      </c>
      <c r="BU57" s="113">
        <v>1118.31</v>
      </c>
      <c r="BV57" s="110"/>
      <c r="BW57" s="111">
        <v>303.8</v>
      </c>
      <c r="BX57" s="204"/>
      <c r="BY57" s="215"/>
      <c r="BZ57" s="28"/>
      <c r="CA57" s="28"/>
      <c r="CB57" s="226">
        <f t="shared" si="54"/>
        <v>303.8</v>
      </c>
      <c r="CD57" s="110">
        <v>2653.69</v>
      </c>
      <c r="CE57" s="113"/>
      <c r="CF57" s="110"/>
      <c r="CG57" s="111">
        <v>53.53</v>
      </c>
      <c r="CH57" s="204"/>
      <c r="CI57" s="88">
        <v>4.6851200000000013</v>
      </c>
      <c r="CJ57" s="328"/>
      <c r="CK57" s="28"/>
      <c r="CL57" s="226">
        <f t="shared" si="55"/>
        <v>58.215119999999999</v>
      </c>
      <c r="CN57" s="110">
        <v>2721.08</v>
      </c>
      <c r="CO57" s="110">
        <v>1001.94</v>
      </c>
      <c r="CP57" s="113">
        <v>1960.39</v>
      </c>
      <c r="CQ57" s="110"/>
      <c r="CR57" s="111">
        <v>782.42</v>
      </c>
      <c r="CS57" s="204"/>
      <c r="CT57" s="215"/>
      <c r="CU57" s="328">
        <v>35.450000000000003</v>
      </c>
      <c r="CV57" s="28"/>
      <c r="CW57" s="226">
        <f t="shared" si="56"/>
        <v>817.87</v>
      </c>
    </row>
    <row r="58" spans="1:101" s="129" customFormat="1" x14ac:dyDescent="0.25">
      <c r="A58" s="109">
        <v>45885</v>
      </c>
      <c r="B58" s="139">
        <v>2895.89</v>
      </c>
      <c r="C58" s="140">
        <v>2515.0300000000002</v>
      </c>
      <c r="D58" s="139">
        <v>6.71</v>
      </c>
      <c r="E58" s="141">
        <v>133.83000000000001</v>
      </c>
      <c r="F58" s="204"/>
      <c r="G58" s="88">
        <v>6.963390000000004</v>
      </c>
      <c r="H58" s="28"/>
      <c r="I58" s="335"/>
      <c r="J58" s="226">
        <f t="shared" si="47"/>
        <v>140.79339000000002</v>
      </c>
      <c r="L58" s="110">
        <v>4696.17</v>
      </c>
      <c r="M58" s="113">
        <v>3839.9</v>
      </c>
      <c r="N58" s="110"/>
      <c r="O58" s="111">
        <v>49.5</v>
      </c>
      <c r="P58" s="204"/>
      <c r="Q58" s="88">
        <v>640.22730999999999</v>
      </c>
      <c r="R58" s="328"/>
      <c r="S58" s="335"/>
      <c r="T58" s="226">
        <f t="shared" si="48"/>
        <v>689.72730999999999</v>
      </c>
      <c r="U58" s="138"/>
      <c r="V58" s="110">
        <v>100.01</v>
      </c>
      <c r="W58" s="113"/>
      <c r="X58" s="110"/>
      <c r="Y58" s="111"/>
      <c r="Z58" s="204"/>
      <c r="AA58" s="88">
        <v>16.944119999999998</v>
      </c>
      <c r="AB58" s="28"/>
      <c r="AC58" s="28"/>
      <c r="AD58" s="226">
        <f t="shared" si="49"/>
        <v>16.944119999999998</v>
      </c>
      <c r="AF58" s="110">
        <v>3718.09</v>
      </c>
      <c r="AG58" s="113">
        <v>356.07</v>
      </c>
      <c r="AH58" s="110"/>
      <c r="AI58" s="111"/>
      <c r="AJ58" s="204"/>
      <c r="AK58" s="215"/>
      <c r="AL58" s="28"/>
      <c r="AM58" s="28"/>
      <c r="AN58" s="226">
        <f t="shared" si="50"/>
        <v>0</v>
      </c>
      <c r="AP58" s="110">
        <v>4046.37</v>
      </c>
      <c r="AQ58" s="110">
        <v>563.04999999999995</v>
      </c>
      <c r="AR58" s="110"/>
      <c r="AS58" s="115">
        <v>33.58</v>
      </c>
      <c r="AT58" s="204"/>
      <c r="AU58" s="88">
        <v>248.22427000000002</v>
      </c>
      <c r="AV58" s="328">
        <v>126.19000000000005</v>
      </c>
      <c r="AW58" s="335"/>
      <c r="AX58" s="226">
        <f t="shared" si="51"/>
        <v>407.99427000000009</v>
      </c>
      <c r="AZ58" s="110">
        <v>5528.25</v>
      </c>
      <c r="BA58" s="113"/>
      <c r="BB58" s="110"/>
      <c r="BC58" s="111"/>
      <c r="BD58" s="204"/>
      <c r="BE58" s="88">
        <v>90.776129999999924</v>
      </c>
      <c r="BF58" s="28"/>
      <c r="BG58" s="28"/>
      <c r="BH58" s="226">
        <f t="shared" si="52"/>
        <v>90.776129999999924</v>
      </c>
      <c r="BJ58" s="110">
        <v>24774.639999999999</v>
      </c>
      <c r="BK58" s="113">
        <v>783.81</v>
      </c>
      <c r="BL58" s="110"/>
      <c r="BM58" s="111">
        <v>447.06</v>
      </c>
      <c r="BN58" s="204"/>
      <c r="BO58" s="88">
        <v>144.75335000000018</v>
      </c>
      <c r="BP58" s="328">
        <v>11.932730000000021</v>
      </c>
      <c r="BQ58" s="28"/>
      <c r="BR58" s="226">
        <f t="shared" si="53"/>
        <v>603.74608000000012</v>
      </c>
      <c r="BT58" s="110">
        <v>3315.57</v>
      </c>
      <c r="BU58" s="113">
        <v>1397.02</v>
      </c>
      <c r="BV58" s="110"/>
      <c r="BW58" s="111">
        <v>2.95</v>
      </c>
      <c r="BX58" s="204"/>
      <c r="BY58" s="215"/>
      <c r="BZ58" s="28"/>
      <c r="CA58" s="28"/>
      <c r="CB58" s="226">
        <f t="shared" si="54"/>
        <v>2.95</v>
      </c>
      <c r="CD58" s="110">
        <v>2249.81</v>
      </c>
      <c r="CE58" s="113"/>
      <c r="CF58" s="110"/>
      <c r="CG58" s="111">
        <v>591.09</v>
      </c>
      <c r="CH58" s="204"/>
      <c r="CI58" s="88">
        <v>98.481099999999884</v>
      </c>
      <c r="CJ58" s="328"/>
      <c r="CK58" s="28"/>
      <c r="CL58" s="226">
        <f t="shared" si="55"/>
        <v>689.57109999999989</v>
      </c>
      <c r="CN58" s="110">
        <v>1643.86</v>
      </c>
      <c r="CO58" s="110">
        <v>1169.5899999999999</v>
      </c>
      <c r="CP58" s="113">
        <v>2616.31</v>
      </c>
      <c r="CQ58" s="110"/>
      <c r="CR58" s="111">
        <v>379.81</v>
      </c>
      <c r="CS58" s="204"/>
      <c r="CT58" s="215"/>
      <c r="CU58" s="328">
        <v>218.46794999999997</v>
      </c>
      <c r="CV58" s="28"/>
      <c r="CW58" s="226">
        <f t="shared" si="56"/>
        <v>598.27794999999992</v>
      </c>
    </row>
    <row r="59" spans="1:101" s="129" customFormat="1" x14ac:dyDescent="0.25">
      <c r="A59" s="109">
        <v>45886</v>
      </c>
      <c r="B59" s="139">
        <v>1865.79</v>
      </c>
      <c r="C59" s="140">
        <v>1921.95</v>
      </c>
      <c r="D59" s="139">
        <v>4.58</v>
      </c>
      <c r="E59" s="141">
        <v>223.75</v>
      </c>
      <c r="F59" s="204"/>
      <c r="G59" s="88">
        <v>13.560000000000002</v>
      </c>
      <c r="H59" s="28"/>
      <c r="I59" s="335"/>
      <c r="J59" s="226">
        <f t="shared" si="47"/>
        <v>237.31</v>
      </c>
      <c r="L59" s="110">
        <v>4815.54</v>
      </c>
      <c r="M59" s="113">
        <v>2831</v>
      </c>
      <c r="N59" s="110"/>
      <c r="O59" s="111">
        <v>36.96</v>
      </c>
      <c r="P59" s="204"/>
      <c r="Q59" s="88">
        <v>78.338760000000008</v>
      </c>
      <c r="R59" s="328">
        <v>43.442190000000011</v>
      </c>
      <c r="S59" s="335"/>
      <c r="T59" s="226">
        <f t="shared" si="48"/>
        <v>158.74095000000003</v>
      </c>
      <c r="U59" s="138"/>
      <c r="V59" s="110">
        <v>50.01</v>
      </c>
      <c r="W59" s="113"/>
      <c r="X59" s="110"/>
      <c r="Y59" s="111"/>
      <c r="Z59" s="204"/>
      <c r="AA59" s="88"/>
      <c r="AB59" s="28"/>
      <c r="AC59" s="28"/>
      <c r="AD59" s="226">
        <f t="shared" si="49"/>
        <v>0</v>
      </c>
      <c r="AF59" s="110">
        <v>5297.11</v>
      </c>
      <c r="AG59" s="113">
        <v>609.73</v>
      </c>
      <c r="AH59" s="110"/>
      <c r="AI59" s="111"/>
      <c r="AJ59" s="204"/>
      <c r="AK59" s="215"/>
      <c r="AL59" s="28"/>
      <c r="AM59" s="28"/>
      <c r="AN59" s="226">
        <f t="shared" si="50"/>
        <v>0</v>
      </c>
      <c r="AP59" s="110">
        <v>1877.75</v>
      </c>
      <c r="AQ59" s="110">
        <v>850.7</v>
      </c>
      <c r="AR59" s="110"/>
      <c r="AS59" s="115">
        <v>49.93</v>
      </c>
      <c r="AT59" s="204"/>
      <c r="AU59" s="88">
        <v>134.43013000000002</v>
      </c>
      <c r="AV59" s="328"/>
      <c r="AW59" s="335"/>
      <c r="AX59" s="226">
        <f t="shared" si="51"/>
        <v>184.36013000000003</v>
      </c>
      <c r="AZ59" s="110">
        <v>2881.15</v>
      </c>
      <c r="BA59" s="113"/>
      <c r="BB59" s="110"/>
      <c r="BC59" s="111"/>
      <c r="BD59" s="204"/>
      <c r="BE59" s="88">
        <v>75.609799999999836</v>
      </c>
      <c r="BF59" s="28"/>
      <c r="BG59" s="28"/>
      <c r="BH59" s="226">
        <f t="shared" si="52"/>
        <v>75.609799999999836</v>
      </c>
      <c r="BJ59" s="110">
        <v>11898.23</v>
      </c>
      <c r="BK59" s="113">
        <v>915.56</v>
      </c>
      <c r="BL59" s="110"/>
      <c r="BM59" s="111">
        <v>56.41</v>
      </c>
      <c r="BN59" s="204"/>
      <c r="BO59" s="88">
        <v>6.9976900000000057</v>
      </c>
      <c r="BP59" s="328"/>
      <c r="BQ59" s="28"/>
      <c r="BR59" s="226">
        <f t="shared" si="53"/>
        <v>63.407690000000002</v>
      </c>
      <c r="BT59" s="110">
        <v>2531.9</v>
      </c>
      <c r="BU59" s="113">
        <v>965.62</v>
      </c>
      <c r="BV59" s="110"/>
      <c r="BW59" s="111"/>
      <c r="BX59" s="204"/>
      <c r="BY59" s="215"/>
      <c r="BZ59" s="28"/>
      <c r="CA59" s="28"/>
      <c r="CB59" s="226">
        <f t="shared" si="54"/>
        <v>0</v>
      </c>
      <c r="CD59" s="110">
        <v>1348.98</v>
      </c>
      <c r="CE59" s="113"/>
      <c r="CF59" s="110"/>
      <c r="CG59" s="111">
        <v>105.69</v>
      </c>
      <c r="CH59" s="204"/>
      <c r="CI59" s="88"/>
      <c r="CJ59" s="328">
        <v>15.445000000000007</v>
      </c>
      <c r="CK59" s="28"/>
      <c r="CL59" s="226">
        <f t="shared" si="55"/>
        <v>121.13500000000001</v>
      </c>
      <c r="CN59" s="110">
        <v>1761.23</v>
      </c>
      <c r="CO59" s="110">
        <v>605.46</v>
      </c>
      <c r="CP59" s="113">
        <v>2008.42</v>
      </c>
      <c r="CQ59" s="110"/>
      <c r="CR59" s="111">
        <v>18.32</v>
      </c>
      <c r="CS59" s="204"/>
      <c r="CT59" s="215"/>
      <c r="CU59" s="328">
        <v>37.424999999999997</v>
      </c>
      <c r="CV59" s="28"/>
      <c r="CW59" s="226">
        <f t="shared" si="56"/>
        <v>55.744999999999997</v>
      </c>
    </row>
    <row r="60" spans="1:101" s="129" customFormat="1" x14ac:dyDescent="0.25">
      <c r="A60" s="109">
        <v>45887</v>
      </c>
      <c r="B60" s="139">
        <v>3377.64</v>
      </c>
      <c r="C60" s="140">
        <v>3288.78</v>
      </c>
      <c r="D60" s="139">
        <v>5.49</v>
      </c>
      <c r="E60" s="141">
        <v>78.040000000000006</v>
      </c>
      <c r="F60" s="204"/>
      <c r="G60" s="88">
        <v>40.41219000000001</v>
      </c>
      <c r="H60" s="28"/>
      <c r="I60" s="335"/>
      <c r="J60" s="226">
        <f t="shared" si="47"/>
        <v>118.45219000000002</v>
      </c>
      <c r="L60" s="110">
        <v>7006.79</v>
      </c>
      <c r="M60" s="113">
        <v>2867.95</v>
      </c>
      <c r="N60" s="110"/>
      <c r="O60" s="111">
        <v>52.77</v>
      </c>
      <c r="P60" s="204"/>
      <c r="Q60" s="88">
        <v>131.25988999999998</v>
      </c>
      <c r="R60" s="328"/>
      <c r="S60" s="335">
        <v>171.30400000000009</v>
      </c>
      <c r="T60" s="226">
        <f t="shared" si="48"/>
        <v>355.33389000000011</v>
      </c>
      <c r="U60" s="138"/>
      <c r="V60" s="110">
        <v>492.04</v>
      </c>
      <c r="W60" s="113"/>
      <c r="X60" s="110"/>
      <c r="Y60" s="111"/>
      <c r="Z60" s="204"/>
      <c r="AA60" s="88">
        <v>22.758299999999963</v>
      </c>
      <c r="AB60" s="28"/>
      <c r="AC60" s="28"/>
      <c r="AD60" s="226">
        <f t="shared" si="49"/>
        <v>22.758299999999963</v>
      </c>
      <c r="AF60" s="110">
        <v>7286.92</v>
      </c>
      <c r="AG60" s="113">
        <v>279.01</v>
      </c>
      <c r="AH60" s="110"/>
      <c r="AI60" s="111"/>
      <c r="AJ60" s="204"/>
      <c r="AK60" s="215"/>
      <c r="AL60" s="28"/>
      <c r="AM60" s="28"/>
      <c r="AN60" s="226">
        <f t="shared" si="50"/>
        <v>0</v>
      </c>
      <c r="AP60" s="110">
        <v>6739.37</v>
      </c>
      <c r="AQ60" s="110">
        <v>907.17</v>
      </c>
      <c r="AR60" s="110"/>
      <c r="AS60" s="115">
        <v>191.9</v>
      </c>
      <c r="AT60" s="204"/>
      <c r="AU60" s="88">
        <v>263.41843999999992</v>
      </c>
      <c r="AV60" s="328">
        <v>13.035049999999984</v>
      </c>
      <c r="AW60" s="335"/>
      <c r="AX60" s="226">
        <f t="shared" si="51"/>
        <v>468.35348999999985</v>
      </c>
      <c r="AZ60" s="110">
        <v>6861.49</v>
      </c>
      <c r="BA60" s="113"/>
      <c r="BB60" s="110"/>
      <c r="BC60" s="111"/>
      <c r="BD60" s="204"/>
      <c r="BE60" s="88">
        <v>51.791069999999991</v>
      </c>
      <c r="BF60" s="28"/>
      <c r="BG60" s="28"/>
      <c r="BH60" s="226">
        <f t="shared" si="52"/>
        <v>51.791069999999991</v>
      </c>
      <c r="BJ60" s="110">
        <v>14982.46</v>
      </c>
      <c r="BK60" s="113">
        <v>903.15</v>
      </c>
      <c r="BL60" s="110"/>
      <c r="BM60" s="111">
        <v>726.38</v>
      </c>
      <c r="BN60" s="204"/>
      <c r="BO60" s="88">
        <v>156.37281000000007</v>
      </c>
      <c r="BP60" s="328"/>
      <c r="BQ60" s="28"/>
      <c r="BR60" s="226">
        <f t="shared" si="53"/>
        <v>882.75281000000007</v>
      </c>
      <c r="BT60" s="110">
        <v>3884.22</v>
      </c>
      <c r="BU60" s="113">
        <v>981.27</v>
      </c>
      <c r="BV60" s="110"/>
      <c r="BW60" s="111">
        <v>12.09</v>
      </c>
      <c r="BX60" s="204"/>
      <c r="BY60" s="215"/>
      <c r="BZ60" s="28"/>
      <c r="CA60" s="28"/>
      <c r="CB60" s="226">
        <f t="shared" si="54"/>
        <v>12.09</v>
      </c>
      <c r="CD60" s="110">
        <v>2552.14</v>
      </c>
      <c r="CE60" s="113"/>
      <c r="CF60" s="110"/>
      <c r="CG60" s="111">
        <v>156.15</v>
      </c>
      <c r="CH60" s="204"/>
      <c r="CI60" s="88"/>
      <c r="CJ60" s="328"/>
      <c r="CK60" s="28"/>
      <c r="CL60" s="226">
        <f t="shared" si="55"/>
        <v>156.15</v>
      </c>
      <c r="CN60" s="110">
        <v>1206.51</v>
      </c>
      <c r="CO60" s="110">
        <v>320.44</v>
      </c>
      <c r="CP60" s="113">
        <v>2901.73</v>
      </c>
      <c r="CQ60" s="110"/>
      <c r="CR60" s="111">
        <v>711.89</v>
      </c>
      <c r="CS60" s="204"/>
      <c r="CT60" s="215"/>
      <c r="CU60" s="328">
        <v>92.312139999999999</v>
      </c>
      <c r="CV60" s="28"/>
      <c r="CW60" s="226">
        <f t="shared" si="56"/>
        <v>804.20213999999999</v>
      </c>
    </row>
    <row r="61" spans="1:101" s="129" customFormat="1" x14ac:dyDescent="0.25">
      <c r="A61" s="109">
        <v>45888</v>
      </c>
      <c r="B61" s="139">
        <v>5731.64</v>
      </c>
      <c r="C61" s="140">
        <v>2180.88</v>
      </c>
      <c r="D61" s="139">
        <v>6.17</v>
      </c>
      <c r="E61" s="141">
        <v>184.91</v>
      </c>
      <c r="F61" s="204"/>
      <c r="G61" s="88"/>
      <c r="H61" s="28"/>
      <c r="I61" s="335">
        <v>41.246491999999989</v>
      </c>
      <c r="J61" s="226">
        <f t="shared" si="47"/>
        <v>226.15649199999999</v>
      </c>
      <c r="L61" s="110">
        <v>5175.5</v>
      </c>
      <c r="M61" s="113">
        <v>3288.76</v>
      </c>
      <c r="N61" s="110"/>
      <c r="O61" s="111">
        <v>27.6</v>
      </c>
      <c r="P61" s="204"/>
      <c r="Q61" s="88">
        <v>12.764029999999977</v>
      </c>
      <c r="R61" s="328">
        <v>10.292989999999989</v>
      </c>
      <c r="S61" s="335"/>
      <c r="T61" s="226">
        <f t="shared" si="48"/>
        <v>50.657019999999967</v>
      </c>
      <c r="U61" s="138"/>
      <c r="V61" s="110">
        <v>120.04</v>
      </c>
      <c r="W61" s="113"/>
      <c r="X61" s="110"/>
      <c r="Y61" s="111"/>
      <c r="Z61" s="204"/>
      <c r="AA61" s="88">
        <v>90.156779999999799</v>
      </c>
      <c r="AB61" s="28"/>
      <c r="AC61" s="28"/>
      <c r="AD61" s="226">
        <f t="shared" si="49"/>
        <v>90.156779999999799</v>
      </c>
      <c r="AF61" s="110">
        <v>8169.8</v>
      </c>
      <c r="AG61" s="113">
        <v>506.94</v>
      </c>
      <c r="AH61" s="110"/>
      <c r="AI61" s="111"/>
      <c r="AJ61" s="204"/>
      <c r="AK61" s="215"/>
      <c r="AL61" s="28"/>
      <c r="AM61" s="28"/>
      <c r="AN61" s="226">
        <f t="shared" si="50"/>
        <v>0</v>
      </c>
      <c r="AP61" s="110">
        <v>3299.2</v>
      </c>
      <c r="AQ61" s="110">
        <v>784.2</v>
      </c>
      <c r="AR61" s="110"/>
      <c r="AS61" s="115">
        <v>104.58</v>
      </c>
      <c r="AT61" s="204"/>
      <c r="AU61" s="88">
        <v>292.07439999999997</v>
      </c>
      <c r="AV61" s="328"/>
      <c r="AW61" s="335">
        <v>32.291195399999978</v>
      </c>
      <c r="AX61" s="226">
        <f t="shared" si="51"/>
        <v>428.94559539999995</v>
      </c>
      <c r="AZ61" s="110">
        <v>4950.5600000000004</v>
      </c>
      <c r="BA61" s="113"/>
      <c r="BB61" s="110"/>
      <c r="BC61" s="111"/>
      <c r="BD61" s="204"/>
      <c r="BE61" s="88">
        <v>279.90518999999995</v>
      </c>
      <c r="BF61" s="28"/>
      <c r="BG61" s="28"/>
      <c r="BH61" s="226">
        <f t="shared" si="52"/>
        <v>279.90518999999995</v>
      </c>
      <c r="BJ61" s="110">
        <v>22946.21</v>
      </c>
      <c r="BK61" s="113">
        <v>633.83000000000004</v>
      </c>
      <c r="BL61" s="110"/>
      <c r="BM61" s="111">
        <v>557.59</v>
      </c>
      <c r="BN61" s="204"/>
      <c r="BO61" s="88">
        <v>95.399320000000017</v>
      </c>
      <c r="BP61" s="328">
        <v>9.4351599999999962</v>
      </c>
      <c r="BQ61" s="28"/>
      <c r="BR61" s="226">
        <f t="shared" si="53"/>
        <v>662.42448000000002</v>
      </c>
      <c r="BT61" s="110">
        <v>2408.6</v>
      </c>
      <c r="BU61" s="113">
        <v>1043.21</v>
      </c>
      <c r="BV61" s="110"/>
      <c r="BW61" s="111">
        <v>198.78</v>
      </c>
      <c r="BX61" s="204"/>
      <c r="BY61" s="215"/>
      <c r="BZ61" s="28"/>
      <c r="CA61" s="28"/>
      <c r="CB61" s="226">
        <f t="shared" si="54"/>
        <v>198.78</v>
      </c>
      <c r="CD61" s="110">
        <v>1613.65</v>
      </c>
      <c r="CE61" s="113"/>
      <c r="CF61" s="110"/>
      <c r="CG61" s="111">
        <v>104.98</v>
      </c>
      <c r="CH61" s="204"/>
      <c r="CI61" s="88">
        <v>14.533350000000013</v>
      </c>
      <c r="CJ61" s="328">
        <v>5.9499999999999993</v>
      </c>
      <c r="CK61" s="28"/>
      <c r="CL61" s="226">
        <f t="shared" si="55"/>
        <v>125.46335000000002</v>
      </c>
      <c r="CN61" s="110">
        <v>1239.3399999999999</v>
      </c>
      <c r="CO61" s="110">
        <v>589.49</v>
      </c>
      <c r="CP61" s="113">
        <v>2299.37</v>
      </c>
      <c r="CQ61" s="110"/>
      <c r="CR61" s="111">
        <v>589.27</v>
      </c>
      <c r="CS61" s="204"/>
      <c r="CT61" s="215"/>
      <c r="CU61" s="328">
        <v>112.875</v>
      </c>
      <c r="CV61" s="28"/>
      <c r="CW61" s="226">
        <f t="shared" si="56"/>
        <v>702.14499999999998</v>
      </c>
    </row>
    <row r="62" spans="1:101" s="129" customFormat="1" x14ac:dyDescent="0.25">
      <c r="A62" s="109">
        <v>45889</v>
      </c>
      <c r="B62" s="139">
        <v>4270.84</v>
      </c>
      <c r="C62" s="140">
        <v>2743.42</v>
      </c>
      <c r="D62" s="139">
        <v>6.23</v>
      </c>
      <c r="E62" s="141">
        <v>238.37</v>
      </c>
      <c r="F62" s="204"/>
      <c r="G62" s="88">
        <v>2.4500000000000028</v>
      </c>
      <c r="H62" s="28"/>
      <c r="I62" s="335">
        <v>60.644783600000096</v>
      </c>
      <c r="J62" s="226">
        <f t="shared" si="47"/>
        <v>301.46478360000009</v>
      </c>
      <c r="L62" s="110">
        <v>4762.43</v>
      </c>
      <c r="M62" s="113">
        <v>2834.3</v>
      </c>
      <c r="N62" s="110"/>
      <c r="O62" s="111">
        <v>73.150000000000006</v>
      </c>
      <c r="P62" s="204"/>
      <c r="Q62" s="88">
        <v>342.70443999999969</v>
      </c>
      <c r="R62" s="328"/>
      <c r="S62" s="335">
        <v>212.17959999999994</v>
      </c>
      <c r="T62" s="226">
        <f t="shared" si="48"/>
        <v>628.03403999999966</v>
      </c>
      <c r="U62" s="138"/>
      <c r="V62" s="110">
        <v>100.01</v>
      </c>
      <c r="W62" s="113"/>
      <c r="X62" s="110"/>
      <c r="Y62" s="111"/>
      <c r="Z62" s="204"/>
      <c r="AA62" s="88">
        <v>10.048859999999991</v>
      </c>
      <c r="AB62" s="28"/>
      <c r="AC62" s="28"/>
      <c r="AD62" s="226">
        <f t="shared" si="49"/>
        <v>10.048859999999991</v>
      </c>
      <c r="AF62" s="110">
        <v>6653.57</v>
      </c>
      <c r="AG62" s="113">
        <v>251.2</v>
      </c>
      <c r="AH62" s="110"/>
      <c r="AI62" s="111"/>
      <c r="AJ62" s="204"/>
      <c r="AK62" s="215"/>
      <c r="AL62" s="28"/>
      <c r="AM62" s="28"/>
      <c r="AN62" s="226">
        <f t="shared" si="50"/>
        <v>0</v>
      </c>
      <c r="AP62" s="110">
        <v>3512.31</v>
      </c>
      <c r="AQ62" s="110">
        <v>643.88</v>
      </c>
      <c r="AR62" s="110"/>
      <c r="AS62" s="115">
        <v>141.36000000000001</v>
      </c>
      <c r="AT62" s="204"/>
      <c r="AU62" s="88">
        <v>185.49506999999988</v>
      </c>
      <c r="AV62" s="328"/>
      <c r="AW62" s="335">
        <v>14.421696000000026</v>
      </c>
      <c r="AX62" s="226">
        <f t="shared" si="51"/>
        <v>341.27676599999995</v>
      </c>
      <c r="AZ62" s="110">
        <v>3341.07</v>
      </c>
      <c r="BA62" s="113"/>
      <c r="BB62" s="110"/>
      <c r="BC62" s="111"/>
      <c r="BD62" s="204"/>
      <c r="BE62" s="88">
        <v>178.89453999999967</v>
      </c>
      <c r="BF62" s="28"/>
      <c r="BG62" s="28"/>
      <c r="BH62" s="226">
        <f t="shared" si="52"/>
        <v>178.89453999999967</v>
      </c>
      <c r="BJ62" s="110">
        <v>18310.75</v>
      </c>
      <c r="BK62" s="113">
        <v>817.12</v>
      </c>
      <c r="BL62" s="110"/>
      <c r="BM62" s="111">
        <v>435.83</v>
      </c>
      <c r="BN62" s="204"/>
      <c r="BO62" s="88">
        <v>107.54662000000006</v>
      </c>
      <c r="BP62" s="328">
        <v>10.474750000000029</v>
      </c>
      <c r="BQ62" s="28"/>
      <c r="BR62" s="226">
        <f t="shared" si="53"/>
        <v>553.85137000000009</v>
      </c>
      <c r="BT62" s="110">
        <v>2876.79</v>
      </c>
      <c r="BU62" s="113">
        <v>1359.72</v>
      </c>
      <c r="BV62" s="110"/>
      <c r="BW62" s="111">
        <v>15.73</v>
      </c>
      <c r="BX62" s="204"/>
      <c r="BY62" s="215"/>
      <c r="BZ62" s="28"/>
      <c r="CA62" s="28"/>
      <c r="CB62" s="226">
        <f t="shared" si="54"/>
        <v>15.73</v>
      </c>
      <c r="CD62" s="110">
        <v>1824.19</v>
      </c>
      <c r="CE62" s="113"/>
      <c r="CF62" s="110"/>
      <c r="CG62" s="111">
        <v>26.73</v>
      </c>
      <c r="CH62" s="204"/>
      <c r="CI62" s="88">
        <v>27.681950000000029</v>
      </c>
      <c r="CJ62" s="328">
        <v>14.86</v>
      </c>
      <c r="CK62" s="28"/>
      <c r="CL62" s="226">
        <f t="shared" si="55"/>
        <v>69.271950000000032</v>
      </c>
      <c r="CN62" s="110">
        <v>2925.58</v>
      </c>
      <c r="CO62" s="110">
        <v>411.99</v>
      </c>
      <c r="CP62" s="113">
        <v>1772.54</v>
      </c>
      <c r="CQ62" s="110"/>
      <c r="CR62" s="111">
        <v>1047.1600000000001</v>
      </c>
      <c r="CS62" s="204"/>
      <c r="CT62" s="215"/>
      <c r="CU62" s="328">
        <v>164.38150999999999</v>
      </c>
      <c r="CV62" s="28"/>
      <c r="CW62" s="226">
        <f t="shared" si="56"/>
        <v>1211.54151</v>
      </c>
    </row>
    <row r="63" spans="1:101" s="129" customFormat="1" x14ac:dyDescent="0.25">
      <c r="A63" s="109">
        <v>45890</v>
      </c>
      <c r="B63" s="139">
        <v>2731.39</v>
      </c>
      <c r="C63" s="140">
        <v>2819.48</v>
      </c>
      <c r="D63" s="139">
        <v>10.55</v>
      </c>
      <c r="E63" s="141">
        <v>134</v>
      </c>
      <c r="F63" s="204"/>
      <c r="G63" s="88"/>
      <c r="H63" s="28"/>
      <c r="I63" s="335">
        <v>41.081917399999952</v>
      </c>
      <c r="J63" s="226">
        <f t="shared" si="47"/>
        <v>175.08191739999995</v>
      </c>
      <c r="L63" s="110">
        <v>6076.59</v>
      </c>
      <c r="M63" s="113">
        <v>2992.46</v>
      </c>
      <c r="N63" s="110"/>
      <c r="O63" s="111">
        <v>46.9</v>
      </c>
      <c r="P63" s="204"/>
      <c r="Q63" s="88">
        <v>423.92457999999993</v>
      </c>
      <c r="R63" s="328"/>
      <c r="S63" s="335">
        <v>166.61208099999999</v>
      </c>
      <c r="T63" s="226">
        <f t="shared" si="48"/>
        <v>637.43666099999996</v>
      </c>
      <c r="U63" s="138"/>
      <c r="V63" s="110">
        <v>313.67</v>
      </c>
      <c r="W63" s="113"/>
      <c r="X63" s="110"/>
      <c r="Y63" s="111"/>
      <c r="Z63" s="204"/>
      <c r="AA63" s="88">
        <v>11.579219999999992</v>
      </c>
      <c r="AB63" s="28"/>
      <c r="AC63" s="28"/>
      <c r="AD63" s="226">
        <f t="shared" si="49"/>
        <v>11.579219999999992</v>
      </c>
      <c r="AF63" s="110">
        <v>10201.289999999999</v>
      </c>
      <c r="AG63" s="113">
        <v>309.45</v>
      </c>
      <c r="AH63" s="110"/>
      <c r="AI63" s="111"/>
      <c r="AJ63" s="204"/>
      <c r="AK63" s="215"/>
      <c r="AL63" s="28"/>
      <c r="AM63" s="28"/>
      <c r="AN63" s="226">
        <f t="shared" si="50"/>
        <v>0</v>
      </c>
      <c r="AP63" s="110">
        <v>3683.01</v>
      </c>
      <c r="AQ63" s="110">
        <v>730.37</v>
      </c>
      <c r="AR63" s="110"/>
      <c r="AS63" s="115">
        <v>74.31</v>
      </c>
      <c r="AT63" s="204"/>
      <c r="AU63" s="88">
        <v>66.803550000000016</v>
      </c>
      <c r="AV63" s="328"/>
      <c r="AW63" s="335">
        <v>11.999232000000006</v>
      </c>
      <c r="AX63" s="226">
        <f t="shared" si="51"/>
        <v>153.11278200000004</v>
      </c>
      <c r="AZ63" s="110">
        <v>7943.22</v>
      </c>
      <c r="BA63" s="113"/>
      <c r="BB63" s="110"/>
      <c r="BC63" s="111"/>
      <c r="BD63" s="204"/>
      <c r="BE63" s="88">
        <v>220.14344999999923</v>
      </c>
      <c r="BF63" s="28"/>
      <c r="BG63" s="28"/>
      <c r="BH63" s="226">
        <f t="shared" si="52"/>
        <v>220.14344999999923</v>
      </c>
      <c r="BJ63" s="110">
        <v>19756.560000000001</v>
      </c>
      <c r="BK63" s="113">
        <v>654.07000000000005</v>
      </c>
      <c r="BL63" s="110"/>
      <c r="BM63" s="111">
        <v>565.70000000000005</v>
      </c>
      <c r="BN63" s="204"/>
      <c r="BO63" s="88">
        <v>60.707080000000062</v>
      </c>
      <c r="BP63" s="328">
        <v>31.793139999999966</v>
      </c>
      <c r="BQ63" s="28"/>
      <c r="BR63" s="226">
        <f t="shared" si="53"/>
        <v>658.20022000000006</v>
      </c>
      <c r="BT63" s="110">
        <v>2365.08</v>
      </c>
      <c r="BU63" s="113">
        <v>974.98</v>
      </c>
      <c r="BV63" s="110"/>
      <c r="BW63" s="111">
        <v>297.83</v>
      </c>
      <c r="BX63" s="204"/>
      <c r="BY63" s="215"/>
      <c r="BZ63" s="28"/>
      <c r="CA63" s="28"/>
      <c r="CB63" s="226">
        <f t="shared" si="54"/>
        <v>297.83</v>
      </c>
      <c r="CD63" s="110">
        <v>3228.01</v>
      </c>
      <c r="CE63" s="113"/>
      <c r="CF63" s="110"/>
      <c r="CG63" s="111">
        <v>82.26</v>
      </c>
      <c r="CH63" s="204"/>
      <c r="CI63" s="88">
        <v>27.692199999999971</v>
      </c>
      <c r="CJ63" s="328"/>
      <c r="CK63" s="28"/>
      <c r="CL63" s="226">
        <f t="shared" si="55"/>
        <v>109.95219999999998</v>
      </c>
      <c r="CN63" s="110">
        <v>564.82000000000005</v>
      </c>
      <c r="CO63" s="110">
        <v>482.42</v>
      </c>
      <c r="CP63" s="113">
        <v>1823.41</v>
      </c>
      <c r="CQ63" s="110"/>
      <c r="CR63" s="111">
        <v>892.07</v>
      </c>
      <c r="CS63" s="204"/>
      <c r="CT63" s="215"/>
      <c r="CU63" s="328">
        <v>102.61</v>
      </c>
      <c r="CV63" s="28"/>
      <c r="CW63" s="226">
        <f t="shared" si="56"/>
        <v>994.68000000000006</v>
      </c>
    </row>
    <row r="64" spans="1:101" s="129" customFormat="1" x14ac:dyDescent="0.25">
      <c r="A64" s="109">
        <v>45891</v>
      </c>
      <c r="B64" s="139">
        <v>4872.03</v>
      </c>
      <c r="C64" s="140">
        <v>3684.39</v>
      </c>
      <c r="D64" s="139">
        <v>29.88</v>
      </c>
      <c r="E64" s="141">
        <v>227.26</v>
      </c>
      <c r="F64" s="204"/>
      <c r="G64" s="88">
        <v>19.799999999999983</v>
      </c>
      <c r="H64" s="28"/>
      <c r="I64" s="335"/>
      <c r="J64" s="226">
        <f t="shared" si="47"/>
        <v>247.05999999999997</v>
      </c>
      <c r="L64" s="110">
        <v>5094.92</v>
      </c>
      <c r="M64" s="113">
        <v>3284.29</v>
      </c>
      <c r="N64" s="110"/>
      <c r="O64" s="111">
        <v>54.05</v>
      </c>
      <c r="P64" s="204"/>
      <c r="Q64" s="88">
        <v>122.43569999999994</v>
      </c>
      <c r="R64" s="328"/>
      <c r="S64" s="335"/>
      <c r="T64" s="226">
        <f t="shared" si="48"/>
        <v>176.48569999999995</v>
      </c>
      <c r="U64" s="138"/>
      <c r="V64" s="110">
        <v>581.02</v>
      </c>
      <c r="W64" s="113"/>
      <c r="X64" s="110"/>
      <c r="Y64" s="111"/>
      <c r="Z64" s="204"/>
      <c r="AA64" s="88"/>
      <c r="AB64" s="28"/>
      <c r="AC64" s="28"/>
      <c r="AD64" s="226">
        <f t="shared" si="49"/>
        <v>0</v>
      </c>
      <c r="AF64" s="110">
        <v>6077.3899999999994</v>
      </c>
      <c r="AG64" s="113">
        <v>595.22</v>
      </c>
      <c r="AH64" s="110"/>
      <c r="AI64" s="111"/>
      <c r="AJ64" s="204"/>
      <c r="AK64" s="215"/>
      <c r="AL64" s="28"/>
      <c r="AM64" s="28"/>
      <c r="AN64" s="226">
        <f t="shared" si="50"/>
        <v>0</v>
      </c>
      <c r="AP64" s="110">
        <v>3598.02</v>
      </c>
      <c r="AQ64" s="110">
        <v>1083.3599999999999</v>
      </c>
      <c r="AR64" s="110"/>
      <c r="AS64" s="115">
        <v>125.55</v>
      </c>
      <c r="AT64" s="204"/>
      <c r="AU64" s="88">
        <v>169.48773999999997</v>
      </c>
      <c r="AV64" s="328"/>
      <c r="AW64" s="335">
        <v>9.9253439999999955</v>
      </c>
      <c r="AX64" s="226">
        <f t="shared" si="51"/>
        <v>304.96308399999998</v>
      </c>
      <c r="AZ64" s="110">
        <v>1467.86</v>
      </c>
      <c r="BA64" s="113"/>
      <c r="BB64" s="110"/>
      <c r="BC64" s="111"/>
      <c r="BD64" s="204"/>
      <c r="BE64" s="88">
        <v>123.19054999999987</v>
      </c>
      <c r="BF64" s="28"/>
      <c r="BG64" s="28"/>
      <c r="BH64" s="226">
        <f t="shared" si="52"/>
        <v>123.19054999999987</v>
      </c>
      <c r="BJ64" s="110">
        <v>17558.07</v>
      </c>
      <c r="BK64" s="113">
        <v>896.72</v>
      </c>
      <c r="BL64" s="110"/>
      <c r="BM64" s="111">
        <v>444.4</v>
      </c>
      <c r="BN64" s="204"/>
      <c r="BO64" s="88">
        <v>76.911680000000004</v>
      </c>
      <c r="BP64" s="328">
        <v>11.340730000000008</v>
      </c>
      <c r="BQ64" s="28"/>
      <c r="BR64" s="226">
        <f t="shared" si="53"/>
        <v>532.65241000000003</v>
      </c>
      <c r="BT64" s="110">
        <v>1869.35</v>
      </c>
      <c r="BU64" s="113">
        <v>1229.44</v>
      </c>
      <c r="BV64" s="110"/>
      <c r="BW64" s="111">
        <v>304.06</v>
      </c>
      <c r="BX64" s="204"/>
      <c r="BY64" s="215"/>
      <c r="BZ64" s="28"/>
      <c r="CA64" s="28"/>
      <c r="CB64" s="226">
        <f t="shared" si="54"/>
        <v>304.06</v>
      </c>
      <c r="CD64" s="110">
        <v>1346.12</v>
      </c>
      <c r="CE64" s="113"/>
      <c r="CF64" s="110"/>
      <c r="CG64" s="111">
        <v>63.78</v>
      </c>
      <c r="CH64" s="204"/>
      <c r="CI64" s="88">
        <v>53.323749999999961</v>
      </c>
      <c r="CJ64" s="328">
        <v>16.355000000000004</v>
      </c>
      <c r="CK64" s="28"/>
      <c r="CL64" s="226">
        <f t="shared" si="55"/>
        <v>133.45874999999995</v>
      </c>
      <c r="CN64" s="110">
        <v>1505.84</v>
      </c>
      <c r="CO64" s="110">
        <v>536.32000000000005</v>
      </c>
      <c r="CP64" s="113">
        <v>1638.5</v>
      </c>
      <c r="CQ64" s="110"/>
      <c r="CR64" s="111">
        <v>824.87</v>
      </c>
      <c r="CS64" s="204"/>
      <c r="CT64" s="215"/>
      <c r="CU64" s="328">
        <v>119.56571000000002</v>
      </c>
      <c r="CV64" s="28"/>
      <c r="CW64" s="226">
        <f t="shared" si="56"/>
        <v>944.43570999999997</v>
      </c>
    </row>
    <row r="65" spans="1:101" s="129" customFormat="1" x14ac:dyDescent="0.25">
      <c r="A65" s="109">
        <v>45892</v>
      </c>
      <c r="B65" s="139">
        <v>4017.15</v>
      </c>
      <c r="C65" s="140">
        <v>2507.42</v>
      </c>
      <c r="D65" s="139">
        <v>6.17</v>
      </c>
      <c r="E65" s="141">
        <v>165.63</v>
      </c>
      <c r="F65" s="204"/>
      <c r="G65" s="88"/>
      <c r="H65" s="28"/>
      <c r="I65" s="335"/>
      <c r="J65" s="226">
        <f t="shared" si="47"/>
        <v>165.63</v>
      </c>
      <c r="L65" s="110">
        <v>7594.89</v>
      </c>
      <c r="M65" s="113">
        <v>3866.28</v>
      </c>
      <c r="N65" s="110"/>
      <c r="O65" s="111">
        <v>46.31</v>
      </c>
      <c r="P65" s="204"/>
      <c r="Q65" s="88">
        <v>93.447849999999931</v>
      </c>
      <c r="R65" s="328"/>
      <c r="S65" s="335"/>
      <c r="T65" s="226">
        <f t="shared" si="48"/>
        <v>139.75784999999993</v>
      </c>
      <c r="U65" s="138"/>
      <c r="V65" s="110">
        <v>527.07000000000005</v>
      </c>
      <c r="W65" s="113"/>
      <c r="X65" s="110"/>
      <c r="Y65" s="111"/>
      <c r="Z65" s="204"/>
      <c r="AA65" s="88"/>
      <c r="AB65" s="28"/>
      <c r="AC65" s="28"/>
      <c r="AD65" s="226">
        <f t="shared" si="49"/>
        <v>0</v>
      </c>
      <c r="AF65" s="110">
        <v>8472.7899999999991</v>
      </c>
      <c r="AG65" s="113">
        <v>419.43</v>
      </c>
      <c r="AH65" s="110"/>
      <c r="AI65" s="111"/>
      <c r="AJ65" s="204"/>
      <c r="AK65" s="215"/>
      <c r="AL65" s="28"/>
      <c r="AM65" s="28"/>
      <c r="AN65" s="226">
        <f t="shared" si="50"/>
        <v>0</v>
      </c>
      <c r="AP65" s="110">
        <v>4111.79</v>
      </c>
      <c r="AQ65" s="110">
        <v>914.89</v>
      </c>
      <c r="AR65" s="110"/>
      <c r="AS65" s="115">
        <v>38.200000000000003</v>
      </c>
      <c r="AT65" s="204"/>
      <c r="AU65" s="88">
        <v>59.503500000000003</v>
      </c>
      <c r="AV65" s="328"/>
      <c r="AW65" s="335">
        <v>13.867128000000037</v>
      </c>
      <c r="AX65" s="226">
        <f t="shared" si="51"/>
        <v>111.57062800000004</v>
      </c>
      <c r="AZ65" s="110">
        <v>9141.49</v>
      </c>
      <c r="BA65" s="113"/>
      <c r="BB65" s="110"/>
      <c r="BC65" s="111"/>
      <c r="BD65" s="204"/>
      <c r="BE65" s="88">
        <v>91.913539999999912</v>
      </c>
      <c r="BF65" s="28"/>
      <c r="BG65" s="28"/>
      <c r="BH65" s="226">
        <f t="shared" si="52"/>
        <v>91.913539999999912</v>
      </c>
      <c r="BJ65" s="110">
        <v>23160.34</v>
      </c>
      <c r="BK65" s="113">
        <v>830.96</v>
      </c>
      <c r="BL65" s="110"/>
      <c r="BM65" s="111">
        <v>549</v>
      </c>
      <c r="BN65" s="204"/>
      <c r="BO65" s="88">
        <v>24.256960000000049</v>
      </c>
      <c r="BP65" s="328">
        <v>102.41396000000003</v>
      </c>
      <c r="BQ65" s="28"/>
      <c r="BR65" s="226">
        <f t="shared" si="53"/>
        <v>675.67092000000002</v>
      </c>
      <c r="BT65" s="110">
        <v>2953.14</v>
      </c>
      <c r="BU65" s="113">
        <v>1018.03</v>
      </c>
      <c r="BV65" s="110"/>
      <c r="BW65" s="111">
        <v>114.59</v>
      </c>
      <c r="BX65" s="204"/>
      <c r="BY65" s="215"/>
      <c r="BZ65" s="28"/>
      <c r="CA65" s="28"/>
      <c r="CB65" s="226">
        <f t="shared" si="54"/>
        <v>114.59</v>
      </c>
      <c r="CD65" s="110">
        <v>1841.1</v>
      </c>
      <c r="CE65" s="113"/>
      <c r="CF65" s="110"/>
      <c r="CG65" s="111">
        <v>122.31</v>
      </c>
      <c r="CH65" s="204"/>
      <c r="CI65" s="88">
        <v>82.576299999999947</v>
      </c>
      <c r="CJ65" s="328"/>
      <c r="CK65" s="28"/>
      <c r="CL65" s="226">
        <f t="shared" si="55"/>
        <v>204.88629999999995</v>
      </c>
      <c r="CN65" s="110">
        <v>998.63</v>
      </c>
      <c r="CO65" s="110">
        <v>791.81</v>
      </c>
      <c r="CP65" s="113">
        <v>2250.89</v>
      </c>
      <c r="CQ65" s="110"/>
      <c r="CR65" s="111">
        <v>348.94</v>
      </c>
      <c r="CS65" s="204"/>
      <c r="CT65" s="215"/>
      <c r="CU65" s="328">
        <v>222.95999999999987</v>
      </c>
      <c r="CV65" s="28"/>
      <c r="CW65" s="226">
        <f t="shared" si="56"/>
        <v>571.89999999999986</v>
      </c>
    </row>
    <row r="66" spans="1:101" s="129" customFormat="1" x14ac:dyDescent="0.25">
      <c r="A66" s="109">
        <v>45893</v>
      </c>
      <c r="B66" s="139">
        <v>315.49</v>
      </c>
      <c r="C66" s="140">
        <v>2000.73</v>
      </c>
      <c r="D66" s="139">
        <v>2.66</v>
      </c>
      <c r="E66" s="141">
        <v>111.88</v>
      </c>
      <c r="F66" s="204"/>
      <c r="G66" s="88"/>
      <c r="H66" s="28"/>
      <c r="I66" s="335"/>
      <c r="J66" s="226">
        <f t="shared" si="47"/>
        <v>111.88</v>
      </c>
      <c r="L66" s="110">
        <v>4859.3599999999997</v>
      </c>
      <c r="M66" s="113">
        <v>3673.66</v>
      </c>
      <c r="N66" s="110"/>
      <c r="O66" s="111">
        <v>4.7699999999999996</v>
      </c>
      <c r="P66" s="204"/>
      <c r="Q66" s="88"/>
      <c r="R66" s="328"/>
      <c r="S66" s="335"/>
      <c r="T66" s="226">
        <f t="shared" si="48"/>
        <v>4.7699999999999996</v>
      </c>
      <c r="U66" s="138"/>
      <c r="V66" s="110">
        <v>0</v>
      </c>
      <c r="W66" s="113"/>
      <c r="X66" s="110"/>
      <c r="Y66" s="111"/>
      <c r="Z66" s="204"/>
      <c r="AA66" s="88">
        <v>25.579469999999958</v>
      </c>
      <c r="AB66" s="28"/>
      <c r="AC66" s="28"/>
      <c r="AD66" s="226">
        <f t="shared" si="49"/>
        <v>25.579469999999958</v>
      </c>
      <c r="AF66" s="110">
        <v>1780.07</v>
      </c>
      <c r="AG66" s="113">
        <v>463.37</v>
      </c>
      <c r="AH66" s="110"/>
      <c r="AI66" s="111"/>
      <c r="AJ66" s="204"/>
      <c r="AK66" s="215"/>
      <c r="AL66" s="28"/>
      <c r="AM66" s="28"/>
      <c r="AN66" s="226">
        <f t="shared" si="50"/>
        <v>0</v>
      </c>
      <c r="AP66" s="110">
        <v>2647.3</v>
      </c>
      <c r="AQ66" s="110">
        <v>1096.27</v>
      </c>
      <c r="AR66" s="110"/>
      <c r="AS66" s="115">
        <v>79.44</v>
      </c>
      <c r="AT66" s="204"/>
      <c r="AU66" s="88">
        <v>85.067280000000039</v>
      </c>
      <c r="AV66" s="328"/>
      <c r="AW66" s="335">
        <v>5.9150220000000004</v>
      </c>
      <c r="AX66" s="226">
        <f t="shared" si="51"/>
        <v>170.42230200000003</v>
      </c>
      <c r="AZ66" s="110">
        <v>2031.38</v>
      </c>
      <c r="BA66" s="113"/>
      <c r="BB66" s="110"/>
      <c r="BC66" s="111"/>
      <c r="BD66" s="204"/>
      <c r="BE66" s="88">
        <v>51.840719999999969</v>
      </c>
      <c r="BF66" s="28"/>
      <c r="BG66" s="28"/>
      <c r="BH66" s="226">
        <f t="shared" si="52"/>
        <v>51.840719999999969</v>
      </c>
      <c r="BJ66" s="110">
        <v>13418.83</v>
      </c>
      <c r="BK66" s="113">
        <v>797.87</v>
      </c>
      <c r="BL66" s="110"/>
      <c r="BM66" s="111">
        <v>223.61</v>
      </c>
      <c r="BN66" s="204"/>
      <c r="BO66" s="88">
        <v>62.969050000000038</v>
      </c>
      <c r="BP66" s="328"/>
      <c r="BQ66" s="28"/>
      <c r="BR66" s="226">
        <f t="shared" si="53"/>
        <v>286.57905000000005</v>
      </c>
      <c r="BT66" s="110">
        <v>2204.56</v>
      </c>
      <c r="BU66" s="113">
        <v>959.37</v>
      </c>
      <c r="BV66" s="110"/>
      <c r="BW66" s="111"/>
      <c r="BX66" s="204"/>
      <c r="BY66" s="215"/>
      <c r="BZ66" s="28"/>
      <c r="CA66" s="28"/>
      <c r="CB66" s="226">
        <f t="shared" si="54"/>
        <v>0</v>
      </c>
      <c r="CD66" s="110">
        <v>2133.6999999999998</v>
      </c>
      <c r="CE66" s="113"/>
      <c r="CF66" s="110"/>
      <c r="CG66" s="111">
        <v>11.78</v>
      </c>
      <c r="CH66" s="204"/>
      <c r="CI66" s="88"/>
      <c r="CJ66" s="328"/>
      <c r="CK66" s="28"/>
      <c r="CL66" s="226">
        <f t="shared" si="55"/>
        <v>11.78</v>
      </c>
      <c r="CN66" s="110">
        <v>1088.51</v>
      </c>
      <c r="CO66" s="110">
        <v>572.35</v>
      </c>
      <c r="CP66" s="113">
        <v>1660.71</v>
      </c>
      <c r="CQ66" s="110"/>
      <c r="CR66" s="111">
        <v>5.63</v>
      </c>
      <c r="CS66" s="204"/>
      <c r="CT66" s="215"/>
      <c r="CU66" s="328"/>
      <c r="CV66" s="28"/>
      <c r="CW66" s="226">
        <f t="shared" si="56"/>
        <v>5.63</v>
      </c>
    </row>
    <row r="67" spans="1:101" s="129" customFormat="1" x14ac:dyDescent="0.25">
      <c r="A67" s="109">
        <v>45894</v>
      </c>
      <c r="B67" s="139">
        <v>2077.69</v>
      </c>
      <c r="C67" s="140">
        <v>3345.07</v>
      </c>
      <c r="D67" s="139">
        <v>1.28</v>
      </c>
      <c r="E67" s="141">
        <v>108.16</v>
      </c>
      <c r="F67" s="204"/>
      <c r="G67" s="88">
        <v>40.404149999999973</v>
      </c>
      <c r="H67" s="28"/>
      <c r="I67" s="335"/>
      <c r="J67" s="226">
        <f t="shared" si="47"/>
        <v>148.56414999999998</v>
      </c>
      <c r="L67" s="110">
        <v>6344.49</v>
      </c>
      <c r="M67" s="113">
        <v>3000.54</v>
      </c>
      <c r="N67" s="110"/>
      <c r="O67" s="111">
        <v>78.09</v>
      </c>
      <c r="P67" s="204"/>
      <c r="Q67" s="88">
        <v>327.44193999999993</v>
      </c>
      <c r="R67" s="328"/>
      <c r="S67" s="335">
        <v>138.37799999999993</v>
      </c>
      <c r="T67" s="226">
        <f t="shared" si="48"/>
        <v>543.90993999999989</v>
      </c>
      <c r="U67" s="138"/>
      <c r="V67" s="110">
        <v>4529.8999999999996</v>
      </c>
      <c r="W67" s="113"/>
      <c r="X67" s="110"/>
      <c r="Y67" s="111"/>
      <c r="Z67" s="204"/>
      <c r="AA67" s="88">
        <v>78.271919999999767</v>
      </c>
      <c r="AB67" s="28"/>
      <c r="AC67" s="28"/>
      <c r="AD67" s="226">
        <f t="shared" si="49"/>
        <v>78.271919999999767</v>
      </c>
      <c r="AF67" s="110">
        <v>10475.07</v>
      </c>
      <c r="AG67" s="113">
        <v>299.24</v>
      </c>
      <c r="AH67" s="110"/>
      <c r="AI67" s="111"/>
      <c r="AJ67" s="204"/>
      <c r="AK67" s="215"/>
      <c r="AL67" s="28"/>
      <c r="AM67" s="28"/>
      <c r="AN67" s="226">
        <f t="shared" si="50"/>
        <v>0</v>
      </c>
      <c r="AP67" s="110">
        <v>4735.04</v>
      </c>
      <c r="AQ67" s="110">
        <v>903.14</v>
      </c>
      <c r="AR67" s="110"/>
      <c r="AS67" s="115">
        <v>182.58</v>
      </c>
      <c r="AT67" s="204"/>
      <c r="AU67" s="88">
        <v>190.92460999999994</v>
      </c>
      <c r="AV67" s="328"/>
      <c r="AW67" s="335"/>
      <c r="AX67" s="226">
        <f t="shared" si="51"/>
        <v>373.50460999999996</v>
      </c>
      <c r="AZ67" s="110">
        <v>3933.64</v>
      </c>
      <c r="BA67" s="113"/>
      <c r="BB67" s="110"/>
      <c r="BC67" s="111">
        <v>376</v>
      </c>
      <c r="BD67" s="204"/>
      <c r="BE67" s="88">
        <v>84.037329999999784</v>
      </c>
      <c r="BF67" s="28"/>
      <c r="BG67" s="28"/>
      <c r="BH67" s="226">
        <f t="shared" si="52"/>
        <v>460.03732999999977</v>
      </c>
      <c r="BJ67" s="110">
        <v>15133.26</v>
      </c>
      <c r="BK67" s="113">
        <v>702.3</v>
      </c>
      <c r="BL67" s="110"/>
      <c r="BM67" s="111">
        <v>377.87</v>
      </c>
      <c r="BN67" s="204"/>
      <c r="BO67" s="88">
        <v>25.499110000000044</v>
      </c>
      <c r="BP67" s="328">
        <v>35.681160000000062</v>
      </c>
      <c r="BQ67" s="28"/>
      <c r="BR67" s="226">
        <f t="shared" si="53"/>
        <v>439.05027000000007</v>
      </c>
      <c r="BT67" s="110">
        <v>2531.23</v>
      </c>
      <c r="BU67" s="113">
        <v>975.09</v>
      </c>
      <c r="BV67" s="110"/>
      <c r="BW67" s="111">
        <v>136.13</v>
      </c>
      <c r="BX67" s="204"/>
      <c r="BY67" s="215"/>
      <c r="BZ67" s="28"/>
      <c r="CA67" s="28"/>
      <c r="CB67" s="226">
        <f t="shared" si="54"/>
        <v>136.13</v>
      </c>
      <c r="CD67" s="110">
        <v>2956.05</v>
      </c>
      <c r="CE67" s="113"/>
      <c r="CF67" s="110"/>
      <c r="CG67" s="111">
        <v>851.12</v>
      </c>
      <c r="CH67" s="204"/>
      <c r="CI67" s="88">
        <v>171.43059999999991</v>
      </c>
      <c r="CJ67" s="328">
        <v>34.170000000000016</v>
      </c>
      <c r="CK67" s="28"/>
      <c r="CL67" s="226">
        <f t="shared" si="55"/>
        <v>1056.7205999999999</v>
      </c>
      <c r="CN67" s="110">
        <v>2572.08</v>
      </c>
      <c r="CO67" s="110">
        <v>674.42</v>
      </c>
      <c r="CP67" s="113">
        <v>2099.54</v>
      </c>
      <c r="CQ67" s="110"/>
      <c r="CR67" s="111">
        <v>732.5</v>
      </c>
      <c r="CS67" s="204"/>
      <c r="CT67" s="215"/>
      <c r="CU67" s="328"/>
      <c r="CV67" s="28"/>
      <c r="CW67" s="226">
        <f t="shared" si="56"/>
        <v>732.5</v>
      </c>
    </row>
    <row r="68" spans="1:101" s="129" customFormat="1" x14ac:dyDescent="0.25">
      <c r="A68" s="109">
        <v>45895</v>
      </c>
      <c r="B68" s="139">
        <v>1931.36</v>
      </c>
      <c r="C68" s="140">
        <v>2475.6</v>
      </c>
      <c r="D68" s="139">
        <v>4.53</v>
      </c>
      <c r="E68" s="141">
        <v>154.77000000000001</v>
      </c>
      <c r="F68" s="204"/>
      <c r="G68" s="88">
        <v>7.8988000000000227</v>
      </c>
      <c r="H68" s="28"/>
      <c r="I68" s="335"/>
      <c r="J68" s="226">
        <f t="shared" si="47"/>
        <v>162.66880000000003</v>
      </c>
      <c r="L68" s="110">
        <v>4932.88</v>
      </c>
      <c r="M68" s="113">
        <v>2381.2800000000002</v>
      </c>
      <c r="N68" s="110"/>
      <c r="O68" s="111">
        <v>59.94</v>
      </c>
      <c r="P68" s="204"/>
      <c r="Q68" s="88">
        <v>99.158979999999971</v>
      </c>
      <c r="R68" s="328"/>
      <c r="S68" s="335"/>
      <c r="T68" s="226">
        <f t="shared" si="48"/>
        <v>159.09897999999998</v>
      </c>
      <c r="U68" s="138"/>
      <c r="V68" s="110">
        <v>3682.49</v>
      </c>
      <c r="W68" s="113"/>
      <c r="X68" s="110"/>
      <c r="Y68" s="111"/>
      <c r="Z68" s="204"/>
      <c r="AA68" s="88"/>
      <c r="AB68" s="28"/>
      <c r="AC68" s="28"/>
      <c r="AD68" s="226">
        <f t="shared" si="49"/>
        <v>0</v>
      </c>
      <c r="AF68" s="110">
        <v>5764.96</v>
      </c>
      <c r="AG68" s="113">
        <v>358.46</v>
      </c>
      <c r="AH68" s="110"/>
      <c r="AI68" s="111"/>
      <c r="AJ68" s="204"/>
      <c r="AK68" s="215"/>
      <c r="AL68" s="28"/>
      <c r="AM68" s="28"/>
      <c r="AN68" s="226">
        <f t="shared" si="50"/>
        <v>0</v>
      </c>
      <c r="AP68" s="110">
        <v>5851.77</v>
      </c>
      <c r="AQ68" s="110">
        <v>1173.98</v>
      </c>
      <c r="AR68" s="110"/>
      <c r="AS68" s="115">
        <v>198.51</v>
      </c>
      <c r="AT68" s="204"/>
      <c r="AU68" s="88">
        <v>116.09919999999998</v>
      </c>
      <c r="AV68" s="328"/>
      <c r="AW68" s="335">
        <v>10.728431999999998</v>
      </c>
      <c r="AX68" s="226">
        <f t="shared" si="51"/>
        <v>325.33763199999999</v>
      </c>
      <c r="AZ68" s="110">
        <v>3085.97</v>
      </c>
      <c r="BA68" s="113"/>
      <c r="BB68" s="110"/>
      <c r="BC68" s="111"/>
      <c r="BD68" s="204"/>
      <c r="BE68" s="88">
        <v>115.99278999999994</v>
      </c>
      <c r="BF68" s="28"/>
      <c r="BG68" s="28"/>
      <c r="BH68" s="226">
        <f t="shared" si="52"/>
        <v>115.99278999999994</v>
      </c>
      <c r="BJ68" s="110">
        <v>21572.7</v>
      </c>
      <c r="BK68" s="113">
        <v>670.49</v>
      </c>
      <c r="BL68" s="110"/>
      <c r="BM68" s="111">
        <v>628.20000000000005</v>
      </c>
      <c r="BN68" s="204"/>
      <c r="BO68" s="88">
        <v>88.975530000000049</v>
      </c>
      <c r="BP68" s="328">
        <v>30.755970000000019</v>
      </c>
      <c r="BQ68" s="28"/>
      <c r="BR68" s="226">
        <f t="shared" si="53"/>
        <v>747.93150000000014</v>
      </c>
      <c r="BT68" s="110">
        <v>2268.5300000000002</v>
      </c>
      <c r="BU68" s="113">
        <v>831.7</v>
      </c>
      <c r="BV68" s="110"/>
      <c r="BW68" s="111">
        <v>3.2</v>
      </c>
      <c r="BX68" s="204"/>
      <c r="BY68" s="215"/>
      <c r="BZ68" s="28"/>
      <c r="CA68" s="28"/>
      <c r="CB68" s="226">
        <f t="shared" si="54"/>
        <v>3.2</v>
      </c>
      <c r="CD68" s="110">
        <v>1813.43</v>
      </c>
      <c r="CE68" s="113"/>
      <c r="CF68" s="110"/>
      <c r="CG68" s="111">
        <v>47.44</v>
      </c>
      <c r="CH68" s="204"/>
      <c r="CI68" s="88">
        <v>4.2077200000000019</v>
      </c>
      <c r="CJ68" s="328">
        <v>16.565000000000012</v>
      </c>
      <c r="CK68" s="28"/>
      <c r="CL68" s="226">
        <f t="shared" si="55"/>
        <v>68.212720000000019</v>
      </c>
      <c r="CN68" s="110">
        <v>1202.52</v>
      </c>
      <c r="CO68" s="110">
        <v>502.68</v>
      </c>
      <c r="CP68" s="113">
        <v>1823.96</v>
      </c>
      <c r="CQ68" s="110"/>
      <c r="CR68" s="111">
        <v>791.19</v>
      </c>
      <c r="CS68" s="204"/>
      <c r="CT68" s="215"/>
      <c r="CU68" s="328">
        <v>29.035269999999997</v>
      </c>
      <c r="CV68" s="28"/>
      <c r="CW68" s="226">
        <f t="shared" si="56"/>
        <v>820.22527000000002</v>
      </c>
    </row>
    <row r="69" spans="1:101" s="129" customFormat="1" x14ac:dyDescent="0.25">
      <c r="A69" s="109">
        <v>45896</v>
      </c>
      <c r="B69" s="139">
        <v>1332.06</v>
      </c>
      <c r="C69" s="140">
        <v>2348.4</v>
      </c>
      <c r="D69" s="139">
        <v>2.74</v>
      </c>
      <c r="E69" s="141">
        <v>170.61</v>
      </c>
      <c r="F69" s="204"/>
      <c r="G69" s="88"/>
      <c r="H69" s="28"/>
      <c r="I69" s="335"/>
      <c r="J69" s="226">
        <f t="shared" si="47"/>
        <v>170.61</v>
      </c>
      <c r="L69" s="110">
        <v>6058.48</v>
      </c>
      <c r="M69" s="113">
        <v>2731.37</v>
      </c>
      <c r="N69" s="110"/>
      <c r="O69" s="111">
        <v>38.89</v>
      </c>
      <c r="P69" s="204"/>
      <c r="Q69" s="88">
        <v>422.9617599999998</v>
      </c>
      <c r="R69" s="328">
        <v>25.621009999999995</v>
      </c>
      <c r="S69" s="335">
        <v>75.052800000000047</v>
      </c>
      <c r="T69" s="226">
        <f t="shared" si="48"/>
        <v>562.52556999999979</v>
      </c>
      <c r="U69" s="138"/>
      <c r="V69" s="110">
        <v>2161.7600000000002</v>
      </c>
      <c r="W69" s="113"/>
      <c r="X69" s="110"/>
      <c r="Y69" s="111"/>
      <c r="Z69" s="204"/>
      <c r="AA69" s="88">
        <v>43.150019999999984</v>
      </c>
      <c r="AB69" s="28"/>
      <c r="AC69" s="28"/>
      <c r="AD69" s="226">
        <f t="shared" si="49"/>
        <v>43.150019999999984</v>
      </c>
      <c r="AF69" s="110">
        <v>6470.98</v>
      </c>
      <c r="AG69" s="113">
        <v>290.62</v>
      </c>
      <c r="AH69" s="110"/>
      <c r="AI69" s="111"/>
      <c r="AJ69" s="204"/>
      <c r="AK69" s="215"/>
      <c r="AL69" s="28"/>
      <c r="AM69" s="28"/>
      <c r="AN69" s="226">
        <f t="shared" si="50"/>
        <v>0</v>
      </c>
      <c r="AP69" s="110">
        <v>3596.62</v>
      </c>
      <c r="AQ69" s="110">
        <v>543.16</v>
      </c>
      <c r="AR69" s="110"/>
      <c r="AS69" s="115">
        <v>98.33</v>
      </c>
      <c r="AT69" s="204"/>
      <c r="AU69" s="88">
        <v>187.50948000000002</v>
      </c>
      <c r="AV69" s="328"/>
      <c r="AW69" s="335"/>
      <c r="AX69" s="226">
        <f t="shared" si="51"/>
        <v>285.83948000000004</v>
      </c>
      <c r="AZ69" s="110">
        <v>4450.93</v>
      </c>
      <c r="BA69" s="113"/>
      <c r="BB69" s="110"/>
      <c r="BC69" s="111"/>
      <c r="BD69" s="204"/>
      <c r="BE69" s="88">
        <v>24.655069999999967</v>
      </c>
      <c r="BF69" s="28"/>
      <c r="BG69" s="28"/>
      <c r="BH69" s="226">
        <f t="shared" si="52"/>
        <v>24.655069999999967</v>
      </c>
      <c r="BJ69" s="110">
        <v>13046.31</v>
      </c>
      <c r="BK69" s="113">
        <v>724.62</v>
      </c>
      <c r="BL69" s="110"/>
      <c r="BM69" s="111">
        <v>491.43</v>
      </c>
      <c r="BN69" s="204"/>
      <c r="BO69" s="88">
        <v>71.909950000000009</v>
      </c>
      <c r="BP69" s="328">
        <v>85.896359999999987</v>
      </c>
      <c r="BQ69" s="28"/>
      <c r="BR69" s="226">
        <f t="shared" si="53"/>
        <v>649.23631</v>
      </c>
      <c r="BT69" s="110">
        <v>3010.17</v>
      </c>
      <c r="BU69" s="113">
        <v>1171.29</v>
      </c>
      <c r="BV69" s="110"/>
      <c r="BW69" s="111">
        <v>100.47</v>
      </c>
      <c r="BX69" s="204"/>
      <c r="BY69" s="215"/>
      <c r="BZ69" s="28"/>
      <c r="CA69" s="28"/>
      <c r="CB69" s="226">
        <f t="shared" si="54"/>
        <v>100.47</v>
      </c>
      <c r="CD69" s="110">
        <v>1712.09</v>
      </c>
      <c r="CE69" s="113"/>
      <c r="CF69" s="110"/>
      <c r="CG69" s="111">
        <v>104.54</v>
      </c>
      <c r="CH69" s="204"/>
      <c r="CI69" s="88">
        <v>26.781499999999966</v>
      </c>
      <c r="CJ69" s="328">
        <v>34.180000000000007</v>
      </c>
      <c r="CK69" s="28"/>
      <c r="CL69" s="226">
        <f t="shared" si="55"/>
        <v>165.50149999999996</v>
      </c>
      <c r="CN69" s="110">
        <v>1442.22</v>
      </c>
      <c r="CO69" s="110">
        <v>548.64</v>
      </c>
      <c r="CP69" s="113">
        <v>1359.22</v>
      </c>
      <c r="CQ69" s="110"/>
      <c r="CR69" s="111">
        <v>925.65</v>
      </c>
      <c r="CS69" s="204"/>
      <c r="CT69" s="215"/>
      <c r="CU69" s="328">
        <v>86.100000000000023</v>
      </c>
      <c r="CV69" s="28"/>
      <c r="CW69" s="226">
        <f t="shared" si="56"/>
        <v>1011.75</v>
      </c>
    </row>
    <row r="70" spans="1:101" s="129" customFormat="1" x14ac:dyDescent="0.25">
      <c r="A70" s="109">
        <v>45897</v>
      </c>
      <c r="B70" s="139">
        <v>3336.07</v>
      </c>
      <c r="C70" s="140">
        <v>2293.15</v>
      </c>
      <c r="D70" s="139">
        <v>1.66</v>
      </c>
      <c r="E70" s="141">
        <v>150.43</v>
      </c>
      <c r="F70" s="204"/>
      <c r="G70" s="88"/>
      <c r="H70" s="28"/>
      <c r="I70" s="335">
        <v>44.739200000000096</v>
      </c>
      <c r="J70" s="226">
        <f t="shared" si="47"/>
        <v>195.1692000000001</v>
      </c>
      <c r="L70" s="110">
        <v>5485.32</v>
      </c>
      <c r="M70" s="113">
        <v>3454.93</v>
      </c>
      <c r="N70" s="110"/>
      <c r="O70" s="111">
        <v>13.09</v>
      </c>
      <c r="P70" s="204"/>
      <c r="Q70" s="88">
        <v>97.491899999999873</v>
      </c>
      <c r="R70" s="328"/>
      <c r="S70" s="335"/>
      <c r="T70" s="226">
        <f t="shared" si="48"/>
        <v>110.58189999999988</v>
      </c>
      <c r="U70" s="138"/>
      <c r="V70" s="110">
        <v>30</v>
      </c>
      <c r="W70" s="113"/>
      <c r="X70" s="110"/>
      <c r="Y70" s="111"/>
      <c r="Z70" s="204"/>
      <c r="AA70" s="88">
        <v>6.511320000000012</v>
      </c>
      <c r="AB70" s="28"/>
      <c r="AC70" s="28"/>
      <c r="AD70" s="226">
        <f t="shared" si="49"/>
        <v>6.511320000000012</v>
      </c>
      <c r="AF70" s="110">
        <v>7786.81</v>
      </c>
      <c r="AG70" s="113">
        <v>604.99</v>
      </c>
      <c r="AH70" s="110"/>
      <c r="AI70" s="111"/>
      <c r="AJ70" s="204"/>
      <c r="AK70" s="215"/>
      <c r="AL70" s="28"/>
      <c r="AM70" s="28"/>
      <c r="AN70" s="226">
        <f t="shared" si="50"/>
        <v>0</v>
      </c>
      <c r="AP70" s="110">
        <v>5613.3</v>
      </c>
      <c r="AQ70" s="110">
        <v>761.96</v>
      </c>
      <c r="AR70" s="110"/>
      <c r="AS70" s="115">
        <v>103.88</v>
      </c>
      <c r="AT70" s="204"/>
      <c r="AU70" s="88">
        <v>211.93337</v>
      </c>
      <c r="AV70" s="328"/>
      <c r="AW70" s="335">
        <v>8.7247640000000217</v>
      </c>
      <c r="AX70" s="226">
        <f t="shared" si="51"/>
        <v>324.53813400000001</v>
      </c>
      <c r="AZ70" s="110">
        <v>8135.66</v>
      </c>
      <c r="BA70" s="113"/>
      <c r="BB70" s="110"/>
      <c r="BC70" s="111"/>
      <c r="BD70" s="204"/>
      <c r="BE70" s="88">
        <v>124.90702999999996</v>
      </c>
      <c r="BF70" s="28"/>
      <c r="BG70" s="28"/>
      <c r="BH70" s="226">
        <f t="shared" si="52"/>
        <v>124.90702999999996</v>
      </c>
      <c r="BJ70" s="110">
        <v>15606.01</v>
      </c>
      <c r="BK70" s="113">
        <v>857.19</v>
      </c>
      <c r="BL70" s="110"/>
      <c r="BM70" s="111">
        <v>128.85</v>
      </c>
      <c r="BN70" s="204"/>
      <c r="BO70" s="88">
        <v>93.187050000000085</v>
      </c>
      <c r="BP70" s="328">
        <v>24.772909999999968</v>
      </c>
      <c r="BQ70" s="28"/>
      <c r="BR70" s="226">
        <f t="shared" si="53"/>
        <v>246.80996000000005</v>
      </c>
      <c r="BT70" s="110">
        <v>2484.09</v>
      </c>
      <c r="BU70" s="113">
        <v>1155.22</v>
      </c>
      <c r="BV70" s="110"/>
      <c r="BW70" s="111">
        <v>84.22</v>
      </c>
      <c r="BX70" s="204"/>
      <c r="BY70" s="215"/>
      <c r="BZ70" s="28"/>
      <c r="CA70" s="28"/>
      <c r="CB70" s="226">
        <f t="shared" si="54"/>
        <v>84.22</v>
      </c>
      <c r="CD70" s="110">
        <v>1612.6</v>
      </c>
      <c r="CE70" s="113"/>
      <c r="CF70" s="110"/>
      <c r="CG70" s="111">
        <v>18.18</v>
      </c>
      <c r="CH70" s="204"/>
      <c r="CI70" s="88"/>
      <c r="CJ70" s="328"/>
      <c r="CK70" s="28"/>
      <c r="CL70" s="226">
        <f t="shared" si="55"/>
        <v>18.18</v>
      </c>
      <c r="CN70" s="110">
        <v>1612.65</v>
      </c>
      <c r="CO70" s="110">
        <v>447.1</v>
      </c>
      <c r="CP70" s="113">
        <v>2041.75</v>
      </c>
      <c r="CQ70" s="110"/>
      <c r="CR70" s="111">
        <v>622.25</v>
      </c>
      <c r="CS70" s="204"/>
      <c r="CT70" s="215"/>
      <c r="CU70" s="328">
        <v>22.235849999999971</v>
      </c>
      <c r="CV70" s="28"/>
      <c r="CW70" s="226">
        <f t="shared" si="56"/>
        <v>644.48585000000003</v>
      </c>
    </row>
    <row r="71" spans="1:101" s="129" customFormat="1" x14ac:dyDescent="0.25">
      <c r="A71" s="109">
        <v>45898</v>
      </c>
      <c r="B71" s="139">
        <v>6129.56</v>
      </c>
      <c r="C71" s="140">
        <v>2792.99</v>
      </c>
      <c r="D71" s="139">
        <v>3.58</v>
      </c>
      <c r="E71" s="141">
        <v>175.96</v>
      </c>
      <c r="F71" s="204"/>
      <c r="G71" s="88">
        <v>20.483999999999995</v>
      </c>
      <c r="H71" s="28"/>
      <c r="I71" s="335"/>
      <c r="J71" s="226">
        <f t="shared" si="47"/>
        <v>196.44400000000002</v>
      </c>
      <c r="L71" s="110">
        <v>4361.1000000000004</v>
      </c>
      <c r="M71" s="113">
        <v>2334.87</v>
      </c>
      <c r="N71" s="110"/>
      <c r="O71" s="111">
        <v>26.44</v>
      </c>
      <c r="P71" s="204"/>
      <c r="Q71" s="88">
        <v>132.53132999999991</v>
      </c>
      <c r="R71" s="328"/>
      <c r="S71" s="335"/>
      <c r="T71" s="226">
        <f t="shared" si="48"/>
        <v>158.97132999999991</v>
      </c>
      <c r="U71" s="138"/>
      <c r="V71" s="110">
        <v>400</v>
      </c>
      <c r="W71" s="113"/>
      <c r="X71" s="110"/>
      <c r="Y71" s="111"/>
      <c r="Z71" s="204"/>
      <c r="AA71" s="88"/>
      <c r="AB71" s="28"/>
      <c r="AC71" s="28"/>
      <c r="AD71" s="226">
        <f t="shared" si="49"/>
        <v>0</v>
      </c>
      <c r="AF71" s="110">
        <v>7578.7</v>
      </c>
      <c r="AG71" s="113">
        <v>384.74</v>
      </c>
      <c r="AH71" s="110"/>
      <c r="AI71" s="111"/>
      <c r="AJ71" s="204"/>
      <c r="AK71" s="215"/>
      <c r="AL71" s="28"/>
      <c r="AM71" s="28"/>
      <c r="AN71" s="226">
        <f t="shared" si="50"/>
        <v>0</v>
      </c>
      <c r="AP71" s="110">
        <v>6639.36</v>
      </c>
      <c r="AQ71" s="110">
        <v>965.37</v>
      </c>
      <c r="AR71" s="110"/>
      <c r="AS71" s="115">
        <v>246.25</v>
      </c>
      <c r="AT71" s="204"/>
      <c r="AU71" s="88">
        <v>98.999940000000038</v>
      </c>
      <c r="AV71" s="328"/>
      <c r="AW71" s="335">
        <v>16.237336800000023</v>
      </c>
      <c r="AX71" s="226">
        <f t="shared" si="51"/>
        <v>361.48727680000007</v>
      </c>
      <c r="AZ71" s="110">
        <v>6983.24</v>
      </c>
      <c r="BA71" s="113"/>
      <c r="BB71" s="110"/>
      <c r="BC71" s="111"/>
      <c r="BD71" s="204"/>
      <c r="BE71" s="88">
        <v>208.35085999999984</v>
      </c>
      <c r="BF71" s="28"/>
      <c r="BG71" s="28"/>
      <c r="BH71" s="226">
        <f t="shared" si="52"/>
        <v>208.35085999999984</v>
      </c>
      <c r="BJ71" s="110">
        <v>31570.67</v>
      </c>
      <c r="BK71" s="113">
        <v>946.58</v>
      </c>
      <c r="BL71" s="110"/>
      <c r="BM71" s="111">
        <v>553.16999999999996</v>
      </c>
      <c r="BN71" s="204"/>
      <c r="BO71" s="88">
        <v>11.312630000000013</v>
      </c>
      <c r="BP71" s="328">
        <v>92.286830000000009</v>
      </c>
      <c r="BQ71" s="28"/>
      <c r="BR71" s="226">
        <f t="shared" si="53"/>
        <v>656.76945999999998</v>
      </c>
      <c r="BT71" s="110">
        <v>8697.98</v>
      </c>
      <c r="BU71" s="113">
        <v>1162.29</v>
      </c>
      <c r="BV71" s="110"/>
      <c r="BW71" s="111">
        <v>0.88</v>
      </c>
      <c r="BX71" s="204"/>
      <c r="BY71" s="215"/>
      <c r="BZ71" s="28"/>
      <c r="CA71" s="28"/>
      <c r="CB71" s="226">
        <f t="shared" si="54"/>
        <v>0.88</v>
      </c>
      <c r="CD71" s="110">
        <v>1335.49</v>
      </c>
      <c r="CE71" s="113"/>
      <c r="CF71" s="110"/>
      <c r="CG71" s="111">
        <v>105.64</v>
      </c>
      <c r="CH71" s="204"/>
      <c r="CI71" s="88">
        <v>24.650000000000006</v>
      </c>
      <c r="CJ71" s="328">
        <v>8.3299999999999983</v>
      </c>
      <c r="CK71" s="28"/>
      <c r="CL71" s="226">
        <f t="shared" si="55"/>
        <v>138.62</v>
      </c>
      <c r="CN71" s="110">
        <v>2021.31</v>
      </c>
      <c r="CO71" s="110">
        <v>560.29</v>
      </c>
      <c r="CP71" s="113">
        <v>2332.7399999999998</v>
      </c>
      <c r="CQ71" s="110"/>
      <c r="CR71" s="111">
        <v>814.98</v>
      </c>
      <c r="CS71" s="204"/>
      <c r="CT71" s="215"/>
      <c r="CU71" s="328">
        <v>119.51599999999999</v>
      </c>
      <c r="CV71" s="28"/>
      <c r="CW71" s="226">
        <f t="shared" si="56"/>
        <v>934.49599999999998</v>
      </c>
    </row>
    <row r="72" spans="1:101" s="129" customFormat="1" x14ac:dyDescent="0.25">
      <c r="A72" s="109">
        <v>45899</v>
      </c>
      <c r="B72" s="139">
        <v>2152.8200000000002</v>
      </c>
      <c r="C72" s="140">
        <v>2213.4699999999998</v>
      </c>
      <c r="D72" s="139">
        <v>0.7</v>
      </c>
      <c r="E72" s="141">
        <v>169.67</v>
      </c>
      <c r="F72" s="204"/>
      <c r="G72" s="88"/>
      <c r="H72" s="28"/>
      <c r="I72" s="335">
        <v>34.571200000000033</v>
      </c>
      <c r="J72" s="226">
        <f t="shared" si="47"/>
        <v>204.24120000000002</v>
      </c>
      <c r="L72" s="110">
        <v>4642.43</v>
      </c>
      <c r="M72" s="113">
        <v>3456.88</v>
      </c>
      <c r="N72" s="110"/>
      <c r="O72" s="111">
        <v>86.72</v>
      </c>
      <c r="P72" s="204"/>
      <c r="Q72" s="88">
        <v>377.29055000000011</v>
      </c>
      <c r="R72" s="328">
        <v>21.903700000000001</v>
      </c>
      <c r="S72" s="335"/>
      <c r="T72" s="226">
        <f t="shared" si="48"/>
        <v>485.9142500000001</v>
      </c>
      <c r="U72" s="138"/>
      <c r="V72" s="110">
        <v>20</v>
      </c>
      <c r="W72" s="113"/>
      <c r="X72" s="110"/>
      <c r="Y72" s="111"/>
      <c r="Z72" s="204"/>
      <c r="AA72" s="88">
        <v>11.706659999999943</v>
      </c>
      <c r="AB72" s="28"/>
      <c r="AC72" s="28"/>
      <c r="AD72" s="226">
        <f t="shared" si="49"/>
        <v>11.706659999999943</v>
      </c>
      <c r="AF72" s="110">
        <v>3881.25</v>
      </c>
      <c r="AG72" s="113">
        <v>624.34</v>
      </c>
      <c r="AH72" s="110"/>
      <c r="AI72" s="111"/>
      <c r="AJ72" s="204"/>
      <c r="AK72" s="215"/>
      <c r="AL72" s="28"/>
      <c r="AM72" s="28"/>
      <c r="AN72" s="226">
        <f t="shared" si="50"/>
        <v>0</v>
      </c>
      <c r="AP72" s="110">
        <v>3251.69</v>
      </c>
      <c r="AQ72" s="110">
        <v>1052.3800000000001</v>
      </c>
      <c r="AR72" s="110"/>
      <c r="AS72" s="115">
        <v>1.43</v>
      </c>
      <c r="AT72" s="204"/>
      <c r="AU72" s="88"/>
      <c r="AV72" s="328"/>
      <c r="AW72" s="335">
        <v>4.3457408000000015</v>
      </c>
      <c r="AX72" s="226">
        <f t="shared" si="51"/>
        <v>5.7757408000000012</v>
      </c>
      <c r="AZ72" s="110">
        <v>5773.33</v>
      </c>
      <c r="BA72" s="113"/>
      <c r="BB72" s="110"/>
      <c r="BC72" s="111"/>
      <c r="BD72" s="204"/>
      <c r="BE72" s="88">
        <v>133.15499000000011</v>
      </c>
      <c r="BF72" s="28"/>
      <c r="BG72" s="28"/>
      <c r="BH72" s="226">
        <f t="shared" si="52"/>
        <v>133.15499000000011</v>
      </c>
      <c r="BJ72" s="110">
        <v>14789.72</v>
      </c>
      <c r="BK72" s="113">
        <v>1232.94</v>
      </c>
      <c r="BL72" s="110"/>
      <c r="BM72" s="111">
        <v>74.86</v>
      </c>
      <c r="BN72" s="204"/>
      <c r="BO72" s="88">
        <v>73.78349</v>
      </c>
      <c r="BP72" s="328">
        <v>10.497610000000009</v>
      </c>
      <c r="BQ72" s="28"/>
      <c r="BR72" s="226">
        <f t="shared" si="53"/>
        <v>159.14109999999999</v>
      </c>
      <c r="BT72" s="110">
        <v>4602.9799999999996</v>
      </c>
      <c r="BU72" s="113">
        <v>887.05</v>
      </c>
      <c r="BV72" s="110"/>
      <c r="BW72" s="111"/>
      <c r="BX72" s="204"/>
      <c r="BY72" s="215"/>
      <c r="BZ72" s="28"/>
      <c r="CA72" s="28"/>
      <c r="CB72" s="226">
        <f t="shared" si="54"/>
        <v>0</v>
      </c>
      <c r="CD72" s="110">
        <v>1200.71</v>
      </c>
      <c r="CE72" s="113"/>
      <c r="CF72" s="110"/>
      <c r="CG72" s="111">
        <v>91.84</v>
      </c>
      <c r="CH72" s="204"/>
      <c r="CI72" s="88">
        <v>13.877949999999998</v>
      </c>
      <c r="CJ72" s="328"/>
      <c r="CK72" s="28"/>
      <c r="CL72" s="226">
        <f t="shared" si="55"/>
        <v>105.71795</v>
      </c>
      <c r="CN72" s="110">
        <v>1960.62</v>
      </c>
      <c r="CO72" s="110">
        <v>899.14</v>
      </c>
      <c r="CP72" s="113">
        <v>2791.85</v>
      </c>
      <c r="CQ72" s="110"/>
      <c r="CR72" s="111">
        <v>539.77</v>
      </c>
      <c r="CS72" s="204"/>
      <c r="CT72" s="215"/>
      <c r="CU72" s="328">
        <v>116.40999999999997</v>
      </c>
      <c r="CV72" s="28"/>
      <c r="CW72" s="226">
        <f t="shared" si="56"/>
        <v>656.18</v>
      </c>
    </row>
    <row r="73" spans="1:101" s="129" customFormat="1" ht="15.75" thickBot="1" x14ac:dyDescent="0.3">
      <c r="A73" s="121">
        <v>45900</v>
      </c>
      <c r="B73" s="139">
        <v>1547.81</v>
      </c>
      <c r="C73" s="140">
        <v>1930.31</v>
      </c>
      <c r="D73" s="139">
        <v>1.33</v>
      </c>
      <c r="E73" s="141">
        <v>44</v>
      </c>
      <c r="F73" s="204"/>
      <c r="G73" s="88"/>
      <c r="H73" s="45"/>
      <c r="I73" s="336"/>
      <c r="J73" s="227">
        <f t="shared" si="47"/>
        <v>44</v>
      </c>
      <c r="L73" s="110">
        <v>4433.6000000000004</v>
      </c>
      <c r="M73" s="113">
        <v>3617.13</v>
      </c>
      <c r="N73" s="110"/>
      <c r="O73" s="111">
        <v>28.3</v>
      </c>
      <c r="P73" s="204"/>
      <c r="Q73" s="88">
        <v>5.8475799999999936</v>
      </c>
      <c r="R73" s="328"/>
      <c r="S73" s="336"/>
      <c r="T73" s="227">
        <f t="shared" si="48"/>
        <v>34.147579999999991</v>
      </c>
      <c r="U73" s="138"/>
      <c r="V73" s="110">
        <v>100</v>
      </c>
      <c r="W73" s="113"/>
      <c r="X73" s="110"/>
      <c r="Y73" s="111"/>
      <c r="Z73" s="204"/>
      <c r="AA73" s="88">
        <v>15.360839999999982</v>
      </c>
      <c r="AB73" s="45"/>
      <c r="AC73" s="45"/>
      <c r="AD73" s="227">
        <f t="shared" si="49"/>
        <v>15.360839999999982</v>
      </c>
      <c r="AF73" s="110">
        <v>4592.1099999999997</v>
      </c>
      <c r="AG73" s="113">
        <v>634.17999999999995</v>
      </c>
      <c r="AH73" s="110"/>
      <c r="AI73" s="111"/>
      <c r="AJ73" s="204"/>
      <c r="AK73" s="216"/>
      <c r="AL73" s="45"/>
      <c r="AM73" s="45"/>
      <c r="AN73" s="227">
        <f t="shared" si="50"/>
        <v>0</v>
      </c>
      <c r="AP73" s="110">
        <v>4234.41</v>
      </c>
      <c r="AQ73" s="110">
        <v>613.41</v>
      </c>
      <c r="AR73" s="110"/>
      <c r="AS73" s="123">
        <v>164.54</v>
      </c>
      <c r="AT73" s="204"/>
      <c r="AU73" s="88">
        <v>59.459040000000016</v>
      </c>
      <c r="AV73" s="328"/>
      <c r="AW73" s="336"/>
      <c r="AX73" s="227">
        <f t="shared" si="51"/>
        <v>223.99904000000001</v>
      </c>
      <c r="AZ73" s="110">
        <v>3529.07</v>
      </c>
      <c r="BA73" s="113"/>
      <c r="BB73" s="110"/>
      <c r="BC73" s="111"/>
      <c r="BD73" s="204"/>
      <c r="BE73" s="88">
        <v>22.416349999999966</v>
      </c>
      <c r="BF73" s="45"/>
      <c r="BG73" s="45"/>
      <c r="BH73" s="227">
        <f t="shared" si="52"/>
        <v>22.416349999999966</v>
      </c>
      <c r="BJ73" s="110">
        <v>9524.6299999999992</v>
      </c>
      <c r="BK73" s="113">
        <v>668.79</v>
      </c>
      <c r="BL73" s="110"/>
      <c r="BM73" s="111">
        <v>53.72</v>
      </c>
      <c r="BN73" s="204"/>
      <c r="BO73" s="88">
        <v>32.141059999999925</v>
      </c>
      <c r="BP73" s="328"/>
      <c r="BQ73" s="45"/>
      <c r="BR73" s="227">
        <f t="shared" si="53"/>
        <v>85.861059999999924</v>
      </c>
      <c r="BT73" s="110">
        <v>1939.58</v>
      </c>
      <c r="BU73" s="113">
        <v>973.97</v>
      </c>
      <c r="BV73" s="110"/>
      <c r="BW73" s="111"/>
      <c r="BX73" s="204"/>
      <c r="BY73" s="216"/>
      <c r="BZ73" s="45"/>
      <c r="CA73" s="45"/>
      <c r="CB73" s="227">
        <f t="shared" si="54"/>
        <v>0</v>
      </c>
      <c r="CD73" s="110">
        <v>1242.97</v>
      </c>
      <c r="CE73" s="113"/>
      <c r="CF73" s="110"/>
      <c r="CG73" s="111">
        <v>14.87</v>
      </c>
      <c r="CH73" s="204"/>
      <c r="CI73" s="88">
        <v>29.23924999999997</v>
      </c>
      <c r="CJ73" s="328"/>
      <c r="CK73" s="45"/>
      <c r="CL73" s="227">
        <f t="shared" si="55"/>
        <v>44.109249999999967</v>
      </c>
      <c r="CN73" s="110">
        <v>1182.73</v>
      </c>
      <c r="CO73" s="142">
        <v>461.35</v>
      </c>
      <c r="CP73" s="143">
        <v>1771.3600000000001</v>
      </c>
      <c r="CQ73" s="110"/>
      <c r="CR73" s="111">
        <v>13.17</v>
      </c>
      <c r="CS73" s="204"/>
      <c r="CT73" s="216"/>
      <c r="CU73" s="328"/>
      <c r="CV73" s="45"/>
      <c r="CW73" s="227">
        <f t="shared" si="56"/>
        <v>13.17</v>
      </c>
    </row>
    <row r="74" spans="1:101" s="298" customFormat="1" ht="16.5" thickBot="1" x14ac:dyDescent="0.3">
      <c r="B74" s="144">
        <f>SUM(B43:B73)</f>
        <v>109815.95</v>
      </c>
      <c r="C74" s="144">
        <f>SUM(C43:C73)</f>
        <v>80522.12</v>
      </c>
      <c r="D74" s="145">
        <f>SUM(D43:D73)</f>
        <v>233.32</v>
      </c>
      <c r="E74" s="144">
        <f>SUM(E43:E73)</f>
        <v>5094.91</v>
      </c>
      <c r="F74" s="306"/>
      <c r="G74" s="307">
        <f t="shared" ref="G74" si="57">SUM(G43:G73)</f>
        <v>355.01522999999992</v>
      </c>
      <c r="H74" s="308">
        <f t="shared" ref="H74" si="58">SUM(H43:H73)</f>
        <v>0</v>
      </c>
      <c r="I74" s="308">
        <f>SUM(I43:I73)</f>
        <v>388.98247580000015</v>
      </c>
      <c r="J74" s="308">
        <f t="shared" ref="J74" si="59">SUM(J43:J73)</f>
        <v>5838.9077058000012</v>
      </c>
      <c r="L74" s="144">
        <f>SUM(L43:L73)</f>
        <v>163241.35</v>
      </c>
      <c r="M74" s="145">
        <f>SUM(M43:M73)</f>
        <v>89177.9</v>
      </c>
      <c r="N74" s="145">
        <f>SUM(N43:N73)</f>
        <v>0</v>
      </c>
      <c r="O74" s="146">
        <f>SUM(O43:O73)</f>
        <v>1288.72</v>
      </c>
      <c r="P74" s="306"/>
      <c r="Q74" s="307">
        <f t="shared" ref="Q74" si="60">SUM(Q43:Q73)</f>
        <v>6115.9165499999972</v>
      </c>
      <c r="R74" s="308">
        <f t="shared" ref="R74" si="61">SUM(R43:R73)</f>
        <v>110.51351999999999</v>
      </c>
      <c r="S74" s="308">
        <f>SUM(S43:S73)</f>
        <v>1753.6076761000004</v>
      </c>
      <c r="T74" s="308">
        <f t="shared" ref="T74" si="62">SUM(T43:T73)</f>
        <v>9268.7577460999964</v>
      </c>
      <c r="U74" s="327"/>
      <c r="V74" s="144">
        <f>SUM(V43:V73)</f>
        <v>28023.33</v>
      </c>
      <c r="W74" s="145">
        <f>SUM(W43:W73)</f>
        <v>0</v>
      </c>
      <c r="X74" s="145">
        <f>SUM(X43:X73)</f>
        <v>0</v>
      </c>
      <c r="Y74" s="146">
        <f>SUM(Y43:Y73)</f>
        <v>12.84</v>
      </c>
      <c r="Z74" s="306"/>
      <c r="AA74" s="307">
        <f t="shared" ref="AA74" si="63">SUM(AA43:AA73)</f>
        <v>357.61476999999866</v>
      </c>
      <c r="AB74" s="308">
        <f t="shared" ref="AB74" si="64">SUM(AB43:AB73)</f>
        <v>0</v>
      </c>
      <c r="AC74" s="308">
        <f>SUM(AC43:AC73)</f>
        <v>0</v>
      </c>
      <c r="AD74" s="308">
        <f t="shared" ref="AD74" si="65">SUM(AD43:AD73)</f>
        <v>370.45476999999863</v>
      </c>
      <c r="AF74" s="144">
        <f>SUM(AF43:AF73)</f>
        <v>189536.46</v>
      </c>
      <c r="AG74" s="145">
        <f>SUM(AG43:AG73)</f>
        <v>14847.990000000002</v>
      </c>
      <c r="AH74" s="145">
        <f>SUM(AH43:AH73)</f>
        <v>0</v>
      </c>
      <c r="AI74" s="146">
        <f>SUM(AI43:AI73)</f>
        <v>0</v>
      </c>
      <c r="AJ74" s="306"/>
      <c r="AK74" s="307">
        <f t="shared" ref="AK74" si="66">SUM(AK43:AK73)</f>
        <v>0</v>
      </c>
      <c r="AL74" s="308">
        <f t="shared" ref="AL74" si="67">SUM(AL43:AL73)</f>
        <v>0</v>
      </c>
      <c r="AM74" s="308">
        <f>SUM(AM43:AM73)</f>
        <v>0</v>
      </c>
      <c r="AN74" s="308">
        <f t="shared" ref="AN74" si="68">SUM(AN43:AN73)</f>
        <v>0</v>
      </c>
      <c r="AP74" s="145">
        <f>SUM(AP43:AP73)</f>
        <v>129704.73999999998</v>
      </c>
      <c r="AQ74" s="145">
        <f>SUM(AQ43:AQ73)</f>
        <v>28717.489999999998</v>
      </c>
      <c r="AR74" s="145">
        <f>SUM(AR43:AR73)</f>
        <v>0</v>
      </c>
      <c r="AS74" s="145">
        <f>SUM(AS43:AS73)</f>
        <v>2912.7099999999996</v>
      </c>
      <c r="AT74" s="306"/>
      <c r="AU74" s="307">
        <f t="shared" ref="AU74" si="69">SUM(AU43:AU73)</f>
        <v>3596.5034499999997</v>
      </c>
      <c r="AV74" s="308">
        <f t="shared" ref="AV74" si="70">SUM(AV43:AV73)</f>
        <v>301.11001999999996</v>
      </c>
      <c r="AW74" s="308">
        <f>SUM(AW43:AW73)</f>
        <v>279.85717920000002</v>
      </c>
      <c r="AX74" s="308">
        <f t="shared" ref="AX74" si="71">SUM(AX43:AX73)</f>
        <v>7090.1806491999987</v>
      </c>
      <c r="AZ74" s="144">
        <f>SUM(AZ43:AZ73)</f>
        <v>152318.04999999999</v>
      </c>
      <c r="BA74" s="145">
        <f>SUM(BA43:BA73)</f>
        <v>0</v>
      </c>
      <c r="BB74" s="145">
        <f>SUM(BB43:BB73)</f>
        <v>0</v>
      </c>
      <c r="BC74" s="146">
        <f>SUM(BC43:BC73)</f>
        <v>693</v>
      </c>
      <c r="BD74" s="306"/>
      <c r="BE74" s="307">
        <f t="shared" ref="BE74" si="72">SUM(BE43:BE73)</f>
        <v>2050.1062399999969</v>
      </c>
      <c r="BF74" s="308">
        <f t="shared" ref="BF74" si="73">SUM(BF43:BF73)</f>
        <v>0</v>
      </c>
      <c r="BG74" s="308">
        <f>SUM(BG43:BG73)</f>
        <v>0</v>
      </c>
      <c r="BH74" s="308">
        <f t="shared" ref="BH74" si="74">SUM(BH43:BH73)</f>
        <v>2743.106239999996</v>
      </c>
      <c r="BJ74" s="144">
        <f>SUM(BJ43:BJ73)</f>
        <v>571060.15000000014</v>
      </c>
      <c r="BK74" s="145">
        <f>SUM(BK43:BK73)</f>
        <v>25725.329999999998</v>
      </c>
      <c r="BL74" s="145">
        <f>SUM(BL43:BL73)</f>
        <v>0</v>
      </c>
      <c r="BM74" s="146">
        <f>SUM(BM43:BM73)</f>
        <v>10698.680000000002</v>
      </c>
      <c r="BN74" s="306"/>
      <c r="BO74" s="307">
        <f t="shared" ref="BO74" si="75">SUM(BO43:BO73)</f>
        <v>1552.6568060000006</v>
      </c>
      <c r="BP74" s="308">
        <f t="shared" ref="BP74" si="76">SUM(BP43:BP73)</f>
        <v>839.92512000000045</v>
      </c>
      <c r="BQ74" s="308">
        <f>SUM(BQ43:BQ73)</f>
        <v>0</v>
      </c>
      <c r="BR74" s="308">
        <f t="shared" ref="BR74" si="77">SUM(BR43:BR73)</f>
        <v>13091.261926000003</v>
      </c>
      <c r="BT74" s="144">
        <f>SUM(BT43:BT73)</f>
        <v>92494.389999999985</v>
      </c>
      <c r="BU74" s="145">
        <f>SUM(BU43:BU73)</f>
        <v>33970.83</v>
      </c>
      <c r="BV74" s="145">
        <f>SUM(BV43:BV73)</f>
        <v>0</v>
      </c>
      <c r="BW74" s="146">
        <f>SUM(BW43:BW73)</f>
        <v>2594.0499999999997</v>
      </c>
      <c r="BX74" s="306"/>
      <c r="BY74" s="307">
        <f t="shared" ref="BY74" si="78">SUM(BY43:BY73)</f>
        <v>0</v>
      </c>
      <c r="BZ74" s="308">
        <f t="shared" ref="BZ74" si="79">SUM(BZ43:BZ73)</f>
        <v>0</v>
      </c>
      <c r="CA74" s="308">
        <f>SUM(CA43:CA73)</f>
        <v>0</v>
      </c>
      <c r="CB74" s="308">
        <f t="shared" ref="CB74" si="80">SUM(CB43:CB73)</f>
        <v>2594.0499999999997</v>
      </c>
      <c r="CD74" s="144">
        <f>SUM(CD43:CD73)</f>
        <v>59664.85</v>
      </c>
      <c r="CE74" s="145">
        <f>SUM(CE43:CE73)</f>
        <v>0</v>
      </c>
      <c r="CF74" s="145">
        <f>SUM(CF43:CF73)</f>
        <v>0</v>
      </c>
      <c r="CG74" s="146">
        <f>SUM(CG43:CG73)</f>
        <v>3944.3300000000004</v>
      </c>
      <c r="CH74" s="306"/>
      <c r="CI74" s="307">
        <f t="shared" ref="CI74" si="81">SUM(CI43:CI73)</f>
        <v>789.69986999999958</v>
      </c>
      <c r="CJ74" s="308">
        <f t="shared" ref="CJ74" si="82">SUM(CJ43:CJ73)</f>
        <v>188.05018999999993</v>
      </c>
      <c r="CK74" s="308">
        <f>SUM(CK43:CK73)</f>
        <v>0</v>
      </c>
      <c r="CL74" s="308">
        <f t="shared" ref="CL74" si="83">SUM(CL43:CL73)</f>
        <v>4922.0800600000002</v>
      </c>
      <c r="CN74" s="144">
        <f>SUM(CN43:CN73)</f>
        <v>52043.88</v>
      </c>
      <c r="CO74" s="145">
        <f>SUM(CO43:CO73)</f>
        <v>21390.219999999998</v>
      </c>
      <c r="CP74" s="145">
        <f>SUM(CP43:CP73)</f>
        <v>63134.340000000011</v>
      </c>
      <c r="CQ74" s="145">
        <f>SUM(CQ43:CQ73)</f>
        <v>0</v>
      </c>
      <c r="CR74" s="146">
        <f>SUM(CR43:CR73)</f>
        <v>19055.02</v>
      </c>
      <c r="CS74" s="306"/>
      <c r="CT74" s="307">
        <f t="shared" ref="CT74" si="84">SUM(CT43:CT73)</f>
        <v>0</v>
      </c>
      <c r="CU74" s="308">
        <f t="shared" ref="CU74" si="85">SUM(CU43:CU73)</f>
        <v>2866.7039399999999</v>
      </c>
      <c r="CV74" s="308">
        <f>SUM(CV43:CV73)</f>
        <v>0</v>
      </c>
      <c r="CW74" s="308">
        <f t="shared" ref="CW74" si="86">SUM(CW43:CW73)</f>
        <v>21921.723940000003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CC228"/>
  <sheetViews>
    <sheetView workbookViewId="0">
      <selection activeCell="R2" sqref="R2"/>
    </sheetView>
  </sheetViews>
  <sheetFormatPr baseColWidth="10" defaultRowHeight="15" x14ac:dyDescent="0.25"/>
  <cols>
    <col min="3" max="4" width="16.28515625" bestFit="1" customWidth="1"/>
    <col min="5" max="5" width="18" bestFit="1" customWidth="1"/>
    <col min="6" max="6" width="12.42578125" bestFit="1" customWidth="1"/>
    <col min="7" max="7" width="2.28515625" customWidth="1"/>
    <col min="8" max="8" width="10.85546875" hidden="1" customWidth="1"/>
    <col min="9" max="9" width="12.42578125" hidden="1" customWidth="1"/>
    <col min="10" max="10" width="11" hidden="1" customWidth="1"/>
    <col min="11" max="11" width="13.42578125" hidden="1" customWidth="1"/>
    <col min="14" max="14" width="16.28515625" bestFit="1" customWidth="1"/>
    <col min="15" max="15" width="14.7109375" bestFit="1" customWidth="1"/>
    <col min="16" max="16" width="16.28515625" bestFit="1" customWidth="1"/>
    <col min="17" max="17" width="14.7109375" bestFit="1" customWidth="1"/>
    <col min="18" max="18" width="12" bestFit="1" customWidth="1"/>
    <col min="19" max="19" width="2.28515625" customWidth="1"/>
    <col min="20" max="21" width="10.85546875" hidden="1" customWidth="1"/>
    <col min="22" max="22" width="11" hidden="1" customWidth="1"/>
    <col min="23" max="23" width="12" hidden="1" customWidth="1"/>
    <col min="26" max="26" width="13.85546875" customWidth="1"/>
    <col min="27" max="27" width="15.5703125" customWidth="1"/>
    <col min="28" max="28" width="2.28515625" customWidth="1"/>
    <col min="29" max="30" width="10.85546875" hidden="1" customWidth="1"/>
    <col min="31" max="31" width="11" hidden="1" customWidth="1"/>
    <col min="32" max="32" width="14.85546875" hidden="1" customWidth="1"/>
    <col min="35" max="35" width="14.5703125" customWidth="1"/>
    <col min="36" max="36" width="14.28515625" customWidth="1"/>
    <col min="37" max="37" width="2.28515625" customWidth="1"/>
    <col min="38" max="39" width="10.85546875" hidden="1" customWidth="1"/>
    <col min="40" max="40" width="11" hidden="1" customWidth="1"/>
    <col min="41" max="41" width="12" hidden="1" customWidth="1"/>
    <col min="44" max="45" width="15.42578125" customWidth="1"/>
    <col min="46" max="46" width="15.28515625" customWidth="1"/>
    <col min="47" max="47" width="12" bestFit="1" customWidth="1"/>
    <col min="48" max="48" width="14.7109375" bestFit="1" customWidth="1"/>
    <col min="49" max="49" width="12" bestFit="1" customWidth="1"/>
    <col min="50" max="50" width="2.28515625" customWidth="1"/>
    <col min="51" max="52" width="10.85546875" hidden="1" customWidth="1"/>
    <col min="53" max="53" width="11" hidden="1" customWidth="1"/>
    <col min="54" max="54" width="12" hidden="1" customWidth="1"/>
    <col min="57" max="57" width="15" customWidth="1"/>
    <col min="58" max="58" width="16.42578125" customWidth="1"/>
    <col min="59" max="59" width="2.28515625" customWidth="1"/>
    <col min="60" max="61" width="10.85546875" hidden="1" customWidth="1"/>
    <col min="62" max="62" width="11" hidden="1" customWidth="1"/>
    <col min="63" max="63" width="12" hidden="1" customWidth="1"/>
    <col min="66" max="66" width="14.7109375" bestFit="1" customWidth="1"/>
    <col min="67" max="67" width="12.42578125" bestFit="1" customWidth="1"/>
    <col min="68" max="68" width="2.28515625" customWidth="1"/>
    <col min="69" max="70" width="10.85546875" hidden="1" customWidth="1"/>
    <col min="71" max="71" width="11" hidden="1" customWidth="1"/>
    <col min="72" max="72" width="12" hidden="1" customWidth="1"/>
    <col min="77" max="77" width="2.28515625" customWidth="1"/>
    <col min="78" max="79" width="10.85546875" customWidth="1"/>
    <col min="80" max="80" width="11" customWidth="1"/>
  </cols>
  <sheetData>
    <row r="2" spans="2:77" x14ac:dyDescent="0.25">
      <c r="B2" s="1" t="s">
        <v>70</v>
      </c>
      <c r="C2" s="1"/>
      <c r="D2" s="1"/>
      <c r="E2" s="1"/>
      <c r="F2" s="1"/>
      <c r="G2" s="1"/>
      <c r="H2" s="1"/>
      <c r="I2" s="1"/>
      <c r="J2" s="1"/>
      <c r="K2" s="1"/>
      <c r="M2" s="1"/>
      <c r="N2" s="1" t="s">
        <v>71</v>
      </c>
      <c r="O2" s="1"/>
      <c r="P2" s="1"/>
      <c r="Q2" s="1"/>
      <c r="R2" s="1"/>
      <c r="S2" s="1"/>
      <c r="T2" s="1"/>
      <c r="U2" s="1"/>
      <c r="V2" s="1"/>
      <c r="W2" s="1"/>
      <c r="Y2" s="1" t="s">
        <v>72</v>
      </c>
      <c r="Z2" s="1"/>
      <c r="AA2" s="1"/>
      <c r="AB2" s="1"/>
      <c r="AC2" s="1"/>
      <c r="AD2" s="1"/>
      <c r="AE2" s="1"/>
      <c r="AF2" s="1"/>
      <c r="AH2" s="1" t="s">
        <v>73</v>
      </c>
      <c r="AI2" s="1"/>
      <c r="AJ2" s="1"/>
      <c r="AK2" s="1"/>
      <c r="AL2" s="1"/>
      <c r="AM2" s="1"/>
      <c r="AN2" s="1"/>
      <c r="AO2" s="1"/>
      <c r="AQ2" s="1" t="s">
        <v>74</v>
      </c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D2" s="1" t="s">
        <v>75</v>
      </c>
      <c r="BE2" s="1"/>
      <c r="BF2" s="1"/>
      <c r="BG2" s="1"/>
      <c r="BH2" s="1"/>
      <c r="BI2" s="1"/>
      <c r="BJ2" s="1"/>
      <c r="BK2" s="1"/>
      <c r="BM2" s="1" t="s">
        <v>76</v>
      </c>
      <c r="BN2" s="1"/>
      <c r="BO2" s="1"/>
      <c r="BP2" s="1"/>
      <c r="BQ2" s="1"/>
      <c r="BR2" s="1"/>
      <c r="BS2" s="1"/>
      <c r="BT2" s="1"/>
      <c r="BY2" s="1"/>
    </row>
    <row r="3" spans="2:77" ht="15.75" thickBot="1" x14ac:dyDescent="0.3">
      <c r="B3" s="1"/>
      <c r="C3" s="1"/>
      <c r="D3" s="1"/>
      <c r="E3" s="1"/>
      <c r="F3" s="1"/>
      <c r="G3" s="1"/>
      <c r="H3" s="1"/>
      <c r="I3" s="1"/>
      <c r="J3" s="1"/>
      <c r="K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AB3" s="1"/>
      <c r="AC3" s="1"/>
      <c r="AD3" s="1"/>
      <c r="AE3" s="1"/>
      <c r="AF3" s="1"/>
      <c r="AI3" s="1"/>
      <c r="AJ3" s="1"/>
      <c r="AK3" s="1"/>
      <c r="AL3" s="1"/>
      <c r="AM3" s="1"/>
      <c r="AN3" s="1"/>
      <c r="AO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E3" s="1"/>
      <c r="BF3" s="1"/>
      <c r="BG3" s="1"/>
      <c r="BH3" s="1"/>
      <c r="BI3" s="1"/>
      <c r="BJ3" s="1"/>
      <c r="BK3" s="1"/>
      <c r="BN3" s="1"/>
      <c r="BO3" s="1"/>
      <c r="BP3" s="1"/>
      <c r="BQ3" s="1"/>
      <c r="BR3" s="1"/>
      <c r="BS3" s="1"/>
      <c r="BT3" s="1"/>
      <c r="BY3" s="1"/>
    </row>
    <row r="4" spans="2:77" ht="15.75" thickBot="1" x14ac:dyDescent="0.3">
      <c r="B4" s="1"/>
      <c r="C4" s="258" t="s">
        <v>77</v>
      </c>
      <c r="D4" s="258" t="s">
        <v>77</v>
      </c>
      <c r="E4" s="258" t="s">
        <v>77</v>
      </c>
      <c r="F4" s="258" t="s">
        <v>78</v>
      </c>
      <c r="G4" s="259"/>
      <c r="H4" s="260" t="s">
        <v>17</v>
      </c>
      <c r="I4" s="261" t="s">
        <v>17</v>
      </c>
      <c r="J4" s="262" t="s">
        <v>17</v>
      </c>
      <c r="K4" s="263" t="s">
        <v>79</v>
      </c>
      <c r="M4" s="1"/>
      <c r="N4" s="264" t="s">
        <v>16</v>
      </c>
      <c r="O4" s="264" t="s">
        <v>16</v>
      </c>
      <c r="P4" s="264" t="s">
        <v>16</v>
      </c>
      <c r="Q4" s="265" t="s">
        <v>67</v>
      </c>
      <c r="R4" s="265" t="s">
        <v>78</v>
      </c>
      <c r="S4" s="259"/>
      <c r="T4" s="260" t="s">
        <v>17</v>
      </c>
      <c r="U4" s="261" t="s">
        <v>17</v>
      </c>
      <c r="V4" s="262" t="s">
        <v>17</v>
      </c>
      <c r="W4" s="263" t="s">
        <v>79</v>
      </c>
      <c r="Z4" s="266" t="s">
        <v>16</v>
      </c>
      <c r="AA4" s="267" t="s">
        <v>67</v>
      </c>
      <c r="AB4" s="259"/>
      <c r="AC4" s="260" t="s">
        <v>17</v>
      </c>
      <c r="AD4" s="261" t="s">
        <v>17</v>
      </c>
      <c r="AE4" s="262" t="s">
        <v>17</v>
      </c>
      <c r="AF4" s="263" t="s">
        <v>79</v>
      </c>
      <c r="AI4" s="258" t="s">
        <v>77</v>
      </c>
      <c r="AJ4" s="258" t="s">
        <v>78</v>
      </c>
      <c r="AK4" s="259"/>
      <c r="AL4" s="260" t="s">
        <v>17</v>
      </c>
      <c r="AM4" s="261" t="s">
        <v>17</v>
      </c>
      <c r="AN4" s="262" t="s">
        <v>17</v>
      </c>
      <c r="AO4" s="263" t="s">
        <v>79</v>
      </c>
      <c r="AQ4" s="1"/>
      <c r="AR4" s="258" t="s">
        <v>77</v>
      </c>
      <c r="AS4" s="258" t="s">
        <v>77</v>
      </c>
      <c r="AT4" s="258" t="s">
        <v>77</v>
      </c>
      <c r="AU4" s="258" t="s">
        <v>78</v>
      </c>
      <c r="AV4" s="258" t="s">
        <v>78</v>
      </c>
      <c r="AW4" s="258" t="s">
        <v>78</v>
      </c>
      <c r="AX4" s="259"/>
      <c r="AY4" s="260" t="s">
        <v>17</v>
      </c>
      <c r="AZ4" s="261" t="s">
        <v>17</v>
      </c>
      <c r="BA4" s="262" t="s">
        <v>17</v>
      </c>
      <c r="BB4" s="263" t="s">
        <v>79</v>
      </c>
      <c r="BE4" s="258" t="s">
        <v>77</v>
      </c>
      <c r="BF4" s="258" t="s">
        <v>78</v>
      </c>
      <c r="BG4" s="259"/>
      <c r="BH4" s="260" t="s">
        <v>17</v>
      </c>
      <c r="BI4" s="261" t="s">
        <v>17</v>
      </c>
      <c r="BJ4" s="262" t="s">
        <v>17</v>
      </c>
      <c r="BK4" s="263" t="s">
        <v>79</v>
      </c>
      <c r="BN4" s="258" t="s">
        <v>77</v>
      </c>
      <c r="BO4" s="258" t="s">
        <v>78</v>
      </c>
      <c r="BP4" s="259"/>
      <c r="BQ4" s="260" t="s">
        <v>17</v>
      </c>
      <c r="BR4" s="261" t="s">
        <v>17</v>
      </c>
      <c r="BS4" s="262" t="s">
        <v>17</v>
      </c>
      <c r="BT4" s="263" t="s">
        <v>79</v>
      </c>
      <c r="BY4" s="259"/>
    </row>
    <row r="5" spans="2:77" ht="15.75" thickBot="1" x14ac:dyDescent="0.3">
      <c r="B5" s="1"/>
      <c r="C5" s="268" t="s">
        <v>19</v>
      </c>
      <c r="D5" s="268" t="s">
        <v>20</v>
      </c>
      <c r="E5" s="268" t="s">
        <v>22</v>
      </c>
      <c r="F5" s="268" t="s">
        <v>19</v>
      </c>
      <c r="G5" s="259"/>
      <c r="H5" s="269" t="s">
        <v>64</v>
      </c>
      <c r="I5" s="270" t="s">
        <v>65</v>
      </c>
      <c r="J5" s="271" t="s">
        <v>66</v>
      </c>
      <c r="K5" s="256" t="s">
        <v>69</v>
      </c>
      <c r="M5" s="1"/>
      <c r="N5" s="272" t="s">
        <v>19</v>
      </c>
      <c r="O5" s="272" t="s">
        <v>20</v>
      </c>
      <c r="P5" s="272" t="s">
        <v>22</v>
      </c>
      <c r="Q5" s="272" t="s">
        <v>22</v>
      </c>
      <c r="R5" s="272" t="s">
        <v>19</v>
      </c>
      <c r="S5" s="259"/>
      <c r="T5" s="269" t="s">
        <v>64</v>
      </c>
      <c r="U5" s="270" t="s">
        <v>65</v>
      </c>
      <c r="V5" s="271" t="s">
        <v>66</v>
      </c>
      <c r="W5" s="256" t="s">
        <v>69</v>
      </c>
      <c r="Z5" s="273" t="s">
        <v>19</v>
      </c>
      <c r="AA5" s="274" t="s">
        <v>19</v>
      </c>
      <c r="AB5" s="259"/>
      <c r="AC5" s="269" t="s">
        <v>64</v>
      </c>
      <c r="AD5" s="270" t="s">
        <v>65</v>
      </c>
      <c r="AE5" s="271" t="s">
        <v>66</v>
      </c>
      <c r="AF5" s="256" t="s">
        <v>69</v>
      </c>
      <c r="AI5" s="268" t="s">
        <v>19</v>
      </c>
      <c r="AJ5" s="268" t="s">
        <v>19</v>
      </c>
      <c r="AK5" s="259"/>
      <c r="AL5" s="269" t="s">
        <v>64</v>
      </c>
      <c r="AM5" s="270" t="s">
        <v>65</v>
      </c>
      <c r="AN5" s="271" t="s">
        <v>66</v>
      </c>
      <c r="AO5" s="256" t="s">
        <v>69</v>
      </c>
      <c r="AQ5" s="1"/>
      <c r="AR5" s="268" t="s">
        <v>19</v>
      </c>
      <c r="AS5" s="268" t="s">
        <v>20</v>
      </c>
      <c r="AT5" s="268" t="s">
        <v>22</v>
      </c>
      <c r="AU5" s="268" t="s">
        <v>20</v>
      </c>
      <c r="AV5" s="258" t="s">
        <v>22</v>
      </c>
      <c r="AW5" s="268" t="s">
        <v>19</v>
      </c>
      <c r="AX5" s="259"/>
      <c r="AY5" s="269" t="s">
        <v>64</v>
      </c>
      <c r="AZ5" s="270" t="s">
        <v>65</v>
      </c>
      <c r="BA5" s="271" t="s">
        <v>66</v>
      </c>
      <c r="BB5" s="256" t="s">
        <v>69</v>
      </c>
      <c r="BE5" s="268" t="s">
        <v>19</v>
      </c>
      <c r="BF5" s="268" t="s">
        <v>19</v>
      </c>
      <c r="BG5" s="259"/>
      <c r="BH5" s="269" t="s">
        <v>64</v>
      </c>
      <c r="BI5" s="270" t="s">
        <v>65</v>
      </c>
      <c r="BJ5" s="271" t="s">
        <v>66</v>
      </c>
      <c r="BK5" s="256" t="s">
        <v>69</v>
      </c>
      <c r="BN5" s="268" t="s">
        <v>19</v>
      </c>
      <c r="BO5" s="268" t="s">
        <v>19</v>
      </c>
      <c r="BP5" s="259"/>
      <c r="BQ5" s="269" t="s">
        <v>64</v>
      </c>
      <c r="BR5" s="270" t="s">
        <v>65</v>
      </c>
      <c r="BS5" s="271" t="s">
        <v>66</v>
      </c>
      <c r="BT5" s="256" t="s">
        <v>69</v>
      </c>
      <c r="BY5" s="259"/>
    </row>
    <row r="6" spans="2:77" ht="15.75" x14ac:dyDescent="0.25">
      <c r="B6" s="275">
        <v>45839</v>
      </c>
      <c r="C6" s="276">
        <v>83.56</v>
      </c>
      <c r="D6" s="276">
        <v>1619.88</v>
      </c>
      <c r="E6" s="277">
        <v>5558.01</v>
      </c>
      <c r="F6" s="276">
        <v>0</v>
      </c>
      <c r="G6" s="278"/>
      <c r="H6" s="279"/>
      <c r="I6" s="329"/>
      <c r="J6" s="335">
        <v>11.507023799999999</v>
      </c>
      <c r="K6" s="225">
        <f>SUM(F6:J6)</f>
        <v>11.507023799999999</v>
      </c>
      <c r="M6" s="275">
        <v>45839</v>
      </c>
      <c r="N6" s="277">
        <v>381.05</v>
      </c>
      <c r="O6" s="277">
        <v>42.34</v>
      </c>
      <c r="P6" s="280">
        <v>1230.76</v>
      </c>
      <c r="Q6" s="280">
        <v>147.83000000000001</v>
      </c>
      <c r="R6" s="280"/>
      <c r="S6" s="278"/>
      <c r="T6" s="279"/>
      <c r="U6" s="225"/>
      <c r="V6" s="225"/>
      <c r="W6" s="225">
        <f>SUM(R6:V6)</f>
        <v>0</v>
      </c>
      <c r="Y6" s="275">
        <v>45839</v>
      </c>
      <c r="Z6" s="277">
        <v>1032.0999999999999</v>
      </c>
      <c r="AA6" s="277">
        <v>409.18</v>
      </c>
      <c r="AB6" s="278"/>
      <c r="AC6" s="279"/>
      <c r="AD6" s="225"/>
      <c r="AE6" s="225"/>
      <c r="AF6" s="225">
        <f>SUM(AA6:AE6)</f>
        <v>409.18</v>
      </c>
      <c r="AH6" s="275">
        <v>45839</v>
      </c>
      <c r="AI6" s="281">
        <v>843</v>
      </c>
      <c r="AJ6" s="280">
        <v>0</v>
      </c>
      <c r="AK6" s="278"/>
      <c r="AL6" s="279"/>
      <c r="AM6" s="225"/>
      <c r="AN6" s="225"/>
      <c r="AO6" s="225">
        <f>SUM(AJ6:AN6)</f>
        <v>0</v>
      </c>
      <c r="AQ6" s="275">
        <v>45839</v>
      </c>
      <c r="AR6" s="280">
        <v>1757.39</v>
      </c>
      <c r="AS6" s="280">
        <v>541.20000000000005</v>
      </c>
      <c r="AT6" s="280">
        <v>3084.45</v>
      </c>
      <c r="AU6" s="282">
        <v>0</v>
      </c>
      <c r="AV6" s="282">
        <v>60.69</v>
      </c>
      <c r="AW6" s="282">
        <v>18.29</v>
      </c>
      <c r="AX6" s="278"/>
      <c r="AY6" s="279"/>
      <c r="AZ6" s="225"/>
      <c r="BA6" s="225"/>
      <c r="BB6" s="225">
        <f>SUM(AW6:BA6)</f>
        <v>18.29</v>
      </c>
      <c r="BD6" s="275">
        <v>45839</v>
      </c>
      <c r="BE6" s="277">
        <v>8282.4699999999993</v>
      </c>
      <c r="BF6" s="280">
        <v>0</v>
      </c>
      <c r="BG6" s="278"/>
      <c r="BH6" s="88"/>
      <c r="BI6" s="225"/>
      <c r="BJ6" s="225"/>
      <c r="BK6" s="225">
        <f>SUM(BF6:BJ6)</f>
        <v>0</v>
      </c>
      <c r="BM6" s="275">
        <v>45839</v>
      </c>
      <c r="BN6" s="277">
        <v>0</v>
      </c>
      <c r="BO6" s="280">
        <v>0</v>
      </c>
      <c r="BP6" s="278"/>
      <c r="BQ6" s="279"/>
      <c r="BR6" s="225"/>
      <c r="BS6" s="225"/>
      <c r="BT6" s="225">
        <f>SUM(BO6:BS6)</f>
        <v>0</v>
      </c>
      <c r="BY6" s="278"/>
    </row>
    <row r="7" spans="2:77" ht="15.75" x14ac:dyDescent="0.25">
      <c r="B7" s="275">
        <v>45840</v>
      </c>
      <c r="C7" s="276">
        <v>1810.55</v>
      </c>
      <c r="D7" s="276">
        <v>1311.05</v>
      </c>
      <c r="E7" s="277">
        <v>5063.74</v>
      </c>
      <c r="F7" s="276">
        <v>26.31</v>
      </c>
      <c r="G7" s="278"/>
      <c r="H7" s="283"/>
      <c r="I7" s="329">
        <v>323.04000000000008</v>
      </c>
      <c r="J7" s="335"/>
      <c r="K7" s="226">
        <f t="shared" ref="K7:K36" si="0">SUM(F7:J7)</f>
        <v>349.35000000000008</v>
      </c>
      <c r="M7" s="275">
        <v>45840</v>
      </c>
      <c r="N7" s="277">
        <v>1123.8499999999999</v>
      </c>
      <c r="O7" s="277">
        <v>0</v>
      </c>
      <c r="P7" s="280">
        <v>0</v>
      </c>
      <c r="Q7" s="280">
        <v>0</v>
      </c>
      <c r="R7" s="280"/>
      <c r="S7" s="278"/>
      <c r="T7" s="283"/>
      <c r="U7" s="226"/>
      <c r="V7" s="226"/>
      <c r="W7" s="226">
        <f t="shared" ref="W7:W36" si="1">SUM(R7:V7)</f>
        <v>0</v>
      </c>
      <c r="Y7" s="275">
        <v>45840</v>
      </c>
      <c r="Z7" s="277">
        <v>628.75</v>
      </c>
      <c r="AA7" s="277">
        <v>380.66</v>
      </c>
      <c r="AB7" s="278"/>
      <c r="AC7" s="283"/>
      <c r="AD7" s="226"/>
      <c r="AE7" s="226"/>
      <c r="AF7" s="226">
        <f t="shared" ref="AF7:AF36" si="2">SUM(AA7:AE7)</f>
        <v>380.66</v>
      </c>
      <c r="AH7" s="275">
        <v>45840</v>
      </c>
      <c r="AI7" s="281">
        <v>722</v>
      </c>
      <c r="AJ7" s="280">
        <v>0</v>
      </c>
      <c r="AK7" s="278"/>
      <c r="AL7" s="283"/>
      <c r="AM7" s="226"/>
      <c r="AN7" s="226"/>
      <c r="AO7" s="226">
        <f t="shared" ref="AO7:AO36" si="3">SUM(AJ7:AN7)</f>
        <v>0</v>
      </c>
      <c r="AQ7" s="275">
        <v>45840</v>
      </c>
      <c r="AR7" s="280">
        <v>1461.49</v>
      </c>
      <c r="AS7" s="280">
        <v>649.78</v>
      </c>
      <c r="AT7" s="280">
        <v>2907.69</v>
      </c>
      <c r="AU7" s="280">
        <v>0</v>
      </c>
      <c r="AV7" s="282">
        <v>30.69</v>
      </c>
      <c r="AW7" s="280">
        <v>0</v>
      </c>
      <c r="AX7" s="278"/>
      <c r="AY7" s="283"/>
      <c r="AZ7" s="226"/>
      <c r="BA7" s="226"/>
      <c r="BB7" s="226">
        <f t="shared" ref="BB7:BB36" si="4">SUM(AW7:BA7)</f>
        <v>0</v>
      </c>
      <c r="BD7" s="275">
        <v>45840</v>
      </c>
      <c r="BE7" s="277">
        <v>8005.65</v>
      </c>
      <c r="BF7" s="280">
        <v>0</v>
      </c>
      <c r="BG7" s="278"/>
      <c r="BH7" s="88"/>
      <c r="BI7" s="226"/>
      <c r="BJ7" s="226"/>
      <c r="BK7" s="226">
        <f t="shared" ref="BK7:BK36" si="5">SUM(BF7:BJ7)</f>
        <v>0</v>
      </c>
      <c r="BM7" s="275">
        <v>45840</v>
      </c>
      <c r="BN7" s="277">
        <v>0</v>
      </c>
      <c r="BO7" s="280">
        <v>0</v>
      </c>
      <c r="BP7" s="278"/>
      <c r="BQ7" s="283"/>
      <c r="BR7" s="226"/>
      <c r="BS7" s="226"/>
      <c r="BT7" s="226">
        <f t="shared" ref="BT7:BT36" si="6">SUM(BO7:BS7)</f>
        <v>0</v>
      </c>
      <c r="BY7" s="278"/>
    </row>
    <row r="8" spans="2:77" ht="15.75" x14ac:dyDescent="0.25">
      <c r="B8" s="275">
        <v>45841</v>
      </c>
      <c r="C8" s="276">
        <v>1456.06</v>
      </c>
      <c r="D8" s="276">
        <v>1681.05</v>
      </c>
      <c r="E8" s="277">
        <v>4156.87</v>
      </c>
      <c r="F8" s="276">
        <v>30.68</v>
      </c>
      <c r="G8" s="278"/>
      <c r="H8" s="283"/>
      <c r="I8" s="329"/>
      <c r="J8" s="335"/>
      <c r="K8" s="226">
        <f t="shared" si="0"/>
        <v>30.68</v>
      </c>
      <c r="M8" s="275">
        <v>45841</v>
      </c>
      <c r="N8" s="277">
        <v>254.45</v>
      </c>
      <c r="O8" s="277">
        <v>184.07</v>
      </c>
      <c r="P8" s="280">
        <v>0</v>
      </c>
      <c r="Q8" s="280">
        <v>208.64</v>
      </c>
      <c r="R8" s="280"/>
      <c r="S8" s="278"/>
      <c r="T8" s="283"/>
      <c r="U8" s="226"/>
      <c r="V8" s="226"/>
      <c r="W8" s="226">
        <f t="shared" si="1"/>
        <v>0</v>
      </c>
      <c r="Y8" s="275">
        <v>45841</v>
      </c>
      <c r="Z8" s="277">
        <v>2035.94</v>
      </c>
      <c r="AA8" s="277">
        <v>913.9</v>
      </c>
      <c r="AB8" s="278"/>
      <c r="AC8" s="283"/>
      <c r="AD8" s="226"/>
      <c r="AE8" s="226"/>
      <c r="AF8" s="226">
        <f t="shared" si="2"/>
        <v>913.9</v>
      </c>
      <c r="AH8" s="275">
        <v>45841</v>
      </c>
      <c r="AI8" s="281">
        <v>1038.5999999999999</v>
      </c>
      <c r="AJ8" s="280">
        <v>0</v>
      </c>
      <c r="AK8" s="278"/>
      <c r="AL8" s="283"/>
      <c r="AM8" s="226"/>
      <c r="AN8" s="226"/>
      <c r="AO8" s="226">
        <f t="shared" si="3"/>
        <v>0</v>
      </c>
      <c r="AQ8" s="275">
        <v>45841</v>
      </c>
      <c r="AR8" s="280">
        <v>1431.5</v>
      </c>
      <c r="AS8" s="280">
        <v>1033.99</v>
      </c>
      <c r="AT8" s="280">
        <v>3370.41</v>
      </c>
      <c r="AU8" s="280">
        <v>0</v>
      </c>
      <c r="AV8" s="282">
        <v>27.02</v>
      </c>
      <c r="AW8" s="280">
        <v>0</v>
      </c>
      <c r="AX8" s="278"/>
      <c r="AY8" s="283"/>
      <c r="AZ8" s="226"/>
      <c r="BA8" s="226"/>
      <c r="BB8" s="226">
        <f t="shared" si="4"/>
        <v>0</v>
      </c>
      <c r="BD8" s="275">
        <v>45841</v>
      </c>
      <c r="BE8" s="277">
        <v>8954.26</v>
      </c>
      <c r="BF8" s="280">
        <v>0</v>
      </c>
      <c r="BG8" s="278"/>
      <c r="BH8" s="88"/>
      <c r="BI8" s="226"/>
      <c r="BJ8" s="226"/>
      <c r="BK8" s="226">
        <f t="shared" si="5"/>
        <v>0</v>
      </c>
      <c r="BM8" s="275">
        <v>45841</v>
      </c>
      <c r="BN8" s="277">
        <v>0</v>
      </c>
      <c r="BO8" s="280">
        <v>0</v>
      </c>
      <c r="BP8" s="278"/>
      <c r="BQ8" s="283"/>
      <c r="BR8" s="226"/>
      <c r="BS8" s="226"/>
      <c r="BT8" s="226">
        <f t="shared" si="6"/>
        <v>0</v>
      </c>
      <c r="BY8" s="278"/>
    </row>
    <row r="9" spans="2:77" ht="15.75" x14ac:dyDescent="0.25">
      <c r="B9" s="275">
        <v>45842</v>
      </c>
      <c r="C9" s="276">
        <v>2853.11</v>
      </c>
      <c r="D9" s="276">
        <v>1004.73</v>
      </c>
      <c r="E9" s="277">
        <v>4147.24</v>
      </c>
      <c r="F9" s="276">
        <v>2</v>
      </c>
      <c r="G9" s="278"/>
      <c r="H9" s="283"/>
      <c r="I9" s="329">
        <v>47.860000000000014</v>
      </c>
      <c r="J9" s="335">
        <v>30.674514300000013</v>
      </c>
      <c r="K9" s="226">
        <f t="shared" si="0"/>
        <v>80.534514300000026</v>
      </c>
      <c r="M9" s="275">
        <v>45842</v>
      </c>
      <c r="N9" s="277">
        <v>50.05</v>
      </c>
      <c r="O9" s="277">
        <v>204.3</v>
      </c>
      <c r="P9" s="280">
        <v>200</v>
      </c>
      <c r="Q9" s="280">
        <v>164.33</v>
      </c>
      <c r="R9" s="280"/>
      <c r="S9" s="278"/>
      <c r="T9" s="283"/>
      <c r="U9" s="226"/>
      <c r="V9" s="226"/>
      <c r="W9" s="226">
        <f t="shared" si="1"/>
        <v>0</v>
      </c>
      <c r="Y9" s="275">
        <v>45842</v>
      </c>
      <c r="Z9" s="277">
        <v>3410.48</v>
      </c>
      <c r="AA9" s="277">
        <v>872.22</v>
      </c>
      <c r="AB9" s="278"/>
      <c r="AC9" s="283"/>
      <c r="AD9" s="226"/>
      <c r="AE9" s="226"/>
      <c r="AF9" s="226">
        <f t="shared" si="2"/>
        <v>872.22</v>
      </c>
      <c r="AH9" s="275">
        <v>45842</v>
      </c>
      <c r="AI9" s="281">
        <v>669</v>
      </c>
      <c r="AJ9" s="280">
        <v>0</v>
      </c>
      <c r="AK9" s="278"/>
      <c r="AL9" s="283"/>
      <c r="AM9" s="226"/>
      <c r="AN9" s="226"/>
      <c r="AO9" s="226">
        <f t="shared" si="3"/>
        <v>0</v>
      </c>
      <c r="AQ9" s="275">
        <v>45842</v>
      </c>
      <c r="AR9" s="280">
        <v>1874.49</v>
      </c>
      <c r="AS9" s="280">
        <v>666.11</v>
      </c>
      <c r="AT9" s="280">
        <v>3858.38</v>
      </c>
      <c r="AU9" s="280">
        <v>0</v>
      </c>
      <c r="AV9" s="282">
        <v>41.04</v>
      </c>
      <c r="AW9" s="280">
        <v>0</v>
      </c>
      <c r="AX9" s="278"/>
      <c r="AY9" s="283"/>
      <c r="AZ9" s="226"/>
      <c r="BA9" s="226"/>
      <c r="BB9" s="226">
        <f t="shared" si="4"/>
        <v>0</v>
      </c>
      <c r="BD9" s="275">
        <v>45842</v>
      </c>
      <c r="BE9" s="277">
        <v>9865.35</v>
      </c>
      <c r="BF9" s="280">
        <v>0</v>
      </c>
      <c r="BG9" s="278"/>
      <c r="BH9" s="88"/>
      <c r="BI9" s="226"/>
      <c r="BJ9" s="226"/>
      <c r="BK9" s="226">
        <f t="shared" si="5"/>
        <v>0</v>
      </c>
      <c r="BM9" s="275">
        <v>45842</v>
      </c>
      <c r="BN9" s="277">
        <v>0</v>
      </c>
      <c r="BO9" s="280">
        <v>0</v>
      </c>
      <c r="BP9" s="278"/>
      <c r="BQ9" s="283"/>
      <c r="BR9" s="226"/>
      <c r="BS9" s="226"/>
      <c r="BT9" s="226">
        <f t="shared" si="6"/>
        <v>0</v>
      </c>
      <c r="BY9" s="278"/>
    </row>
    <row r="10" spans="2:77" ht="15.75" x14ac:dyDescent="0.25">
      <c r="B10" s="275">
        <v>45843</v>
      </c>
      <c r="C10" s="276">
        <v>2697.94</v>
      </c>
      <c r="D10" s="276">
        <v>1369.16</v>
      </c>
      <c r="E10" s="277">
        <v>4284.24</v>
      </c>
      <c r="F10" s="276">
        <v>44.65</v>
      </c>
      <c r="G10" s="278"/>
      <c r="H10" s="283"/>
      <c r="I10" s="329"/>
      <c r="J10" s="335"/>
      <c r="K10" s="226">
        <f t="shared" si="0"/>
        <v>44.65</v>
      </c>
      <c r="M10" s="275">
        <v>45843</v>
      </c>
      <c r="N10" s="277">
        <v>236</v>
      </c>
      <c r="O10" s="277">
        <v>111.05</v>
      </c>
      <c r="P10" s="280">
        <v>400</v>
      </c>
      <c r="Q10" s="280">
        <v>183.83</v>
      </c>
      <c r="R10" s="280"/>
      <c r="S10" s="278"/>
      <c r="T10" s="283"/>
      <c r="U10" s="226"/>
      <c r="V10" s="226"/>
      <c r="W10" s="226">
        <f t="shared" si="1"/>
        <v>0</v>
      </c>
      <c r="Y10" s="275">
        <v>45843</v>
      </c>
      <c r="Z10" s="277">
        <v>1113.4000000000001</v>
      </c>
      <c r="AA10" s="277">
        <v>422.68</v>
      </c>
      <c r="AB10" s="278"/>
      <c r="AC10" s="283"/>
      <c r="AD10" s="226"/>
      <c r="AE10" s="226"/>
      <c r="AF10" s="226">
        <f t="shared" si="2"/>
        <v>422.68</v>
      </c>
      <c r="AH10" s="275">
        <v>45843</v>
      </c>
      <c r="AI10" s="281">
        <v>943.5</v>
      </c>
      <c r="AJ10" s="280">
        <v>0</v>
      </c>
      <c r="AK10" s="278"/>
      <c r="AL10" s="283"/>
      <c r="AM10" s="226"/>
      <c r="AN10" s="226"/>
      <c r="AO10" s="226">
        <f t="shared" si="3"/>
        <v>0</v>
      </c>
      <c r="AQ10" s="275">
        <v>45843</v>
      </c>
      <c r="AR10" s="280">
        <v>1436.91</v>
      </c>
      <c r="AS10" s="280">
        <v>515.78</v>
      </c>
      <c r="AT10" s="280">
        <v>3727.27</v>
      </c>
      <c r="AU10" s="280">
        <v>0</v>
      </c>
      <c r="AV10" s="282">
        <v>48.65</v>
      </c>
      <c r="AW10" s="280">
        <v>0</v>
      </c>
      <c r="AX10" s="278"/>
      <c r="AY10" s="283"/>
      <c r="AZ10" s="226"/>
      <c r="BA10" s="226"/>
      <c r="BB10" s="226">
        <f t="shared" si="4"/>
        <v>0</v>
      </c>
      <c r="BD10" s="275">
        <v>45843</v>
      </c>
      <c r="BE10" s="277">
        <v>8190.05</v>
      </c>
      <c r="BF10" s="280">
        <v>0</v>
      </c>
      <c r="BG10" s="278"/>
      <c r="BH10" s="88"/>
      <c r="BI10" s="226"/>
      <c r="BJ10" s="226"/>
      <c r="BK10" s="226">
        <f t="shared" si="5"/>
        <v>0</v>
      </c>
      <c r="BM10" s="275">
        <v>45843</v>
      </c>
      <c r="BN10" s="277">
        <v>0</v>
      </c>
      <c r="BO10" s="280">
        <v>0</v>
      </c>
      <c r="BP10" s="278"/>
      <c r="BQ10" s="283"/>
      <c r="BR10" s="226"/>
      <c r="BS10" s="226"/>
      <c r="BT10" s="226">
        <f t="shared" si="6"/>
        <v>0</v>
      </c>
      <c r="BY10" s="278"/>
    </row>
    <row r="11" spans="2:77" ht="15.75" x14ac:dyDescent="0.25">
      <c r="B11" s="275">
        <v>45844</v>
      </c>
      <c r="C11" s="276">
        <v>745.29</v>
      </c>
      <c r="D11" s="276">
        <v>737.74</v>
      </c>
      <c r="E11" s="277">
        <v>956.03</v>
      </c>
      <c r="F11" s="276">
        <v>0</v>
      </c>
      <c r="G11" s="278"/>
      <c r="H11" s="283"/>
      <c r="I11" s="329"/>
      <c r="J11" s="335"/>
      <c r="K11" s="226">
        <f t="shared" si="0"/>
        <v>0</v>
      </c>
      <c r="M11" s="275">
        <v>45844</v>
      </c>
      <c r="N11" s="277">
        <v>1436.85</v>
      </c>
      <c r="O11" s="277">
        <v>189.6</v>
      </c>
      <c r="P11" s="280">
        <v>567.85</v>
      </c>
      <c r="Q11" s="280">
        <v>98.07</v>
      </c>
      <c r="R11" s="280"/>
      <c r="S11" s="278"/>
      <c r="T11" s="283"/>
      <c r="U11" s="226"/>
      <c r="V11" s="226"/>
      <c r="W11" s="226">
        <f t="shared" si="1"/>
        <v>0</v>
      </c>
      <c r="Y11" s="275">
        <v>45844</v>
      </c>
      <c r="Z11" s="277">
        <v>1350.94</v>
      </c>
      <c r="AA11" s="277">
        <v>479.99</v>
      </c>
      <c r="AB11" s="278"/>
      <c r="AC11" s="283"/>
      <c r="AD11" s="226"/>
      <c r="AE11" s="226"/>
      <c r="AF11" s="226">
        <f t="shared" si="2"/>
        <v>479.99</v>
      </c>
      <c r="AH11" s="275">
        <v>45844</v>
      </c>
      <c r="AI11" s="281">
        <v>823</v>
      </c>
      <c r="AJ11" s="280">
        <v>0</v>
      </c>
      <c r="AK11" s="278"/>
      <c r="AL11" s="283"/>
      <c r="AM11" s="226"/>
      <c r="AN11" s="226"/>
      <c r="AO11" s="226">
        <f t="shared" si="3"/>
        <v>0</v>
      </c>
      <c r="AQ11" s="275">
        <v>45844</v>
      </c>
      <c r="AR11" s="280">
        <v>703.68</v>
      </c>
      <c r="AS11" s="280">
        <v>428.11</v>
      </c>
      <c r="AT11" s="280">
        <v>3205.59</v>
      </c>
      <c r="AU11" s="282">
        <v>0</v>
      </c>
      <c r="AV11" s="282">
        <v>38.950000000000003</v>
      </c>
      <c r="AW11" s="282">
        <v>17.38</v>
      </c>
      <c r="AX11" s="278"/>
      <c r="AY11" s="283"/>
      <c r="AZ11" s="226"/>
      <c r="BA11" s="226"/>
      <c r="BB11" s="226">
        <f t="shared" si="4"/>
        <v>17.38</v>
      </c>
      <c r="BD11" s="275">
        <v>45844</v>
      </c>
      <c r="BE11" s="277">
        <v>2437.8000000000002</v>
      </c>
      <c r="BF11" s="280">
        <v>0</v>
      </c>
      <c r="BG11" s="278"/>
      <c r="BH11" s="88"/>
      <c r="BI11" s="226"/>
      <c r="BJ11" s="226"/>
      <c r="BK11" s="226">
        <f t="shared" si="5"/>
        <v>0</v>
      </c>
      <c r="BM11" s="275">
        <v>45844</v>
      </c>
      <c r="BN11" s="277">
        <v>0</v>
      </c>
      <c r="BO11" s="280">
        <v>0</v>
      </c>
      <c r="BP11" s="278"/>
      <c r="BQ11" s="283"/>
      <c r="BR11" s="226"/>
      <c r="BS11" s="226"/>
      <c r="BT11" s="226">
        <f t="shared" si="6"/>
        <v>0</v>
      </c>
      <c r="BY11" s="278"/>
    </row>
    <row r="12" spans="2:77" ht="15.75" x14ac:dyDescent="0.25">
      <c r="B12" s="275">
        <v>45845</v>
      </c>
      <c r="C12" s="276">
        <v>1630.61</v>
      </c>
      <c r="D12" s="276">
        <v>817.26</v>
      </c>
      <c r="E12" s="277">
        <v>3657.1</v>
      </c>
      <c r="F12" s="276">
        <v>0</v>
      </c>
      <c r="G12" s="278"/>
      <c r="H12" s="283"/>
      <c r="I12" s="329"/>
      <c r="J12" s="335"/>
      <c r="K12" s="226">
        <f t="shared" si="0"/>
        <v>0</v>
      </c>
      <c r="M12" s="275">
        <v>45845</v>
      </c>
      <c r="N12" s="277">
        <v>640.95000000000005</v>
      </c>
      <c r="O12" s="277">
        <v>96.14</v>
      </c>
      <c r="P12" s="280">
        <v>955.91</v>
      </c>
      <c r="Q12" s="280">
        <v>175.78</v>
      </c>
      <c r="R12" s="280"/>
      <c r="S12" s="278"/>
      <c r="T12" s="283"/>
      <c r="U12" s="226"/>
      <c r="V12" s="226"/>
      <c r="W12" s="226">
        <f t="shared" si="1"/>
        <v>0</v>
      </c>
      <c r="Y12" s="275">
        <v>45845</v>
      </c>
      <c r="Z12" s="277">
        <v>2751.19</v>
      </c>
      <c r="AA12" s="277">
        <v>958.35</v>
      </c>
      <c r="AB12" s="278"/>
      <c r="AC12" s="283"/>
      <c r="AD12" s="226"/>
      <c r="AE12" s="226"/>
      <c r="AF12" s="226">
        <f t="shared" si="2"/>
        <v>958.35</v>
      </c>
      <c r="AH12" s="275">
        <v>45845</v>
      </c>
      <c r="AI12" s="281">
        <v>1024.0999999999999</v>
      </c>
      <c r="AJ12" s="280">
        <v>0</v>
      </c>
      <c r="AK12" s="278"/>
      <c r="AL12" s="283"/>
      <c r="AM12" s="226"/>
      <c r="AN12" s="226"/>
      <c r="AO12" s="226">
        <f t="shared" si="3"/>
        <v>0</v>
      </c>
      <c r="AQ12" s="275">
        <v>45845</v>
      </c>
      <c r="AR12" s="280">
        <v>1536.43</v>
      </c>
      <c r="AS12" s="280">
        <v>299.5</v>
      </c>
      <c r="AT12" s="280">
        <v>2618.62</v>
      </c>
      <c r="AU12" s="280">
        <v>0</v>
      </c>
      <c r="AV12" s="282">
        <v>33.909999999999997</v>
      </c>
      <c r="AW12" s="280">
        <v>0</v>
      </c>
      <c r="AX12" s="278"/>
      <c r="AY12" s="283"/>
      <c r="AZ12" s="226"/>
      <c r="BA12" s="226"/>
      <c r="BB12" s="226">
        <f t="shared" si="4"/>
        <v>0</v>
      </c>
      <c r="BD12" s="275">
        <v>45845</v>
      </c>
      <c r="BE12" s="277">
        <v>11365.08</v>
      </c>
      <c r="BF12" s="280">
        <v>0</v>
      </c>
      <c r="BG12" s="278"/>
      <c r="BH12" s="88"/>
      <c r="BI12" s="226"/>
      <c r="BJ12" s="226"/>
      <c r="BK12" s="226">
        <f t="shared" si="5"/>
        <v>0</v>
      </c>
      <c r="BM12" s="275">
        <v>45845</v>
      </c>
      <c r="BN12" s="277">
        <v>0</v>
      </c>
      <c r="BO12" s="280">
        <v>0</v>
      </c>
      <c r="BP12" s="278"/>
      <c r="BQ12" s="283"/>
      <c r="BR12" s="226"/>
      <c r="BS12" s="226"/>
      <c r="BT12" s="226">
        <f t="shared" si="6"/>
        <v>0</v>
      </c>
      <c r="BY12" s="278"/>
    </row>
    <row r="13" spans="2:77" ht="15.75" x14ac:dyDescent="0.25">
      <c r="B13" s="275">
        <v>45846</v>
      </c>
      <c r="C13" s="276">
        <v>1763.3</v>
      </c>
      <c r="D13" s="276">
        <v>1039.79</v>
      </c>
      <c r="E13" s="277">
        <v>3443.19</v>
      </c>
      <c r="F13" s="276">
        <v>0</v>
      </c>
      <c r="G13" s="278"/>
      <c r="H13" s="283"/>
      <c r="I13" s="329"/>
      <c r="J13" s="335"/>
      <c r="K13" s="226">
        <f t="shared" si="0"/>
        <v>0</v>
      </c>
      <c r="M13" s="275">
        <v>45846</v>
      </c>
      <c r="N13" s="277">
        <v>276.39999999999998</v>
      </c>
      <c r="O13" s="277">
        <v>50</v>
      </c>
      <c r="P13" s="280">
        <v>2770.32</v>
      </c>
      <c r="Q13" s="280">
        <v>237.41</v>
      </c>
      <c r="R13" s="280"/>
      <c r="S13" s="278"/>
      <c r="T13" s="283"/>
      <c r="U13" s="226"/>
      <c r="V13" s="226"/>
      <c r="W13" s="226">
        <f t="shared" si="1"/>
        <v>0</v>
      </c>
      <c r="Y13" s="275">
        <v>45846</v>
      </c>
      <c r="Z13" s="277">
        <v>2960.35</v>
      </c>
      <c r="AA13" s="277">
        <v>956.77</v>
      </c>
      <c r="AB13" s="278"/>
      <c r="AC13" s="283"/>
      <c r="AD13" s="226"/>
      <c r="AE13" s="226"/>
      <c r="AF13" s="226">
        <f t="shared" si="2"/>
        <v>956.77</v>
      </c>
      <c r="AH13" s="275">
        <v>45846</v>
      </c>
      <c r="AI13" s="281">
        <v>714</v>
      </c>
      <c r="AJ13" s="280">
        <v>0</v>
      </c>
      <c r="AK13" s="278"/>
      <c r="AL13" s="283"/>
      <c r="AM13" s="226"/>
      <c r="AN13" s="226"/>
      <c r="AO13" s="226">
        <f t="shared" si="3"/>
        <v>0</v>
      </c>
      <c r="AQ13" s="275">
        <v>45846</v>
      </c>
      <c r="AR13" s="280">
        <v>887.76</v>
      </c>
      <c r="AS13" s="280">
        <v>346.76</v>
      </c>
      <c r="AT13" s="280">
        <v>3267.94</v>
      </c>
      <c r="AU13" s="280">
        <v>0</v>
      </c>
      <c r="AV13" s="282">
        <v>29.75</v>
      </c>
      <c r="AW13" s="280">
        <v>0</v>
      </c>
      <c r="AX13" s="278"/>
      <c r="AY13" s="283"/>
      <c r="AZ13" s="226"/>
      <c r="BA13" s="226"/>
      <c r="BB13" s="226">
        <f t="shared" si="4"/>
        <v>0</v>
      </c>
      <c r="BD13" s="275">
        <v>45846</v>
      </c>
      <c r="BE13" s="277">
        <v>8922.66</v>
      </c>
      <c r="BF13" s="280">
        <v>0</v>
      </c>
      <c r="BG13" s="278"/>
      <c r="BH13" s="88"/>
      <c r="BI13" s="226"/>
      <c r="BJ13" s="226"/>
      <c r="BK13" s="226">
        <f t="shared" si="5"/>
        <v>0</v>
      </c>
      <c r="BM13" s="275">
        <v>45846</v>
      </c>
      <c r="BN13" s="277">
        <v>0</v>
      </c>
      <c r="BO13" s="280">
        <v>0</v>
      </c>
      <c r="BP13" s="278"/>
      <c r="BQ13" s="283"/>
      <c r="BR13" s="226"/>
      <c r="BS13" s="226"/>
      <c r="BT13" s="226">
        <f t="shared" si="6"/>
        <v>0</v>
      </c>
      <c r="BY13" s="278"/>
    </row>
    <row r="14" spans="2:77" ht="15.75" x14ac:dyDescent="0.25">
      <c r="B14" s="275">
        <v>45847</v>
      </c>
      <c r="C14" s="276">
        <v>2879.04</v>
      </c>
      <c r="D14" s="276">
        <v>1229.4000000000001</v>
      </c>
      <c r="E14" s="277">
        <v>4452.71</v>
      </c>
      <c r="F14" s="276">
        <v>17.260000000000002</v>
      </c>
      <c r="G14" s="278"/>
      <c r="H14" s="283"/>
      <c r="I14" s="329"/>
      <c r="J14" s="335">
        <v>13.779121199999992</v>
      </c>
      <c r="K14" s="226">
        <f t="shared" si="0"/>
        <v>31.039121199999993</v>
      </c>
      <c r="M14" s="275">
        <v>45847</v>
      </c>
      <c r="N14" s="277">
        <v>445.75</v>
      </c>
      <c r="O14" s="277">
        <v>283.05</v>
      </c>
      <c r="P14" s="280">
        <v>1105.08</v>
      </c>
      <c r="Q14" s="280">
        <v>133.1</v>
      </c>
      <c r="R14" s="280"/>
      <c r="S14" s="278"/>
      <c r="T14" s="283"/>
      <c r="U14" s="226"/>
      <c r="V14" s="226"/>
      <c r="W14" s="226">
        <f t="shared" si="1"/>
        <v>0</v>
      </c>
      <c r="Y14" s="275">
        <v>45847</v>
      </c>
      <c r="Z14" s="277">
        <v>3363.21</v>
      </c>
      <c r="AA14" s="277">
        <v>1157.73</v>
      </c>
      <c r="AB14" s="278"/>
      <c r="AC14" s="283"/>
      <c r="AD14" s="226"/>
      <c r="AE14" s="226"/>
      <c r="AF14" s="226">
        <f t="shared" si="2"/>
        <v>1157.73</v>
      </c>
      <c r="AH14" s="275">
        <v>45847</v>
      </c>
      <c r="AI14" s="281">
        <v>758</v>
      </c>
      <c r="AJ14" s="280">
        <v>0</v>
      </c>
      <c r="AK14" s="278"/>
      <c r="AL14" s="283"/>
      <c r="AM14" s="226"/>
      <c r="AN14" s="226"/>
      <c r="AO14" s="226">
        <f t="shared" si="3"/>
        <v>0</v>
      </c>
      <c r="AQ14" s="275">
        <v>45847</v>
      </c>
      <c r="AR14" s="280">
        <v>1327.11</v>
      </c>
      <c r="AS14" s="280">
        <v>428.54</v>
      </c>
      <c r="AT14" s="280">
        <v>3946.86</v>
      </c>
      <c r="AU14" s="280">
        <v>0</v>
      </c>
      <c r="AV14" s="282">
        <v>42.7</v>
      </c>
      <c r="AW14" s="280">
        <v>0</v>
      </c>
      <c r="AX14" s="278"/>
      <c r="AY14" s="283"/>
      <c r="AZ14" s="226"/>
      <c r="BA14" s="226"/>
      <c r="BB14" s="226">
        <f t="shared" si="4"/>
        <v>0</v>
      </c>
      <c r="BD14" s="275">
        <v>45847</v>
      </c>
      <c r="BE14" s="277">
        <v>8905.64</v>
      </c>
      <c r="BF14" s="280">
        <v>0</v>
      </c>
      <c r="BG14" s="278"/>
      <c r="BH14" s="88"/>
      <c r="BI14" s="226"/>
      <c r="BJ14" s="226"/>
      <c r="BK14" s="226">
        <f t="shared" si="5"/>
        <v>0</v>
      </c>
      <c r="BM14" s="275">
        <v>45847</v>
      </c>
      <c r="BN14" s="277">
        <v>0</v>
      </c>
      <c r="BO14" s="280">
        <v>0</v>
      </c>
      <c r="BP14" s="278"/>
      <c r="BQ14" s="283"/>
      <c r="BR14" s="226"/>
      <c r="BS14" s="226"/>
      <c r="BT14" s="226">
        <f t="shared" si="6"/>
        <v>0</v>
      </c>
      <c r="BY14" s="278"/>
    </row>
    <row r="15" spans="2:77" ht="15.75" x14ac:dyDescent="0.25">
      <c r="B15" s="275">
        <v>45848</v>
      </c>
      <c r="C15" s="276">
        <v>2097.09</v>
      </c>
      <c r="D15" s="276">
        <v>1296.22</v>
      </c>
      <c r="E15" s="277">
        <v>4202.3900000000003</v>
      </c>
      <c r="F15" s="276">
        <v>4.8</v>
      </c>
      <c r="G15" s="278"/>
      <c r="H15" s="283"/>
      <c r="I15" s="329">
        <v>124.63999999999999</v>
      </c>
      <c r="J15" s="335"/>
      <c r="K15" s="226">
        <f t="shared" si="0"/>
        <v>129.44</v>
      </c>
      <c r="M15" s="275">
        <v>45848</v>
      </c>
      <c r="N15" s="277">
        <v>895.25</v>
      </c>
      <c r="O15" s="277">
        <v>61.83</v>
      </c>
      <c r="P15" s="280">
        <v>1267</v>
      </c>
      <c r="Q15" s="280">
        <v>237.37</v>
      </c>
      <c r="R15" s="280"/>
      <c r="S15" s="278"/>
      <c r="T15" s="283"/>
      <c r="U15" s="226"/>
      <c r="V15" s="226"/>
      <c r="W15" s="226">
        <f t="shared" si="1"/>
        <v>0</v>
      </c>
      <c r="Y15" s="275">
        <v>45848</v>
      </c>
      <c r="Z15" s="277">
        <v>3086.64</v>
      </c>
      <c r="AA15" s="277">
        <v>1294.22</v>
      </c>
      <c r="AB15" s="278"/>
      <c r="AC15" s="283"/>
      <c r="AD15" s="226"/>
      <c r="AE15" s="226"/>
      <c r="AF15" s="226">
        <f t="shared" si="2"/>
        <v>1294.22</v>
      </c>
      <c r="AH15" s="275">
        <v>45848</v>
      </c>
      <c r="AI15" s="281">
        <v>825.8</v>
      </c>
      <c r="AJ15" s="280">
        <v>0</v>
      </c>
      <c r="AK15" s="278"/>
      <c r="AL15" s="283"/>
      <c r="AM15" s="226"/>
      <c r="AN15" s="226"/>
      <c r="AO15" s="226">
        <f t="shared" si="3"/>
        <v>0</v>
      </c>
      <c r="AQ15" s="275">
        <v>45848</v>
      </c>
      <c r="AR15" s="280">
        <v>1370.55</v>
      </c>
      <c r="AS15" s="280">
        <v>438.94</v>
      </c>
      <c r="AT15" s="280">
        <v>3072.82</v>
      </c>
      <c r="AU15" s="280">
        <v>0</v>
      </c>
      <c r="AV15" s="282">
        <v>38.57</v>
      </c>
      <c r="AW15" s="280">
        <v>0</v>
      </c>
      <c r="AX15" s="278"/>
      <c r="AY15" s="283"/>
      <c r="AZ15" s="226"/>
      <c r="BA15" s="226"/>
      <c r="BB15" s="226">
        <f t="shared" si="4"/>
        <v>0</v>
      </c>
      <c r="BD15" s="275">
        <v>45848</v>
      </c>
      <c r="BE15" s="277">
        <v>10374.57</v>
      </c>
      <c r="BF15" s="280">
        <v>0</v>
      </c>
      <c r="BG15" s="278"/>
      <c r="BH15" s="88"/>
      <c r="BI15" s="226"/>
      <c r="BJ15" s="226"/>
      <c r="BK15" s="226">
        <f t="shared" si="5"/>
        <v>0</v>
      </c>
      <c r="BM15" s="275">
        <v>45848</v>
      </c>
      <c r="BN15" s="277">
        <v>0</v>
      </c>
      <c r="BO15" s="280">
        <v>0</v>
      </c>
      <c r="BP15" s="278"/>
      <c r="BQ15" s="283"/>
      <c r="BR15" s="226"/>
      <c r="BS15" s="226"/>
      <c r="BT15" s="226">
        <f t="shared" si="6"/>
        <v>0</v>
      </c>
      <c r="BY15" s="278"/>
    </row>
    <row r="16" spans="2:77" ht="15.75" x14ac:dyDescent="0.25">
      <c r="B16" s="275">
        <v>45849</v>
      </c>
      <c r="C16" s="276">
        <v>2315.3000000000002</v>
      </c>
      <c r="D16" s="276">
        <v>1029.22</v>
      </c>
      <c r="E16" s="277">
        <v>4784.2299999999996</v>
      </c>
      <c r="F16" s="276">
        <v>0</v>
      </c>
      <c r="G16" s="278"/>
      <c r="H16" s="283"/>
      <c r="I16" s="329"/>
      <c r="J16" s="335"/>
      <c r="K16" s="226">
        <f t="shared" si="0"/>
        <v>0</v>
      </c>
      <c r="M16" s="275">
        <v>45849</v>
      </c>
      <c r="N16" s="277">
        <v>165.25</v>
      </c>
      <c r="O16" s="277">
        <v>30</v>
      </c>
      <c r="P16" s="280">
        <v>580.21</v>
      </c>
      <c r="Q16" s="280">
        <v>140.65</v>
      </c>
      <c r="R16" s="280"/>
      <c r="S16" s="278"/>
      <c r="T16" s="283"/>
      <c r="U16" s="226"/>
      <c r="V16" s="226"/>
      <c r="W16" s="226">
        <f t="shared" si="1"/>
        <v>0</v>
      </c>
      <c r="Y16" s="275">
        <v>45849</v>
      </c>
      <c r="Z16" s="277">
        <v>2629.23</v>
      </c>
      <c r="AA16" s="277">
        <v>863.77</v>
      </c>
      <c r="AB16" s="278"/>
      <c r="AC16" s="283"/>
      <c r="AD16" s="226"/>
      <c r="AE16" s="226"/>
      <c r="AF16" s="226">
        <f t="shared" si="2"/>
        <v>863.77</v>
      </c>
      <c r="AH16" s="275">
        <v>45849</v>
      </c>
      <c r="AI16" s="281">
        <v>597.29999999999995</v>
      </c>
      <c r="AJ16" s="280">
        <v>0</v>
      </c>
      <c r="AK16" s="278"/>
      <c r="AL16" s="283"/>
      <c r="AM16" s="226"/>
      <c r="AN16" s="226"/>
      <c r="AO16" s="226">
        <f t="shared" si="3"/>
        <v>0</v>
      </c>
      <c r="AQ16" s="275">
        <v>45849</v>
      </c>
      <c r="AR16" s="280">
        <v>1310.6199999999999</v>
      </c>
      <c r="AS16" s="280">
        <v>479.63</v>
      </c>
      <c r="AT16" s="280">
        <v>4281.37</v>
      </c>
      <c r="AU16" s="280">
        <v>0</v>
      </c>
      <c r="AV16" s="280">
        <v>25.28</v>
      </c>
      <c r="AW16" s="280">
        <v>0</v>
      </c>
      <c r="AX16" s="278"/>
      <c r="AY16" s="283"/>
      <c r="AZ16" s="226"/>
      <c r="BA16" s="226"/>
      <c r="BB16" s="226">
        <f t="shared" si="4"/>
        <v>0</v>
      </c>
      <c r="BD16" s="275">
        <v>45849</v>
      </c>
      <c r="BE16" s="277">
        <v>7804.94</v>
      </c>
      <c r="BF16" s="280">
        <v>0</v>
      </c>
      <c r="BG16" s="278"/>
      <c r="BH16" s="88"/>
      <c r="BI16" s="226"/>
      <c r="BJ16" s="226"/>
      <c r="BK16" s="226">
        <f t="shared" si="5"/>
        <v>0</v>
      </c>
      <c r="BM16" s="275">
        <v>45849</v>
      </c>
      <c r="BN16" s="277">
        <v>0</v>
      </c>
      <c r="BO16" s="280">
        <v>0</v>
      </c>
      <c r="BP16" s="278"/>
      <c r="BQ16" s="283"/>
      <c r="BR16" s="226"/>
      <c r="BS16" s="226"/>
      <c r="BT16" s="226">
        <f t="shared" si="6"/>
        <v>0</v>
      </c>
      <c r="BY16" s="278"/>
    </row>
    <row r="17" spans="2:77" ht="15.75" x14ac:dyDescent="0.25">
      <c r="B17" s="275">
        <v>45850</v>
      </c>
      <c r="C17" s="276">
        <v>1372.66</v>
      </c>
      <c r="D17" s="276">
        <v>940.56</v>
      </c>
      <c r="E17" s="277">
        <v>4710.43</v>
      </c>
      <c r="F17" s="276">
        <v>53.57</v>
      </c>
      <c r="G17" s="278"/>
      <c r="H17" s="283"/>
      <c r="I17" s="329"/>
      <c r="J17" s="335">
        <v>32.005327900000026</v>
      </c>
      <c r="K17" s="226">
        <f t="shared" si="0"/>
        <v>85.575327900000019</v>
      </c>
      <c r="M17" s="275">
        <v>45850</v>
      </c>
      <c r="N17" s="277">
        <v>341.75</v>
      </c>
      <c r="O17" s="277">
        <v>163.69999999999999</v>
      </c>
      <c r="P17" s="280">
        <v>0</v>
      </c>
      <c r="Q17" s="280">
        <v>8.7100000000000009</v>
      </c>
      <c r="R17" s="280"/>
      <c r="S17" s="278"/>
      <c r="T17" s="283"/>
      <c r="U17" s="226"/>
      <c r="V17" s="226"/>
      <c r="W17" s="226">
        <f t="shared" si="1"/>
        <v>0</v>
      </c>
      <c r="Y17" s="275">
        <v>45850</v>
      </c>
      <c r="Z17" s="277">
        <v>1623.52</v>
      </c>
      <c r="AA17" s="277">
        <v>502.95</v>
      </c>
      <c r="AB17" s="278"/>
      <c r="AC17" s="283"/>
      <c r="AD17" s="226"/>
      <c r="AE17" s="226"/>
      <c r="AF17" s="226">
        <f t="shared" si="2"/>
        <v>502.95</v>
      </c>
      <c r="AH17" s="275">
        <v>45850</v>
      </c>
      <c r="AI17" s="281">
        <v>850.9</v>
      </c>
      <c r="AJ17" s="280">
        <v>0</v>
      </c>
      <c r="AK17" s="278"/>
      <c r="AL17" s="283"/>
      <c r="AM17" s="226"/>
      <c r="AN17" s="226"/>
      <c r="AO17" s="226">
        <f t="shared" si="3"/>
        <v>0</v>
      </c>
      <c r="AQ17" s="275">
        <v>45850</v>
      </c>
      <c r="AR17" s="280">
        <v>1113.8900000000001</v>
      </c>
      <c r="AS17" s="280">
        <v>471.36</v>
      </c>
      <c r="AT17" s="280">
        <v>3346.68</v>
      </c>
      <c r="AU17" s="280">
        <v>0</v>
      </c>
      <c r="AV17" s="280">
        <v>41.76</v>
      </c>
      <c r="AW17" s="280">
        <v>0</v>
      </c>
      <c r="AX17" s="278"/>
      <c r="AY17" s="283"/>
      <c r="AZ17" s="226"/>
      <c r="BA17" s="226"/>
      <c r="BB17" s="226">
        <f t="shared" si="4"/>
        <v>0</v>
      </c>
      <c r="BD17" s="275">
        <v>45850</v>
      </c>
      <c r="BE17" s="277">
        <v>9290.91</v>
      </c>
      <c r="BF17" s="280">
        <v>0</v>
      </c>
      <c r="BG17" s="278"/>
      <c r="BH17" s="88"/>
      <c r="BI17" s="226"/>
      <c r="BJ17" s="226"/>
      <c r="BK17" s="226">
        <f t="shared" si="5"/>
        <v>0</v>
      </c>
      <c r="BM17" s="275">
        <v>45850</v>
      </c>
      <c r="BN17" s="277">
        <v>0</v>
      </c>
      <c r="BO17" s="280">
        <v>0</v>
      </c>
      <c r="BP17" s="278"/>
      <c r="BQ17" s="283"/>
      <c r="BR17" s="226"/>
      <c r="BS17" s="226"/>
      <c r="BT17" s="226">
        <f t="shared" si="6"/>
        <v>0</v>
      </c>
      <c r="BY17" s="278"/>
    </row>
    <row r="18" spans="2:77" ht="15.75" x14ac:dyDescent="0.25">
      <c r="B18" s="275">
        <v>45851</v>
      </c>
      <c r="C18" s="276">
        <v>1045.18</v>
      </c>
      <c r="D18" s="276">
        <v>480.75</v>
      </c>
      <c r="E18" s="277">
        <v>2602.81</v>
      </c>
      <c r="F18" s="276">
        <v>0</v>
      </c>
      <c r="G18" s="278"/>
      <c r="H18" s="283"/>
      <c r="I18" s="329"/>
      <c r="J18" s="335"/>
      <c r="K18" s="226">
        <f t="shared" si="0"/>
        <v>0</v>
      </c>
      <c r="M18" s="275">
        <v>45851</v>
      </c>
      <c r="N18" s="277">
        <v>624.45000000000005</v>
      </c>
      <c r="O18" s="277">
        <v>194.58</v>
      </c>
      <c r="P18" s="280">
        <v>198.1</v>
      </c>
      <c r="Q18" s="280">
        <v>180.14</v>
      </c>
      <c r="R18" s="280"/>
      <c r="S18" s="278"/>
      <c r="T18" s="283"/>
      <c r="U18" s="226"/>
      <c r="V18" s="226"/>
      <c r="W18" s="226">
        <f t="shared" si="1"/>
        <v>0</v>
      </c>
      <c r="Y18" s="275">
        <v>45851</v>
      </c>
      <c r="Z18" s="277">
        <v>1657.71</v>
      </c>
      <c r="AA18" s="277">
        <v>685.72</v>
      </c>
      <c r="AB18" s="278"/>
      <c r="AC18" s="283"/>
      <c r="AD18" s="226"/>
      <c r="AE18" s="226"/>
      <c r="AF18" s="226">
        <f t="shared" si="2"/>
        <v>685.72</v>
      </c>
      <c r="AH18" s="275">
        <v>45851</v>
      </c>
      <c r="AI18" s="281">
        <v>684.4</v>
      </c>
      <c r="AJ18" s="280">
        <v>0</v>
      </c>
      <c r="AK18" s="278"/>
      <c r="AL18" s="283"/>
      <c r="AM18" s="226"/>
      <c r="AN18" s="226"/>
      <c r="AO18" s="226">
        <f t="shared" si="3"/>
        <v>0</v>
      </c>
      <c r="AQ18" s="275">
        <v>45851</v>
      </c>
      <c r="AR18" s="280">
        <v>1103.25</v>
      </c>
      <c r="AS18" s="280">
        <v>326.52</v>
      </c>
      <c r="AT18" s="280">
        <v>2908.59</v>
      </c>
      <c r="AU18" s="280">
        <v>0</v>
      </c>
      <c r="AV18" s="280">
        <v>41.69</v>
      </c>
      <c r="AW18" s="280">
        <v>0</v>
      </c>
      <c r="AX18" s="278"/>
      <c r="AY18" s="283"/>
      <c r="AZ18" s="226"/>
      <c r="BA18" s="226"/>
      <c r="BB18" s="226">
        <f t="shared" si="4"/>
        <v>0</v>
      </c>
      <c r="BD18" s="275">
        <v>45851</v>
      </c>
      <c r="BE18" s="277">
        <v>6192.96</v>
      </c>
      <c r="BF18" s="280">
        <v>0</v>
      </c>
      <c r="BG18" s="278"/>
      <c r="BH18" s="88"/>
      <c r="BI18" s="226"/>
      <c r="BJ18" s="226"/>
      <c r="BK18" s="226">
        <f t="shared" si="5"/>
        <v>0</v>
      </c>
      <c r="BM18" s="275">
        <v>45851</v>
      </c>
      <c r="BN18" s="277">
        <v>0</v>
      </c>
      <c r="BO18" s="280">
        <v>0</v>
      </c>
      <c r="BP18" s="278"/>
      <c r="BQ18" s="283"/>
      <c r="BR18" s="226"/>
      <c r="BS18" s="226"/>
      <c r="BT18" s="226">
        <f t="shared" si="6"/>
        <v>0</v>
      </c>
      <c r="BY18" s="278"/>
    </row>
    <row r="19" spans="2:77" ht="15.75" x14ac:dyDescent="0.25">
      <c r="B19" s="275">
        <v>45852</v>
      </c>
      <c r="C19" s="276">
        <v>1625</v>
      </c>
      <c r="D19" s="276">
        <v>1112.97</v>
      </c>
      <c r="E19" s="277">
        <v>3557.27</v>
      </c>
      <c r="F19" s="276">
        <v>0</v>
      </c>
      <c r="G19" s="278"/>
      <c r="H19" s="283"/>
      <c r="I19" s="329"/>
      <c r="J19" s="335">
        <v>12.65727720000001</v>
      </c>
      <c r="K19" s="226">
        <f t="shared" si="0"/>
        <v>12.65727720000001</v>
      </c>
      <c r="M19" s="275">
        <v>45852</v>
      </c>
      <c r="N19" s="277">
        <v>735.55</v>
      </c>
      <c r="O19" s="277">
        <v>218.94</v>
      </c>
      <c r="P19" s="280">
        <v>634.53</v>
      </c>
      <c r="Q19" s="280">
        <v>203.14</v>
      </c>
      <c r="R19" s="280"/>
      <c r="S19" s="278"/>
      <c r="T19" s="283"/>
      <c r="U19" s="226"/>
      <c r="V19" s="226"/>
      <c r="W19" s="226">
        <f t="shared" si="1"/>
        <v>0</v>
      </c>
      <c r="Y19" s="275">
        <v>45852</v>
      </c>
      <c r="Z19" s="277">
        <v>3097.34</v>
      </c>
      <c r="AA19" s="277">
        <v>1053.82</v>
      </c>
      <c r="AB19" s="278"/>
      <c r="AC19" s="283"/>
      <c r="AD19" s="226"/>
      <c r="AE19" s="226"/>
      <c r="AF19" s="226">
        <f t="shared" si="2"/>
        <v>1053.82</v>
      </c>
      <c r="AH19" s="275">
        <v>45852</v>
      </c>
      <c r="AI19" s="281">
        <v>679</v>
      </c>
      <c r="AJ19" s="280">
        <v>0</v>
      </c>
      <c r="AK19" s="278"/>
      <c r="AL19" s="283"/>
      <c r="AM19" s="226"/>
      <c r="AN19" s="226"/>
      <c r="AO19" s="226">
        <f t="shared" si="3"/>
        <v>0</v>
      </c>
      <c r="AQ19" s="275">
        <v>45852</v>
      </c>
      <c r="AR19" s="280">
        <v>1560.51</v>
      </c>
      <c r="AS19" s="280">
        <v>363.2</v>
      </c>
      <c r="AT19" s="280">
        <v>3348.37</v>
      </c>
      <c r="AU19" s="280">
        <v>0</v>
      </c>
      <c r="AV19" s="280">
        <v>47.19</v>
      </c>
      <c r="AW19" s="280">
        <v>0</v>
      </c>
      <c r="AX19" s="278"/>
      <c r="AY19" s="283"/>
      <c r="AZ19" s="226"/>
      <c r="BA19" s="226"/>
      <c r="BB19" s="226">
        <f t="shared" si="4"/>
        <v>0</v>
      </c>
      <c r="BD19" s="275">
        <v>45852</v>
      </c>
      <c r="BE19" s="277">
        <v>8632.3700000000008</v>
      </c>
      <c r="BF19" s="280">
        <v>0</v>
      </c>
      <c r="BG19" s="278"/>
      <c r="BH19" s="88"/>
      <c r="BI19" s="226"/>
      <c r="BJ19" s="226"/>
      <c r="BK19" s="226">
        <f t="shared" si="5"/>
        <v>0</v>
      </c>
      <c r="BM19" s="275">
        <v>45852</v>
      </c>
      <c r="BN19" s="277">
        <v>0</v>
      </c>
      <c r="BO19" s="280">
        <v>0</v>
      </c>
      <c r="BP19" s="278"/>
      <c r="BQ19" s="283"/>
      <c r="BR19" s="226"/>
      <c r="BS19" s="226"/>
      <c r="BT19" s="226">
        <f t="shared" si="6"/>
        <v>0</v>
      </c>
      <c r="BY19" s="278"/>
    </row>
    <row r="20" spans="2:77" ht="15.75" x14ac:dyDescent="0.25">
      <c r="B20" s="275">
        <v>45853</v>
      </c>
      <c r="C20" s="276">
        <v>2371.4</v>
      </c>
      <c r="D20" s="276">
        <v>1389.5</v>
      </c>
      <c r="E20" s="277">
        <v>3854.6</v>
      </c>
      <c r="F20" s="276">
        <v>14.66</v>
      </c>
      <c r="G20" s="278"/>
      <c r="H20" s="283"/>
      <c r="I20" s="329">
        <v>380.60453000000007</v>
      </c>
      <c r="J20" s="335"/>
      <c r="K20" s="226">
        <f t="shared" si="0"/>
        <v>395.26453000000009</v>
      </c>
      <c r="M20" s="275">
        <v>45853</v>
      </c>
      <c r="N20" s="277">
        <v>349.55</v>
      </c>
      <c r="O20" s="277">
        <v>160.04</v>
      </c>
      <c r="P20" s="280">
        <v>875.4</v>
      </c>
      <c r="Q20" s="280">
        <v>244.68</v>
      </c>
      <c r="R20" s="280"/>
      <c r="S20" s="278"/>
      <c r="T20" s="283"/>
      <c r="U20" s="226"/>
      <c r="V20" s="226"/>
      <c r="W20" s="226">
        <f t="shared" si="1"/>
        <v>0</v>
      </c>
      <c r="Y20" s="275">
        <v>45853</v>
      </c>
      <c r="Z20" s="277">
        <v>1570.1</v>
      </c>
      <c r="AA20" s="277">
        <v>543.05999999999995</v>
      </c>
      <c r="AB20" s="278"/>
      <c r="AC20" s="283"/>
      <c r="AD20" s="226"/>
      <c r="AE20" s="226"/>
      <c r="AF20" s="226">
        <f t="shared" si="2"/>
        <v>543.05999999999995</v>
      </c>
      <c r="AH20" s="275">
        <v>45853</v>
      </c>
      <c r="AI20" s="281">
        <v>692.1</v>
      </c>
      <c r="AJ20" s="280">
        <v>0</v>
      </c>
      <c r="AK20" s="278"/>
      <c r="AL20" s="283"/>
      <c r="AM20" s="226"/>
      <c r="AN20" s="226"/>
      <c r="AO20" s="226">
        <f t="shared" si="3"/>
        <v>0</v>
      </c>
      <c r="AQ20" s="275">
        <v>45853</v>
      </c>
      <c r="AR20" s="280">
        <v>1879.09</v>
      </c>
      <c r="AS20" s="280">
        <v>588.67999999999995</v>
      </c>
      <c r="AT20" s="280">
        <v>3479.43</v>
      </c>
      <c r="AU20" s="280">
        <v>0</v>
      </c>
      <c r="AV20" s="280">
        <v>22.94</v>
      </c>
      <c r="AW20" s="280">
        <v>0</v>
      </c>
      <c r="AX20" s="278"/>
      <c r="AY20" s="283"/>
      <c r="AZ20" s="226"/>
      <c r="BA20" s="226"/>
      <c r="BB20" s="226">
        <f t="shared" si="4"/>
        <v>0</v>
      </c>
      <c r="BD20" s="275">
        <v>45853</v>
      </c>
      <c r="BE20" s="277">
        <v>8043.03</v>
      </c>
      <c r="BF20" s="280">
        <v>0</v>
      </c>
      <c r="BG20" s="278"/>
      <c r="BH20" s="88"/>
      <c r="BI20" s="226"/>
      <c r="BJ20" s="226"/>
      <c r="BK20" s="226">
        <f t="shared" si="5"/>
        <v>0</v>
      </c>
      <c r="BM20" s="275">
        <v>45853</v>
      </c>
      <c r="BN20" s="277">
        <v>0</v>
      </c>
      <c r="BO20" s="280">
        <v>0</v>
      </c>
      <c r="BP20" s="278"/>
      <c r="BQ20" s="283"/>
      <c r="BR20" s="226"/>
      <c r="BS20" s="226"/>
      <c r="BT20" s="226">
        <f t="shared" si="6"/>
        <v>0</v>
      </c>
      <c r="BY20" s="278"/>
    </row>
    <row r="21" spans="2:77" ht="15.75" x14ac:dyDescent="0.25">
      <c r="B21" s="275">
        <v>45854</v>
      </c>
      <c r="C21" s="276">
        <v>1794.21</v>
      </c>
      <c r="D21" s="276">
        <v>1475.49</v>
      </c>
      <c r="E21" s="277">
        <v>4779.2700000000004</v>
      </c>
      <c r="F21" s="276">
        <v>17.559999999999999</v>
      </c>
      <c r="G21" s="278"/>
      <c r="H21" s="283"/>
      <c r="I21" s="329"/>
      <c r="J21" s="335">
        <v>72.181967399999962</v>
      </c>
      <c r="K21" s="226">
        <f t="shared" si="0"/>
        <v>89.741967399999965</v>
      </c>
      <c r="M21" s="275">
        <v>45854</v>
      </c>
      <c r="N21" s="277">
        <v>294.60000000000002</v>
      </c>
      <c r="O21" s="277">
        <v>91.16</v>
      </c>
      <c r="P21" s="280">
        <v>3556.05</v>
      </c>
      <c r="Q21" s="280">
        <v>176.26</v>
      </c>
      <c r="R21" s="280"/>
      <c r="S21" s="278"/>
      <c r="T21" s="283"/>
      <c r="U21" s="226"/>
      <c r="V21" s="226"/>
      <c r="W21" s="226">
        <f t="shared" si="1"/>
        <v>0</v>
      </c>
      <c r="Y21" s="275">
        <v>45854</v>
      </c>
      <c r="Z21" s="277">
        <v>1704.75</v>
      </c>
      <c r="AA21" s="277">
        <v>282.44</v>
      </c>
      <c r="AB21" s="278"/>
      <c r="AC21" s="283"/>
      <c r="AD21" s="226"/>
      <c r="AE21" s="226"/>
      <c r="AF21" s="226">
        <f t="shared" si="2"/>
        <v>282.44</v>
      </c>
      <c r="AH21" s="275">
        <v>45854</v>
      </c>
      <c r="AI21" s="281">
        <v>1152.5</v>
      </c>
      <c r="AJ21" s="280">
        <v>0</v>
      </c>
      <c r="AK21" s="278"/>
      <c r="AL21" s="283"/>
      <c r="AM21" s="226"/>
      <c r="AN21" s="226"/>
      <c r="AO21" s="226">
        <f t="shared" si="3"/>
        <v>0</v>
      </c>
      <c r="AQ21" s="275">
        <v>45854</v>
      </c>
      <c r="AR21" s="280">
        <v>1652.81</v>
      </c>
      <c r="AS21" s="280">
        <v>561.17999999999995</v>
      </c>
      <c r="AT21" s="280">
        <v>3239.63</v>
      </c>
      <c r="AU21" s="280">
        <v>0</v>
      </c>
      <c r="AV21" s="280">
        <v>26.99</v>
      </c>
      <c r="AW21" s="280">
        <v>0</v>
      </c>
      <c r="AX21" s="278"/>
      <c r="AY21" s="283"/>
      <c r="AZ21" s="226"/>
      <c r="BA21" s="226"/>
      <c r="BB21" s="226">
        <f t="shared" si="4"/>
        <v>0</v>
      </c>
      <c r="BD21" s="275">
        <v>45854</v>
      </c>
      <c r="BE21" s="277">
        <v>7521.18</v>
      </c>
      <c r="BF21" s="280">
        <v>0</v>
      </c>
      <c r="BG21" s="278"/>
      <c r="BH21" s="88"/>
      <c r="BI21" s="226"/>
      <c r="BJ21" s="226"/>
      <c r="BK21" s="226">
        <f t="shared" si="5"/>
        <v>0</v>
      </c>
      <c r="BM21" s="275">
        <v>45854</v>
      </c>
      <c r="BN21" s="277">
        <v>0</v>
      </c>
      <c r="BO21" s="280">
        <v>0</v>
      </c>
      <c r="BP21" s="278"/>
      <c r="BQ21" s="283"/>
      <c r="BR21" s="226"/>
      <c r="BS21" s="226"/>
      <c r="BT21" s="226">
        <f t="shared" si="6"/>
        <v>0</v>
      </c>
      <c r="BY21" s="278"/>
    </row>
    <row r="22" spans="2:77" ht="15.75" x14ac:dyDescent="0.25">
      <c r="B22" s="275">
        <v>45855</v>
      </c>
      <c r="C22" s="276">
        <v>2439.4299999999998</v>
      </c>
      <c r="D22" s="276">
        <v>845.42</v>
      </c>
      <c r="E22" s="277">
        <v>4806.7</v>
      </c>
      <c r="F22" s="276">
        <v>0</v>
      </c>
      <c r="G22" s="278"/>
      <c r="H22" s="283"/>
      <c r="I22" s="329"/>
      <c r="J22" s="335">
        <v>15.64721280000002</v>
      </c>
      <c r="K22" s="226">
        <f t="shared" si="0"/>
        <v>15.64721280000002</v>
      </c>
      <c r="M22" s="275">
        <v>45855</v>
      </c>
      <c r="N22" s="277">
        <v>621</v>
      </c>
      <c r="O22" s="277">
        <v>84.53</v>
      </c>
      <c r="P22" s="280">
        <v>3546.13</v>
      </c>
      <c r="Q22" s="280">
        <v>209.41</v>
      </c>
      <c r="R22" s="280"/>
      <c r="S22" s="278"/>
      <c r="T22" s="283"/>
      <c r="U22" s="226"/>
      <c r="V22" s="226"/>
      <c r="W22" s="226">
        <f t="shared" si="1"/>
        <v>0</v>
      </c>
      <c r="Y22" s="275">
        <v>45855</v>
      </c>
      <c r="Z22" s="277">
        <v>564.32000000000005</v>
      </c>
      <c r="AA22" s="277">
        <v>317.95999999999998</v>
      </c>
      <c r="AB22" s="278"/>
      <c r="AC22" s="283"/>
      <c r="AD22" s="226"/>
      <c r="AE22" s="226"/>
      <c r="AF22" s="226">
        <f t="shared" si="2"/>
        <v>317.95999999999998</v>
      </c>
      <c r="AH22" s="275">
        <v>45855</v>
      </c>
      <c r="AI22" s="281">
        <v>756.5</v>
      </c>
      <c r="AJ22" s="280">
        <v>0</v>
      </c>
      <c r="AK22" s="278"/>
      <c r="AL22" s="283"/>
      <c r="AM22" s="226"/>
      <c r="AN22" s="226"/>
      <c r="AO22" s="226">
        <f t="shared" si="3"/>
        <v>0</v>
      </c>
      <c r="AQ22" s="275">
        <v>45855</v>
      </c>
      <c r="AR22" s="280">
        <v>1072.3</v>
      </c>
      <c r="AS22" s="280">
        <v>426.92</v>
      </c>
      <c r="AT22" s="280">
        <v>3281.04</v>
      </c>
      <c r="AU22" s="280">
        <v>0</v>
      </c>
      <c r="AV22" s="280">
        <v>63.36</v>
      </c>
      <c r="AW22" s="280">
        <v>0</v>
      </c>
      <c r="AX22" s="278"/>
      <c r="AY22" s="283"/>
      <c r="AZ22" s="226"/>
      <c r="BA22" s="226"/>
      <c r="BB22" s="226">
        <f t="shared" si="4"/>
        <v>0</v>
      </c>
      <c r="BD22" s="275">
        <v>45855</v>
      </c>
      <c r="BE22" s="277">
        <v>5218.92</v>
      </c>
      <c r="BF22" s="280">
        <v>0</v>
      </c>
      <c r="BG22" s="278"/>
      <c r="BH22" s="88"/>
      <c r="BI22" s="226"/>
      <c r="BJ22" s="226"/>
      <c r="BK22" s="226">
        <f t="shared" si="5"/>
        <v>0</v>
      </c>
      <c r="BM22" s="275">
        <v>45855</v>
      </c>
      <c r="BN22" s="277">
        <v>0</v>
      </c>
      <c r="BO22" s="280">
        <v>0</v>
      </c>
      <c r="BP22" s="278"/>
      <c r="BQ22" s="283"/>
      <c r="BR22" s="226"/>
      <c r="BS22" s="226"/>
      <c r="BT22" s="226">
        <f t="shared" si="6"/>
        <v>0</v>
      </c>
      <c r="BY22" s="278"/>
    </row>
    <row r="23" spans="2:77" ht="15.75" x14ac:dyDescent="0.25">
      <c r="B23" s="275">
        <v>45856</v>
      </c>
      <c r="C23" s="276">
        <v>3036.56</v>
      </c>
      <c r="D23" s="276">
        <v>1346.38</v>
      </c>
      <c r="E23" s="277">
        <v>4660.99</v>
      </c>
      <c r="F23" s="276">
        <v>0</v>
      </c>
      <c r="G23" s="278"/>
      <c r="H23" s="283"/>
      <c r="I23" s="329"/>
      <c r="J23" s="335"/>
      <c r="K23" s="226">
        <f t="shared" si="0"/>
        <v>0</v>
      </c>
      <c r="M23" s="275">
        <v>45856</v>
      </c>
      <c r="N23" s="277">
        <v>751.85</v>
      </c>
      <c r="O23" s="277">
        <v>182.5</v>
      </c>
      <c r="P23" s="280">
        <v>2786.65</v>
      </c>
      <c r="Q23" s="280">
        <v>142.56</v>
      </c>
      <c r="R23" s="280"/>
      <c r="S23" s="278"/>
      <c r="T23" s="283"/>
      <c r="U23" s="226"/>
      <c r="V23" s="226"/>
      <c r="W23" s="226">
        <f t="shared" si="1"/>
        <v>0</v>
      </c>
      <c r="Y23" s="275">
        <v>45856</v>
      </c>
      <c r="Z23" s="277">
        <v>534</v>
      </c>
      <c r="AA23" s="277">
        <v>284.07</v>
      </c>
      <c r="AB23" s="278"/>
      <c r="AC23" s="283"/>
      <c r="AD23" s="226"/>
      <c r="AE23" s="226"/>
      <c r="AF23" s="226">
        <f t="shared" si="2"/>
        <v>284.07</v>
      </c>
      <c r="AH23" s="275">
        <v>45856</v>
      </c>
      <c r="AI23" s="281">
        <v>1462</v>
      </c>
      <c r="AJ23" s="280">
        <v>0</v>
      </c>
      <c r="AK23" s="278"/>
      <c r="AL23" s="283"/>
      <c r="AM23" s="226"/>
      <c r="AN23" s="226"/>
      <c r="AO23" s="226">
        <f t="shared" si="3"/>
        <v>0</v>
      </c>
      <c r="AQ23" s="275">
        <v>45856</v>
      </c>
      <c r="AR23" s="280">
        <v>1707.13</v>
      </c>
      <c r="AS23" s="280">
        <v>509.9</v>
      </c>
      <c r="AT23" s="280">
        <v>3722.86</v>
      </c>
      <c r="AU23" s="280">
        <v>0</v>
      </c>
      <c r="AV23" s="280">
        <v>49.89</v>
      </c>
      <c r="AW23" s="280">
        <v>0</v>
      </c>
      <c r="AX23" s="278"/>
      <c r="AY23" s="283"/>
      <c r="AZ23" s="226"/>
      <c r="BA23" s="226"/>
      <c r="BB23" s="226">
        <f t="shared" si="4"/>
        <v>0</v>
      </c>
      <c r="BD23" s="275">
        <v>45856</v>
      </c>
      <c r="BE23" s="277">
        <v>8174.36</v>
      </c>
      <c r="BF23" s="280">
        <v>0</v>
      </c>
      <c r="BG23" s="278"/>
      <c r="BH23" s="88"/>
      <c r="BI23" s="226"/>
      <c r="BJ23" s="226"/>
      <c r="BK23" s="226">
        <f t="shared" si="5"/>
        <v>0</v>
      </c>
      <c r="BM23" s="275">
        <v>45856</v>
      </c>
      <c r="BN23" s="277">
        <v>0</v>
      </c>
      <c r="BO23" s="280">
        <v>0</v>
      </c>
      <c r="BP23" s="278"/>
      <c r="BQ23" s="283"/>
      <c r="BR23" s="226"/>
      <c r="BS23" s="226"/>
      <c r="BT23" s="226">
        <f t="shared" si="6"/>
        <v>0</v>
      </c>
      <c r="BY23" s="278"/>
    </row>
    <row r="24" spans="2:77" ht="15.75" x14ac:dyDescent="0.25">
      <c r="B24" s="275">
        <v>45857</v>
      </c>
      <c r="C24" s="276">
        <v>2104.61</v>
      </c>
      <c r="D24" s="276">
        <v>1583.96</v>
      </c>
      <c r="E24" s="277">
        <v>3753.37</v>
      </c>
      <c r="F24" s="276">
        <v>0</v>
      </c>
      <c r="G24" s="278"/>
      <c r="H24" s="283"/>
      <c r="I24" s="329"/>
      <c r="J24" s="335"/>
      <c r="K24" s="226">
        <f t="shared" si="0"/>
        <v>0</v>
      </c>
      <c r="M24" s="275">
        <v>45857</v>
      </c>
      <c r="N24" s="277">
        <v>396.05</v>
      </c>
      <c r="O24" s="277">
        <v>184.14</v>
      </c>
      <c r="P24" s="280">
        <v>841.01</v>
      </c>
      <c r="Q24" s="280">
        <v>156.69</v>
      </c>
      <c r="R24" s="280"/>
      <c r="S24" s="278"/>
      <c r="T24" s="283"/>
      <c r="U24" s="226"/>
      <c r="V24" s="226"/>
      <c r="W24" s="226">
        <f t="shared" si="1"/>
        <v>0</v>
      </c>
      <c r="Y24" s="275">
        <v>45857</v>
      </c>
      <c r="Z24" s="277">
        <v>1158.25</v>
      </c>
      <c r="AA24" s="277">
        <v>485.66</v>
      </c>
      <c r="AB24" s="278"/>
      <c r="AC24" s="283"/>
      <c r="AD24" s="226"/>
      <c r="AE24" s="226"/>
      <c r="AF24" s="226">
        <f t="shared" si="2"/>
        <v>485.66</v>
      </c>
      <c r="AH24" s="275">
        <v>45857</v>
      </c>
      <c r="AI24" s="281">
        <v>1032.5</v>
      </c>
      <c r="AJ24" s="280">
        <v>0</v>
      </c>
      <c r="AK24" s="278"/>
      <c r="AL24" s="283"/>
      <c r="AM24" s="226"/>
      <c r="AN24" s="226"/>
      <c r="AO24" s="226">
        <f t="shared" si="3"/>
        <v>0</v>
      </c>
      <c r="AQ24" s="275">
        <v>45857</v>
      </c>
      <c r="AR24" s="280">
        <v>1969.36</v>
      </c>
      <c r="AS24" s="280">
        <v>401.33</v>
      </c>
      <c r="AT24" s="280">
        <v>3561.09</v>
      </c>
      <c r="AU24" s="280">
        <v>0</v>
      </c>
      <c r="AV24" s="280">
        <v>53.97</v>
      </c>
      <c r="AW24" s="280">
        <v>0</v>
      </c>
      <c r="AX24" s="278"/>
      <c r="AY24" s="283"/>
      <c r="AZ24" s="226"/>
      <c r="BA24" s="226"/>
      <c r="BB24" s="226">
        <f t="shared" si="4"/>
        <v>0</v>
      </c>
      <c r="BD24" s="275">
        <v>45857</v>
      </c>
      <c r="BE24" s="277">
        <v>9637.66</v>
      </c>
      <c r="BF24" s="280">
        <v>0</v>
      </c>
      <c r="BG24" s="278"/>
      <c r="BH24" s="88"/>
      <c r="BI24" s="226"/>
      <c r="BJ24" s="226"/>
      <c r="BK24" s="226">
        <f t="shared" si="5"/>
        <v>0</v>
      </c>
      <c r="BM24" s="275">
        <v>45857</v>
      </c>
      <c r="BN24" s="277">
        <v>0</v>
      </c>
      <c r="BO24" s="280">
        <v>0</v>
      </c>
      <c r="BP24" s="278"/>
      <c r="BQ24" s="283"/>
      <c r="BR24" s="226"/>
      <c r="BS24" s="226"/>
      <c r="BT24" s="226">
        <f t="shared" si="6"/>
        <v>0</v>
      </c>
      <c r="BY24" s="278"/>
    </row>
    <row r="25" spans="2:77" ht="15.75" x14ac:dyDescent="0.25">
      <c r="B25" s="275">
        <v>45858</v>
      </c>
      <c r="C25" s="276">
        <v>1751.64</v>
      </c>
      <c r="D25" s="276">
        <v>410.97</v>
      </c>
      <c r="E25" s="277">
        <v>2986.55</v>
      </c>
      <c r="F25" s="276">
        <v>0</v>
      </c>
      <c r="G25" s="278"/>
      <c r="H25" s="283"/>
      <c r="I25" s="329"/>
      <c r="J25" s="335"/>
      <c r="K25" s="226">
        <f t="shared" si="0"/>
        <v>0</v>
      </c>
      <c r="M25" s="275">
        <v>45858</v>
      </c>
      <c r="N25" s="277">
        <v>1035.4000000000001</v>
      </c>
      <c r="O25" s="277">
        <v>158.53</v>
      </c>
      <c r="P25" s="280">
        <v>1163.73</v>
      </c>
      <c r="Q25" s="280">
        <v>152.08000000000001</v>
      </c>
      <c r="R25" s="280"/>
      <c r="S25" s="278"/>
      <c r="T25" s="283"/>
      <c r="U25" s="226"/>
      <c r="V25" s="226"/>
      <c r="W25" s="226">
        <f t="shared" si="1"/>
        <v>0</v>
      </c>
      <c r="Y25" s="275">
        <v>45858</v>
      </c>
      <c r="Z25" s="277">
        <v>569.70000000000005</v>
      </c>
      <c r="AA25" s="277">
        <v>189.96</v>
      </c>
      <c r="AB25" s="278"/>
      <c r="AC25" s="283"/>
      <c r="AD25" s="226"/>
      <c r="AE25" s="226"/>
      <c r="AF25" s="226">
        <f t="shared" si="2"/>
        <v>189.96</v>
      </c>
      <c r="AH25" s="275">
        <v>45858</v>
      </c>
      <c r="AI25" s="281">
        <v>898.8</v>
      </c>
      <c r="AJ25" s="280">
        <v>0</v>
      </c>
      <c r="AK25" s="278"/>
      <c r="AL25" s="283"/>
      <c r="AM25" s="226"/>
      <c r="AN25" s="226"/>
      <c r="AO25" s="226">
        <f t="shared" si="3"/>
        <v>0</v>
      </c>
      <c r="AQ25" s="275">
        <v>45858</v>
      </c>
      <c r="AR25" s="280">
        <v>870.88</v>
      </c>
      <c r="AS25" s="280">
        <v>283.35000000000002</v>
      </c>
      <c r="AT25" s="280">
        <v>3157.75</v>
      </c>
      <c r="AU25" s="280">
        <v>0</v>
      </c>
      <c r="AV25" s="280">
        <v>45.93</v>
      </c>
      <c r="AW25" s="280">
        <v>0</v>
      </c>
      <c r="AX25" s="278"/>
      <c r="AY25" s="283"/>
      <c r="AZ25" s="226"/>
      <c r="BA25" s="226"/>
      <c r="BB25" s="226">
        <f t="shared" si="4"/>
        <v>0</v>
      </c>
      <c r="BD25" s="275">
        <v>45858</v>
      </c>
      <c r="BE25" s="277">
        <v>4343.6899999999996</v>
      </c>
      <c r="BF25" s="280">
        <v>0</v>
      </c>
      <c r="BG25" s="278"/>
      <c r="BH25" s="88"/>
      <c r="BI25" s="226"/>
      <c r="BJ25" s="226"/>
      <c r="BK25" s="226">
        <f t="shared" si="5"/>
        <v>0</v>
      </c>
      <c r="BM25" s="275">
        <v>45858</v>
      </c>
      <c r="BN25" s="277">
        <v>0</v>
      </c>
      <c r="BO25" s="280">
        <v>0</v>
      </c>
      <c r="BP25" s="278"/>
      <c r="BQ25" s="283"/>
      <c r="BR25" s="226"/>
      <c r="BS25" s="226"/>
      <c r="BT25" s="226">
        <f t="shared" si="6"/>
        <v>0</v>
      </c>
      <c r="BY25" s="278"/>
    </row>
    <row r="26" spans="2:77" ht="15.75" x14ac:dyDescent="0.25">
      <c r="B26" s="275">
        <v>45859</v>
      </c>
      <c r="C26" s="276">
        <v>1872.62</v>
      </c>
      <c r="D26" s="276">
        <v>1544.29</v>
      </c>
      <c r="E26" s="277">
        <v>4137.5600000000004</v>
      </c>
      <c r="F26" s="276">
        <v>7.5</v>
      </c>
      <c r="G26" s="278"/>
      <c r="H26" s="283"/>
      <c r="I26" s="329">
        <v>204.26999999999992</v>
      </c>
      <c r="J26" s="335">
        <v>30.416765200000015</v>
      </c>
      <c r="K26" s="226">
        <f t="shared" si="0"/>
        <v>242.18676519999994</v>
      </c>
      <c r="M26" s="275">
        <v>45859</v>
      </c>
      <c r="N26" s="277">
        <v>332.2</v>
      </c>
      <c r="O26" s="277">
        <v>196.8</v>
      </c>
      <c r="P26" s="280">
        <v>1842.11</v>
      </c>
      <c r="Q26" s="280">
        <v>204.26</v>
      </c>
      <c r="R26" s="280"/>
      <c r="S26" s="278"/>
      <c r="T26" s="283"/>
      <c r="U26" s="226"/>
      <c r="V26" s="226"/>
      <c r="W26" s="226">
        <f t="shared" si="1"/>
        <v>0</v>
      </c>
      <c r="Y26" s="275">
        <v>45859</v>
      </c>
      <c r="Z26" s="277">
        <v>1677.06</v>
      </c>
      <c r="AA26" s="277">
        <v>885.48</v>
      </c>
      <c r="AB26" s="278"/>
      <c r="AC26" s="283"/>
      <c r="AD26" s="226"/>
      <c r="AE26" s="226"/>
      <c r="AF26" s="226">
        <f t="shared" si="2"/>
        <v>885.48</v>
      </c>
      <c r="AH26" s="275">
        <v>45859</v>
      </c>
      <c r="AI26" s="281">
        <v>699.95</v>
      </c>
      <c r="AJ26" s="280">
        <v>0</v>
      </c>
      <c r="AK26" s="278"/>
      <c r="AL26" s="283"/>
      <c r="AM26" s="226"/>
      <c r="AN26" s="226"/>
      <c r="AO26" s="226">
        <f t="shared" si="3"/>
        <v>0</v>
      </c>
      <c r="AQ26" s="275">
        <v>45859</v>
      </c>
      <c r="AR26" s="280">
        <v>1847.27</v>
      </c>
      <c r="AS26" s="280">
        <v>327.33999999999997</v>
      </c>
      <c r="AT26" s="280">
        <v>2875.29</v>
      </c>
      <c r="AU26" s="280">
        <v>0</v>
      </c>
      <c r="AV26" s="280">
        <v>68.19</v>
      </c>
      <c r="AW26" s="280">
        <v>0</v>
      </c>
      <c r="AX26" s="278"/>
      <c r="AY26" s="283"/>
      <c r="AZ26" s="226"/>
      <c r="BA26" s="226"/>
      <c r="BB26" s="226">
        <f t="shared" si="4"/>
        <v>0</v>
      </c>
      <c r="BD26" s="275">
        <v>45859</v>
      </c>
      <c r="BE26" s="277">
        <v>6275.41</v>
      </c>
      <c r="BF26" s="280">
        <v>0</v>
      </c>
      <c r="BG26" s="278"/>
      <c r="BH26" s="88"/>
      <c r="BI26" s="226"/>
      <c r="BJ26" s="226"/>
      <c r="BK26" s="226">
        <f t="shared" si="5"/>
        <v>0</v>
      </c>
      <c r="BM26" s="275">
        <v>45859</v>
      </c>
      <c r="BN26" s="277">
        <v>0</v>
      </c>
      <c r="BO26" s="280">
        <v>0</v>
      </c>
      <c r="BP26" s="278"/>
      <c r="BQ26" s="283"/>
      <c r="BR26" s="226"/>
      <c r="BS26" s="226"/>
      <c r="BT26" s="226">
        <f t="shared" si="6"/>
        <v>0</v>
      </c>
      <c r="BY26" s="278"/>
    </row>
    <row r="27" spans="2:77" ht="15.75" x14ac:dyDescent="0.25">
      <c r="B27" s="275">
        <v>45860</v>
      </c>
      <c r="C27" s="276">
        <v>2602.5700000000002</v>
      </c>
      <c r="D27" s="276">
        <v>1528.69</v>
      </c>
      <c r="E27" s="277">
        <v>3813.3</v>
      </c>
      <c r="F27" s="276">
        <v>0</v>
      </c>
      <c r="G27" s="278"/>
      <c r="H27" s="283"/>
      <c r="I27" s="329"/>
      <c r="J27" s="335">
        <v>12.919479800000019</v>
      </c>
      <c r="K27" s="226">
        <f t="shared" si="0"/>
        <v>12.919479800000019</v>
      </c>
      <c r="M27" s="275">
        <v>45860</v>
      </c>
      <c r="N27" s="277">
        <v>1191.95</v>
      </c>
      <c r="O27" s="277">
        <v>172.8</v>
      </c>
      <c r="P27" s="280">
        <v>3453.37</v>
      </c>
      <c r="Q27" s="280">
        <v>233.94</v>
      </c>
      <c r="R27" s="280"/>
      <c r="S27" s="278"/>
      <c r="T27" s="283"/>
      <c r="U27" s="226"/>
      <c r="V27" s="226"/>
      <c r="W27" s="226">
        <f t="shared" si="1"/>
        <v>0</v>
      </c>
      <c r="Y27" s="275">
        <v>45860</v>
      </c>
      <c r="Z27" s="277">
        <v>1026.7</v>
      </c>
      <c r="AA27" s="277">
        <v>544.70000000000005</v>
      </c>
      <c r="AB27" s="278"/>
      <c r="AC27" s="283"/>
      <c r="AD27" s="226"/>
      <c r="AE27" s="226"/>
      <c r="AF27" s="226">
        <f t="shared" si="2"/>
        <v>544.70000000000005</v>
      </c>
      <c r="AH27" s="275">
        <v>45860</v>
      </c>
      <c r="AI27" s="281">
        <v>936.8</v>
      </c>
      <c r="AJ27" s="280">
        <v>0</v>
      </c>
      <c r="AK27" s="278"/>
      <c r="AL27" s="283"/>
      <c r="AM27" s="226"/>
      <c r="AN27" s="226"/>
      <c r="AO27" s="226">
        <f t="shared" si="3"/>
        <v>0</v>
      </c>
      <c r="AQ27" s="275">
        <v>45860</v>
      </c>
      <c r="AR27" s="280">
        <v>1465.44</v>
      </c>
      <c r="AS27" s="280">
        <v>340.88</v>
      </c>
      <c r="AT27" s="280">
        <v>3268.57</v>
      </c>
      <c r="AU27" s="280">
        <v>0</v>
      </c>
      <c r="AV27" s="280">
        <v>41.1</v>
      </c>
      <c r="AW27" s="280">
        <v>0</v>
      </c>
      <c r="AX27" s="278"/>
      <c r="AY27" s="283"/>
      <c r="AZ27" s="226"/>
      <c r="BA27" s="226"/>
      <c r="BB27" s="226">
        <f t="shared" si="4"/>
        <v>0</v>
      </c>
      <c r="BD27" s="275">
        <v>45860</v>
      </c>
      <c r="BE27" s="277">
        <v>7220.46</v>
      </c>
      <c r="BF27" s="280">
        <v>0</v>
      </c>
      <c r="BG27" s="278"/>
      <c r="BH27" s="88"/>
      <c r="BI27" s="226"/>
      <c r="BJ27" s="226"/>
      <c r="BK27" s="226">
        <f t="shared" si="5"/>
        <v>0</v>
      </c>
      <c r="BM27" s="275">
        <v>45860</v>
      </c>
      <c r="BN27" s="277">
        <v>0</v>
      </c>
      <c r="BO27" s="280">
        <v>0</v>
      </c>
      <c r="BP27" s="278"/>
      <c r="BQ27" s="283"/>
      <c r="BR27" s="226"/>
      <c r="BS27" s="226"/>
      <c r="BT27" s="226">
        <f t="shared" si="6"/>
        <v>0</v>
      </c>
      <c r="BY27" s="278"/>
    </row>
    <row r="28" spans="2:77" ht="15.75" x14ac:dyDescent="0.25">
      <c r="B28" s="275">
        <v>45861</v>
      </c>
      <c r="C28" s="276">
        <v>1807.79</v>
      </c>
      <c r="D28" s="276">
        <v>1895.43</v>
      </c>
      <c r="E28" s="277">
        <v>2912.6</v>
      </c>
      <c r="F28" s="276">
        <v>0</v>
      </c>
      <c r="G28" s="278"/>
      <c r="H28" s="283"/>
      <c r="I28" s="329"/>
      <c r="J28" s="335"/>
      <c r="K28" s="226">
        <f t="shared" si="0"/>
        <v>0</v>
      </c>
      <c r="M28" s="275">
        <v>45861</v>
      </c>
      <c r="N28" s="277">
        <v>280</v>
      </c>
      <c r="O28" s="277">
        <v>109.37</v>
      </c>
      <c r="P28" s="280">
        <v>4450.71</v>
      </c>
      <c r="Q28" s="280">
        <v>237.63</v>
      </c>
      <c r="R28" s="280"/>
      <c r="S28" s="278"/>
      <c r="T28" s="283"/>
      <c r="U28" s="226"/>
      <c r="V28" s="226"/>
      <c r="W28" s="226">
        <f t="shared" si="1"/>
        <v>0</v>
      </c>
      <c r="Y28" s="275">
        <v>45861</v>
      </c>
      <c r="Z28" s="277">
        <v>1658.9</v>
      </c>
      <c r="AA28" s="277">
        <v>612.47</v>
      </c>
      <c r="AB28" s="278"/>
      <c r="AC28" s="283"/>
      <c r="AD28" s="226"/>
      <c r="AE28" s="226"/>
      <c r="AF28" s="226">
        <f t="shared" si="2"/>
        <v>612.47</v>
      </c>
      <c r="AH28" s="275">
        <v>45861</v>
      </c>
      <c r="AI28" s="281">
        <v>639.5</v>
      </c>
      <c r="AJ28" s="280">
        <v>0</v>
      </c>
      <c r="AK28" s="278"/>
      <c r="AL28" s="283"/>
      <c r="AM28" s="226"/>
      <c r="AN28" s="226"/>
      <c r="AO28" s="226">
        <f t="shared" si="3"/>
        <v>0</v>
      </c>
      <c r="AQ28" s="275">
        <v>45861</v>
      </c>
      <c r="AR28" s="280">
        <v>1612.98</v>
      </c>
      <c r="AS28" s="280">
        <v>403.23</v>
      </c>
      <c r="AT28" s="280">
        <v>2937.67</v>
      </c>
      <c r="AU28" s="280">
        <v>0</v>
      </c>
      <c r="AV28" s="280">
        <v>55.76</v>
      </c>
      <c r="AW28" s="280">
        <v>0</v>
      </c>
      <c r="AX28" s="278"/>
      <c r="AY28" s="283"/>
      <c r="AZ28" s="226"/>
      <c r="BA28" s="226"/>
      <c r="BB28" s="226">
        <f t="shared" si="4"/>
        <v>0</v>
      </c>
      <c r="BD28" s="275">
        <v>45861</v>
      </c>
      <c r="BE28" s="277">
        <v>7282</v>
      </c>
      <c r="BF28" s="280">
        <v>0</v>
      </c>
      <c r="BG28" s="278"/>
      <c r="BH28" s="88"/>
      <c r="BI28" s="226"/>
      <c r="BJ28" s="226"/>
      <c r="BK28" s="226">
        <f t="shared" si="5"/>
        <v>0</v>
      </c>
      <c r="BM28" s="275">
        <v>45861</v>
      </c>
      <c r="BN28" s="277">
        <v>0</v>
      </c>
      <c r="BO28" s="280">
        <v>0</v>
      </c>
      <c r="BP28" s="278"/>
      <c r="BQ28" s="283"/>
      <c r="BR28" s="226"/>
      <c r="BS28" s="226"/>
      <c r="BT28" s="226">
        <f t="shared" si="6"/>
        <v>0</v>
      </c>
      <c r="BY28" s="278"/>
    </row>
    <row r="29" spans="2:77" ht="15.75" x14ac:dyDescent="0.25">
      <c r="B29" s="275">
        <v>45862</v>
      </c>
      <c r="C29" s="276">
        <v>1851.84</v>
      </c>
      <c r="D29" s="276">
        <v>1193.68</v>
      </c>
      <c r="E29" s="277">
        <v>5026.93</v>
      </c>
      <c r="F29" s="276">
        <v>34.159999999999997</v>
      </c>
      <c r="G29" s="278"/>
      <c r="H29" s="283"/>
      <c r="I29" s="329">
        <v>221.98000000000002</v>
      </c>
      <c r="J29" s="335"/>
      <c r="K29" s="226">
        <f t="shared" si="0"/>
        <v>256.14</v>
      </c>
      <c r="M29" s="275">
        <v>45862</v>
      </c>
      <c r="N29" s="277">
        <v>206.1</v>
      </c>
      <c r="O29" s="277">
        <v>167.14</v>
      </c>
      <c r="P29" s="280">
        <v>620.09</v>
      </c>
      <c r="Q29" s="280">
        <v>146.16999999999999</v>
      </c>
      <c r="R29" s="280"/>
      <c r="S29" s="278"/>
      <c r="T29" s="283"/>
      <c r="U29" s="226"/>
      <c r="V29" s="226"/>
      <c r="W29" s="226">
        <f t="shared" si="1"/>
        <v>0</v>
      </c>
      <c r="Y29" s="275">
        <v>45862</v>
      </c>
      <c r="Z29" s="277">
        <v>3296.27</v>
      </c>
      <c r="AA29" s="277">
        <v>1169.07</v>
      </c>
      <c r="AB29" s="278"/>
      <c r="AC29" s="283"/>
      <c r="AD29" s="226"/>
      <c r="AE29" s="226"/>
      <c r="AF29" s="226">
        <f t="shared" si="2"/>
        <v>1169.07</v>
      </c>
      <c r="AH29" s="275">
        <v>45862</v>
      </c>
      <c r="AI29" s="281">
        <v>827.5</v>
      </c>
      <c r="AJ29" s="280">
        <v>0</v>
      </c>
      <c r="AK29" s="278"/>
      <c r="AL29" s="283"/>
      <c r="AM29" s="226"/>
      <c r="AN29" s="226"/>
      <c r="AO29" s="226">
        <f t="shared" si="3"/>
        <v>0</v>
      </c>
      <c r="AQ29" s="275">
        <v>45862</v>
      </c>
      <c r="AR29" s="280">
        <v>1619.71</v>
      </c>
      <c r="AS29" s="280">
        <v>264.25</v>
      </c>
      <c r="AT29" s="280">
        <v>3158.88</v>
      </c>
      <c r="AU29" s="280">
        <v>0</v>
      </c>
      <c r="AV29" s="280">
        <v>32.89</v>
      </c>
      <c r="AW29" s="280">
        <v>0</v>
      </c>
      <c r="AX29" s="278"/>
      <c r="AY29" s="283"/>
      <c r="AZ29" s="226"/>
      <c r="BA29" s="226"/>
      <c r="BB29" s="226">
        <f t="shared" si="4"/>
        <v>0</v>
      </c>
      <c r="BD29" s="275">
        <v>45862</v>
      </c>
      <c r="BE29" s="277">
        <v>7606.8</v>
      </c>
      <c r="BF29" s="280">
        <v>0</v>
      </c>
      <c r="BG29" s="278"/>
      <c r="BH29" s="88">
        <v>9.1403000000000247</v>
      </c>
      <c r="BI29" s="226"/>
      <c r="BJ29" s="226"/>
      <c r="BK29" s="226">
        <f t="shared" si="5"/>
        <v>9.1403000000000247</v>
      </c>
      <c r="BM29" s="275">
        <v>45862</v>
      </c>
      <c r="BN29" s="277">
        <v>0</v>
      </c>
      <c r="BO29" s="280">
        <v>0</v>
      </c>
      <c r="BP29" s="278"/>
      <c r="BQ29" s="283"/>
      <c r="BR29" s="226"/>
      <c r="BS29" s="226"/>
      <c r="BT29" s="226">
        <f t="shared" si="6"/>
        <v>0</v>
      </c>
      <c r="BY29" s="278"/>
    </row>
    <row r="30" spans="2:77" ht="15.75" x14ac:dyDescent="0.25">
      <c r="B30" s="275">
        <v>45863</v>
      </c>
      <c r="C30" s="276">
        <v>2279.75</v>
      </c>
      <c r="D30" s="276">
        <v>1352.53</v>
      </c>
      <c r="E30" s="277">
        <v>4616.58</v>
      </c>
      <c r="F30" s="276">
        <v>0</v>
      </c>
      <c r="G30" s="278"/>
      <c r="H30" s="283"/>
      <c r="I30" s="329"/>
      <c r="J30" s="335"/>
      <c r="K30" s="226">
        <f t="shared" si="0"/>
        <v>0</v>
      </c>
      <c r="M30" s="275">
        <v>45863</v>
      </c>
      <c r="N30" s="277">
        <v>270.64999999999998</v>
      </c>
      <c r="O30" s="277">
        <v>255.1</v>
      </c>
      <c r="P30" s="280">
        <v>1371.4</v>
      </c>
      <c r="Q30" s="280">
        <v>248.88</v>
      </c>
      <c r="R30" s="280"/>
      <c r="S30" s="278"/>
      <c r="T30" s="283"/>
      <c r="U30" s="226"/>
      <c r="V30" s="226"/>
      <c r="W30" s="226">
        <f t="shared" si="1"/>
        <v>0</v>
      </c>
      <c r="Y30" s="275">
        <v>45863</v>
      </c>
      <c r="Z30" s="277">
        <v>2693.84</v>
      </c>
      <c r="AA30" s="277">
        <v>894.13</v>
      </c>
      <c r="AB30" s="278"/>
      <c r="AC30" s="283"/>
      <c r="AD30" s="226"/>
      <c r="AE30" s="226"/>
      <c r="AF30" s="226">
        <f t="shared" si="2"/>
        <v>894.13</v>
      </c>
      <c r="AH30" s="275">
        <v>45863</v>
      </c>
      <c r="AI30" s="281">
        <v>745.3</v>
      </c>
      <c r="AJ30" s="280">
        <v>0</v>
      </c>
      <c r="AK30" s="278"/>
      <c r="AL30" s="283"/>
      <c r="AM30" s="226"/>
      <c r="AN30" s="226"/>
      <c r="AO30" s="226">
        <f t="shared" si="3"/>
        <v>0</v>
      </c>
      <c r="AQ30" s="275">
        <v>45863</v>
      </c>
      <c r="AR30" s="280">
        <v>2055.44</v>
      </c>
      <c r="AS30" s="280">
        <v>782.79</v>
      </c>
      <c r="AT30" s="280">
        <v>3464.63</v>
      </c>
      <c r="AU30" s="280">
        <v>0</v>
      </c>
      <c r="AV30" s="280">
        <v>51.94</v>
      </c>
      <c r="AW30" s="280">
        <v>0</v>
      </c>
      <c r="AX30" s="278"/>
      <c r="AY30" s="283"/>
      <c r="AZ30" s="226"/>
      <c r="BA30" s="226"/>
      <c r="BB30" s="226">
        <f t="shared" si="4"/>
        <v>0</v>
      </c>
      <c r="BD30" s="275">
        <v>45863</v>
      </c>
      <c r="BE30" s="277">
        <v>10685.75</v>
      </c>
      <c r="BF30" s="280">
        <v>0</v>
      </c>
      <c r="BG30" s="278"/>
      <c r="BH30" s="88"/>
      <c r="BI30" s="226"/>
      <c r="BJ30" s="226"/>
      <c r="BK30" s="226">
        <f t="shared" si="5"/>
        <v>0</v>
      </c>
      <c r="BM30" s="275">
        <v>45863</v>
      </c>
      <c r="BN30" s="277">
        <v>0</v>
      </c>
      <c r="BO30" s="280">
        <v>0</v>
      </c>
      <c r="BP30" s="278"/>
      <c r="BQ30" s="283"/>
      <c r="BR30" s="226"/>
      <c r="BS30" s="226"/>
      <c r="BT30" s="226">
        <f t="shared" si="6"/>
        <v>0</v>
      </c>
      <c r="BY30" s="278"/>
    </row>
    <row r="31" spans="2:77" ht="15.75" x14ac:dyDescent="0.25">
      <c r="B31" s="275">
        <v>45864</v>
      </c>
      <c r="C31" s="276">
        <v>1939.41</v>
      </c>
      <c r="D31" s="276">
        <v>1449.17</v>
      </c>
      <c r="E31" s="277">
        <v>4610.7299999999996</v>
      </c>
      <c r="F31" s="276">
        <v>19.97</v>
      </c>
      <c r="G31" s="278"/>
      <c r="H31" s="283"/>
      <c r="I31" s="329"/>
      <c r="J31" s="335"/>
      <c r="K31" s="226">
        <f t="shared" si="0"/>
        <v>19.97</v>
      </c>
      <c r="M31" s="275">
        <v>45864</v>
      </c>
      <c r="N31" s="277">
        <v>948.45</v>
      </c>
      <c r="O31" s="277">
        <v>192.05</v>
      </c>
      <c r="P31" s="280">
        <v>1556.91</v>
      </c>
      <c r="Q31" s="280">
        <v>306.14999999999998</v>
      </c>
      <c r="R31" s="280"/>
      <c r="S31" s="278"/>
      <c r="T31" s="283"/>
      <c r="U31" s="226"/>
      <c r="V31" s="226"/>
      <c r="W31" s="226">
        <f t="shared" si="1"/>
        <v>0</v>
      </c>
      <c r="Y31" s="275">
        <v>45864</v>
      </c>
      <c r="Z31" s="277">
        <v>2156.6999999999998</v>
      </c>
      <c r="AA31" s="277">
        <v>716.78</v>
      </c>
      <c r="AB31" s="278"/>
      <c r="AC31" s="283"/>
      <c r="AD31" s="226"/>
      <c r="AE31" s="226"/>
      <c r="AF31" s="226">
        <f t="shared" si="2"/>
        <v>716.78</v>
      </c>
      <c r="AH31" s="275">
        <v>45864</v>
      </c>
      <c r="AI31" s="281">
        <v>1074.55</v>
      </c>
      <c r="AJ31" s="280">
        <v>0</v>
      </c>
      <c r="AK31" s="278"/>
      <c r="AL31" s="283"/>
      <c r="AM31" s="226"/>
      <c r="AN31" s="226"/>
      <c r="AO31" s="226">
        <f t="shared" si="3"/>
        <v>0</v>
      </c>
      <c r="AQ31" s="275">
        <v>45864</v>
      </c>
      <c r="AR31" s="280">
        <v>1376.81</v>
      </c>
      <c r="AS31" s="280">
        <v>721.08</v>
      </c>
      <c r="AT31" s="280">
        <v>3545.06</v>
      </c>
      <c r="AU31" s="280">
        <v>0</v>
      </c>
      <c r="AV31" s="280">
        <v>48.42</v>
      </c>
      <c r="AW31" s="280">
        <v>0</v>
      </c>
      <c r="AX31" s="278"/>
      <c r="AY31" s="283"/>
      <c r="AZ31" s="226"/>
      <c r="BA31" s="226"/>
      <c r="BB31" s="226">
        <f t="shared" si="4"/>
        <v>0</v>
      </c>
      <c r="BD31" s="275">
        <v>45864</v>
      </c>
      <c r="BE31" s="277">
        <v>8575.6299999999992</v>
      </c>
      <c r="BF31" s="280">
        <v>0</v>
      </c>
      <c r="BG31" s="278"/>
      <c r="BH31" s="88">
        <v>72.262959999999964</v>
      </c>
      <c r="BI31" s="226"/>
      <c r="BJ31" s="226"/>
      <c r="BK31" s="226">
        <f t="shared" si="5"/>
        <v>72.262959999999964</v>
      </c>
      <c r="BM31" s="275">
        <v>45864</v>
      </c>
      <c r="BN31" s="277">
        <v>0</v>
      </c>
      <c r="BO31" s="280">
        <v>0</v>
      </c>
      <c r="BP31" s="278"/>
      <c r="BQ31" s="283"/>
      <c r="BR31" s="226"/>
      <c r="BS31" s="226"/>
      <c r="BT31" s="226">
        <f t="shared" si="6"/>
        <v>0</v>
      </c>
      <c r="BY31" s="278"/>
    </row>
    <row r="32" spans="2:77" ht="15.75" x14ac:dyDescent="0.25">
      <c r="B32" s="275">
        <v>45865</v>
      </c>
      <c r="C32" s="276">
        <v>1289.8499999999999</v>
      </c>
      <c r="D32" s="276">
        <v>606.71</v>
      </c>
      <c r="E32" s="277">
        <v>3551.6</v>
      </c>
      <c r="F32" s="276">
        <v>0</v>
      </c>
      <c r="G32" s="278"/>
      <c r="H32" s="283"/>
      <c r="I32" s="329"/>
      <c r="J32" s="335"/>
      <c r="K32" s="226">
        <f t="shared" si="0"/>
        <v>0</v>
      </c>
      <c r="M32" s="275">
        <v>45865</v>
      </c>
      <c r="N32" s="277">
        <v>759.7</v>
      </c>
      <c r="O32" s="277">
        <v>264.83</v>
      </c>
      <c r="P32" s="280">
        <v>599.92999999999995</v>
      </c>
      <c r="Q32" s="280">
        <v>98.55</v>
      </c>
      <c r="R32" s="280"/>
      <c r="S32" s="278"/>
      <c r="T32" s="283"/>
      <c r="U32" s="226"/>
      <c r="V32" s="226"/>
      <c r="W32" s="226">
        <f t="shared" si="1"/>
        <v>0</v>
      </c>
      <c r="Y32" s="275">
        <v>45865</v>
      </c>
      <c r="Z32" s="277">
        <v>783.71</v>
      </c>
      <c r="AA32" s="277">
        <v>234.51</v>
      </c>
      <c r="AB32" s="278"/>
      <c r="AC32" s="283"/>
      <c r="AD32" s="226"/>
      <c r="AE32" s="226"/>
      <c r="AF32" s="226">
        <f t="shared" si="2"/>
        <v>234.51</v>
      </c>
      <c r="AH32" s="275">
        <v>45865</v>
      </c>
      <c r="AI32" s="281">
        <v>635.6</v>
      </c>
      <c r="AJ32" s="280">
        <v>0</v>
      </c>
      <c r="AK32" s="278"/>
      <c r="AL32" s="283"/>
      <c r="AM32" s="226"/>
      <c r="AN32" s="226"/>
      <c r="AO32" s="226">
        <f t="shared" si="3"/>
        <v>0</v>
      </c>
      <c r="AQ32" s="275">
        <v>45865</v>
      </c>
      <c r="AR32" s="280">
        <v>653.41999999999996</v>
      </c>
      <c r="AS32" s="280">
        <v>532.12</v>
      </c>
      <c r="AT32" s="280">
        <v>3219.78</v>
      </c>
      <c r="AU32" s="280">
        <v>0</v>
      </c>
      <c r="AV32" s="280">
        <v>76.75</v>
      </c>
      <c r="AW32" s="280">
        <v>0</v>
      </c>
      <c r="AX32" s="278"/>
      <c r="AY32" s="283"/>
      <c r="AZ32" s="226"/>
      <c r="BA32" s="226"/>
      <c r="BB32" s="226">
        <f t="shared" si="4"/>
        <v>0</v>
      </c>
      <c r="BD32" s="275">
        <v>45865</v>
      </c>
      <c r="BE32" s="277">
        <v>6591.96</v>
      </c>
      <c r="BF32" s="280">
        <v>0</v>
      </c>
      <c r="BG32" s="278"/>
      <c r="BH32" s="88"/>
      <c r="BI32" s="226"/>
      <c r="BJ32" s="226"/>
      <c r="BK32" s="226">
        <f t="shared" si="5"/>
        <v>0</v>
      </c>
      <c r="BM32" s="275">
        <v>45865</v>
      </c>
      <c r="BN32" s="277">
        <v>0</v>
      </c>
      <c r="BO32" s="280">
        <v>0</v>
      </c>
      <c r="BP32" s="278"/>
      <c r="BQ32" s="283"/>
      <c r="BR32" s="226"/>
      <c r="BS32" s="226"/>
      <c r="BT32" s="226">
        <f t="shared" si="6"/>
        <v>0</v>
      </c>
      <c r="BY32" s="278"/>
    </row>
    <row r="33" spans="2:81" ht="15.75" x14ac:dyDescent="0.25">
      <c r="B33" s="275">
        <v>45866</v>
      </c>
      <c r="C33" s="276">
        <v>1198.68</v>
      </c>
      <c r="D33" s="276">
        <v>193.85</v>
      </c>
      <c r="E33" s="277">
        <v>3161.33</v>
      </c>
      <c r="F33" s="276">
        <v>0</v>
      </c>
      <c r="G33" s="278"/>
      <c r="H33" s="283"/>
      <c r="I33" s="329"/>
      <c r="J33" s="335"/>
      <c r="K33" s="226">
        <f t="shared" si="0"/>
        <v>0</v>
      </c>
      <c r="M33" s="275">
        <v>45866</v>
      </c>
      <c r="N33" s="277">
        <v>310.14999999999998</v>
      </c>
      <c r="O33" s="277">
        <v>55.32</v>
      </c>
      <c r="P33" s="280">
        <v>2436.61</v>
      </c>
      <c r="Q33" s="280">
        <v>129.03</v>
      </c>
      <c r="R33" s="280"/>
      <c r="S33" s="278"/>
      <c r="T33" s="283"/>
      <c r="U33" s="226"/>
      <c r="V33" s="226"/>
      <c r="W33" s="226">
        <f t="shared" si="1"/>
        <v>0</v>
      </c>
      <c r="Y33" s="275">
        <v>45866</v>
      </c>
      <c r="Z33" s="277">
        <v>1638.47</v>
      </c>
      <c r="AA33" s="277">
        <v>558.66</v>
      </c>
      <c r="AB33" s="278"/>
      <c r="AC33" s="283"/>
      <c r="AD33" s="226"/>
      <c r="AE33" s="226"/>
      <c r="AF33" s="226">
        <f t="shared" si="2"/>
        <v>558.66</v>
      </c>
      <c r="AH33" s="275">
        <v>45866</v>
      </c>
      <c r="AI33" s="281">
        <v>256</v>
      </c>
      <c r="AJ33" s="280">
        <v>0</v>
      </c>
      <c r="AK33" s="278"/>
      <c r="AL33" s="283"/>
      <c r="AM33" s="226"/>
      <c r="AN33" s="226"/>
      <c r="AO33" s="226">
        <f t="shared" si="3"/>
        <v>0</v>
      </c>
      <c r="AQ33" s="275">
        <v>45866</v>
      </c>
      <c r="AR33" s="280">
        <v>405.88</v>
      </c>
      <c r="AS33" s="280">
        <v>478.42</v>
      </c>
      <c r="AT33" s="280">
        <v>2561.14</v>
      </c>
      <c r="AU33" s="280">
        <v>0</v>
      </c>
      <c r="AV33" s="280">
        <v>73.959999999999994</v>
      </c>
      <c r="AW33" s="280">
        <v>0</v>
      </c>
      <c r="AX33" s="278"/>
      <c r="AY33" s="283"/>
      <c r="AZ33" s="226"/>
      <c r="BA33" s="226"/>
      <c r="BB33" s="226">
        <f t="shared" si="4"/>
        <v>0</v>
      </c>
      <c r="BD33" s="275">
        <v>45866</v>
      </c>
      <c r="BE33" s="277">
        <v>7147.69</v>
      </c>
      <c r="BF33" s="280">
        <v>0</v>
      </c>
      <c r="BG33" s="278"/>
      <c r="BH33" s="88"/>
      <c r="BI33" s="226"/>
      <c r="BJ33" s="226"/>
      <c r="BK33" s="226">
        <f t="shared" si="5"/>
        <v>0</v>
      </c>
      <c r="BM33" s="275">
        <v>45866</v>
      </c>
      <c r="BN33" s="277">
        <v>0</v>
      </c>
      <c r="BO33" s="280">
        <v>0</v>
      </c>
      <c r="BP33" s="278"/>
      <c r="BQ33" s="283"/>
      <c r="BR33" s="226"/>
      <c r="BS33" s="226"/>
      <c r="BT33" s="226">
        <f t="shared" si="6"/>
        <v>0</v>
      </c>
      <c r="BY33" s="278"/>
    </row>
    <row r="34" spans="2:81" ht="15.75" x14ac:dyDescent="0.25">
      <c r="B34" s="275">
        <v>45867</v>
      </c>
      <c r="C34" s="276">
        <v>1081.3800000000001</v>
      </c>
      <c r="D34" s="276">
        <v>348.97</v>
      </c>
      <c r="E34" s="277">
        <v>2497.5500000000002</v>
      </c>
      <c r="F34" s="276">
        <v>0</v>
      </c>
      <c r="G34" s="278"/>
      <c r="H34" s="283"/>
      <c r="I34" s="329"/>
      <c r="J34" s="335"/>
      <c r="K34" s="226">
        <f t="shared" si="0"/>
        <v>0</v>
      </c>
      <c r="M34" s="275">
        <v>45867</v>
      </c>
      <c r="N34" s="277">
        <v>2173.15</v>
      </c>
      <c r="O34" s="277">
        <v>284.33999999999997</v>
      </c>
      <c r="P34" s="280">
        <v>2933.96</v>
      </c>
      <c r="Q34" s="280">
        <v>138.88999999999999</v>
      </c>
      <c r="R34" s="280"/>
      <c r="S34" s="278"/>
      <c r="T34" s="283"/>
      <c r="U34" s="226"/>
      <c r="V34" s="226"/>
      <c r="W34" s="226">
        <f t="shared" si="1"/>
        <v>0</v>
      </c>
      <c r="Y34" s="275">
        <v>45867</v>
      </c>
      <c r="Z34" s="277">
        <v>636</v>
      </c>
      <c r="AA34" s="277">
        <v>521.86</v>
      </c>
      <c r="AB34" s="278"/>
      <c r="AC34" s="283"/>
      <c r="AD34" s="226"/>
      <c r="AE34" s="226"/>
      <c r="AF34" s="226">
        <f t="shared" si="2"/>
        <v>521.86</v>
      </c>
      <c r="AH34" s="275">
        <v>45867</v>
      </c>
      <c r="AI34" s="281">
        <v>990.4</v>
      </c>
      <c r="AJ34" s="280">
        <v>0</v>
      </c>
      <c r="AK34" s="278"/>
      <c r="AL34" s="283"/>
      <c r="AM34" s="226"/>
      <c r="AN34" s="226"/>
      <c r="AO34" s="226">
        <f t="shared" si="3"/>
        <v>0</v>
      </c>
      <c r="AQ34" s="275">
        <v>45867</v>
      </c>
      <c r="AR34" s="280">
        <v>594.79999999999995</v>
      </c>
      <c r="AS34" s="280">
        <v>511.33</v>
      </c>
      <c r="AT34" s="280">
        <v>2975.56</v>
      </c>
      <c r="AU34" s="280">
        <v>0</v>
      </c>
      <c r="AV34" s="280">
        <v>99.42</v>
      </c>
      <c r="AW34" s="280">
        <v>0</v>
      </c>
      <c r="AX34" s="278"/>
      <c r="AY34" s="283"/>
      <c r="AZ34" s="226"/>
      <c r="BA34" s="226"/>
      <c r="BB34" s="226">
        <f t="shared" si="4"/>
        <v>0</v>
      </c>
      <c r="BD34" s="275">
        <v>45867</v>
      </c>
      <c r="BE34" s="277">
        <v>4903.5600000000004</v>
      </c>
      <c r="BF34" s="280">
        <v>0</v>
      </c>
      <c r="BG34" s="278"/>
      <c r="BH34" s="88"/>
      <c r="BI34" s="226"/>
      <c r="BJ34" s="226"/>
      <c r="BK34" s="226">
        <f t="shared" si="5"/>
        <v>0</v>
      </c>
      <c r="BM34" s="275">
        <v>45867</v>
      </c>
      <c r="BN34" s="277">
        <v>0</v>
      </c>
      <c r="BO34" s="280">
        <v>0</v>
      </c>
      <c r="BP34" s="278"/>
      <c r="BQ34" s="283"/>
      <c r="BR34" s="226"/>
      <c r="BS34" s="226"/>
      <c r="BT34" s="226">
        <f t="shared" si="6"/>
        <v>0</v>
      </c>
      <c r="BY34" s="278"/>
    </row>
    <row r="35" spans="2:81" ht="15.75" x14ac:dyDescent="0.25">
      <c r="B35" s="275">
        <v>45868</v>
      </c>
      <c r="C35" s="276">
        <v>1959.66</v>
      </c>
      <c r="D35" s="276">
        <v>1297.8499999999999</v>
      </c>
      <c r="E35" s="277">
        <v>3996.14</v>
      </c>
      <c r="F35" s="276">
        <v>38.25</v>
      </c>
      <c r="G35" s="278"/>
      <c r="H35" s="283"/>
      <c r="I35" s="329"/>
      <c r="J35" s="335">
        <v>14.77427280000002</v>
      </c>
      <c r="K35" s="226">
        <f t="shared" si="0"/>
        <v>53.02427280000002</v>
      </c>
      <c r="M35" s="275">
        <v>45868</v>
      </c>
      <c r="N35" s="277">
        <v>1172.4000000000001</v>
      </c>
      <c r="O35" s="277">
        <v>324.99</v>
      </c>
      <c r="P35" s="280">
        <v>2274.38</v>
      </c>
      <c r="Q35" s="280">
        <v>128.61000000000001</v>
      </c>
      <c r="R35" s="280"/>
      <c r="S35" s="278"/>
      <c r="T35" s="283"/>
      <c r="U35" s="226"/>
      <c r="V35" s="226"/>
      <c r="W35" s="226">
        <f t="shared" si="1"/>
        <v>0</v>
      </c>
      <c r="Y35" s="275">
        <v>45868</v>
      </c>
      <c r="Z35" s="277">
        <v>1873.61</v>
      </c>
      <c r="AA35" s="277">
        <v>744.92</v>
      </c>
      <c r="AB35" s="278"/>
      <c r="AC35" s="283"/>
      <c r="AD35" s="226"/>
      <c r="AE35" s="226"/>
      <c r="AF35" s="226">
        <f t="shared" si="2"/>
        <v>744.92</v>
      </c>
      <c r="AH35" s="275">
        <v>45868</v>
      </c>
      <c r="AI35" s="281">
        <v>816.25</v>
      </c>
      <c r="AJ35" s="280">
        <v>0</v>
      </c>
      <c r="AK35" s="278"/>
      <c r="AL35" s="283"/>
      <c r="AM35" s="226"/>
      <c r="AN35" s="226"/>
      <c r="AO35" s="226">
        <f t="shared" si="3"/>
        <v>0</v>
      </c>
      <c r="AQ35" s="275">
        <v>45868</v>
      </c>
      <c r="AR35" s="280">
        <v>1140.92</v>
      </c>
      <c r="AS35" s="280">
        <v>277.18</v>
      </c>
      <c r="AT35" s="280">
        <v>2694.86</v>
      </c>
      <c r="AU35" s="280">
        <v>0</v>
      </c>
      <c r="AV35" s="280">
        <v>53.65</v>
      </c>
      <c r="AW35" s="280">
        <v>0</v>
      </c>
      <c r="AX35" s="278"/>
      <c r="AY35" s="283"/>
      <c r="AZ35" s="226"/>
      <c r="BA35" s="226"/>
      <c r="BB35" s="226">
        <f t="shared" si="4"/>
        <v>0</v>
      </c>
      <c r="BD35" s="275">
        <v>45868</v>
      </c>
      <c r="BE35" s="277">
        <v>8620.9699999999993</v>
      </c>
      <c r="BF35" s="280">
        <v>0</v>
      </c>
      <c r="BG35" s="278"/>
      <c r="BH35" s="88"/>
      <c r="BI35" s="226"/>
      <c r="BJ35" s="226"/>
      <c r="BK35" s="226">
        <f t="shared" si="5"/>
        <v>0</v>
      </c>
      <c r="BM35" s="275">
        <v>45868</v>
      </c>
      <c r="BN35" s="277">
        <v>877</v>
      </c>
      <c r="BO35" s="280">
        <v>118</v>
      </c>
      <c r="BP35" s="278"/>
      <c r="BQ35" s="283"/>
      <c r="BR35" s="226"/>
      <c r="BS35" s="226"/>
      <c r="BT35" s="226">
        <f t="shared" si="6"/>
        <v>118</v>
      </c>
      <c r="BY35" s="278"/>
    </row>
    <row r="36" spans="2:81" ht="16.5" thickBot="1" x14ac:dyDescent="0.3">
      <c r="B36" s="275">
        <v>45869</v>
      </c>
      <c r="C36" s="276">
        <v>1713.72</v>
      </c>
      <c r="D36" s="276">
        <v>1065.7</v>
      </c>
      <c r="E36" s="277">
        <v>4074.16</v>
      </c>
      <c r="F36" s="276">
        <v>0</v>
      </c>
      <c r="G36" s="278"/>
      <c r="H36" s="284"/>
      <c r="I36" s="329"/>
      <c r="J36" s="336"/>
      <c r="K36" s="227">
        <f t="shared" si="0"/>
        <v>0</v>
      </c>
      <c r="M36" s="275">
        <v>45869</v>
      </c>
      <c r="N36" s="277">
        <v>1623.22</v>
      </c>
      <c r="O36" s="277">
        <v>266.08999999999997</v>
      </c>
      <c r="P36" s="280">
        <v>4316.75</v>
      </c>
      <c r="Q36" s="280">
        <v>219.67</v>
      </c>
      <c r="R36" s="280"/>
      <c r="S36" s="278"/>
      <c r="T36" s="284"/>
      <c r="U36" s="227"/>
      <c r="V36" s="227"/>
      <c r="W36" s="227">
        <f t="shared" si="1"/>
        <v>0</v>
      </c>
      <c r="Y36" s="275">
        <v>45869</v>
      </c>
      <c r="Z36" s="277">
        <v>3656.77</v>
      </c>
      <c r="AA36" s="277">
        <v>1212.7</v>
      </c>
      <c r="AB36" s="278"/>
      <c r="AC36" s="284"/>
      <c r="AD36" s="227"/>
      <c r="AE36" s="227"/>
      <c r="AF36" s="227">
        <f t="shared" si="2"/>
        <v>1212.7</v>
      </c>
      <c r="AH36" s="275">
        <v>45869</v>
      </c>
      <c r="AI36" s="281">
        <v>1333</v>
      </c>
      <c r="AJ36" s="280">
        <v>0</v>
      </c>
      <c r="AK36" s="278"/>
      <c r="AL36" s="284"/>
      <c r="AM36" s="227"/>
      <c r="AN36" s="227"/>
      <c r="AO36" s="227">
        <f t="shared" si="3"/>
        <v>0</v>
      </c>
      <c r="AQ36" s="275">
        <v>45869</v>
      </c>
      <c r="AR36" s="280">
        <v>1301.08</v>
      </c>
      <c r="AS36" s="280">
        <v>589.44000000000005</v>
      </c>
      <c r="AT36" s="280">
        <v>3230.91</v>
      </c>
      <c r="AU36" s="280">
        <v>0</v>
      </c>
      <c r="AV36" s="280">
        <v>54.71</v>
      </c>
      <c r="AW36" s="280">
        <v>0</v>
      </c>
      <c r="AX36" s="278"/>
      <c r="AY36" s="284"/>
      <c r="AZ36" s="227"/>
      <c r="BA36" s="227"/>
      <c r="BB36" s="227">
        <f t="shared" si="4"/>
        <v>0</v>
      </c>
      <c r="BD36" s="275">
        <v>45869</v>
      </c>
      <c r="BE36" s="277">
        <v>10687.15</v>
      </c>
      <c r="BF36" s="280">
        <v>0</v>
      </c>
      <c r="BG36" s="278"/>
      <c r="BH36" s="88">
        <v>19.726200000000006</v>
      </c>
      <c r="BI36" s="227"/>
      <c r="BJ36" s="227"/>
      <c r="BK36" s="227">
        <f t="shared" si="5"/>
        <v>19.726200000000006</v>
      </c>
      <c r="BM36" s="275">
        <v>45869</v>
      </c>
      <c r="BN36" s="277">
        <v>1439</v>
      </c>
      <c r="BO36" s="280">
        <v>0</v>
      </c>
      <c r="BP36" s="278"/>
      <c r="BQ36" s="284"/>
      <c r="BR36" s="227"/>
      <c r="BS36" s="227"/>
      <c r="BT36" s="227">
        <f t="shared" si="6"/>
        <v>0</v>
      </c>
      <c r="BY36" s="278"/>
    </row>
    <row r="37" spans="2:81" s="309" customFormat="1" ht="16.5" thickBot="1" x14ac:dyDescent="0.3">
      <c r="B37" s="320"/>
      <c r="C37" s="331">
        <f t="shared" ref="C37:F37" si="7">SUM(C6:C36)</f>
        <v>57469.810000000005</v>
      </c>
      <c r="D37" s="331">
        <f t="shared" si="7"/>
        <v>35198.369999999995</v>
      </c>
      <c r="E37" s="331">
        <f t="shared" si="7"/>
        <v>122816.22000000002</v>
      </c>
      <c r="F37" s="331">
        <f t="shared" si="7"/>
        <v>311.37</v>
      </c>
      <c r="G37" s="306"/>
      <c r="H37" s="307">
        <f t="shared" ref="H37:K37" si="8">SUM(H6:H36)</f>
        <v>0</v>
      </c>
      <c r="I37" s="308">
        <f t="shared" si="8"/>
        <v>1302.39453</v>
      </c>
      <c r="J37" s="308">
        <f t="shared" si="8"/>
        <v>246.56296240000006</v>
      </c>
      <c r="K37" s="308">
        <f t="shared" si="8"/>
        <v>1860.3274924000002</v>
      </c>
      <c r="M37" s="320"/>
      <c r="N37" s="331">
        <f t="shared" ref="N37:Q37" si="9">SUM(N6:N36)</f>
        <v>20324.020000000004</v>
      </c>
      <c r="O37" s="331">
        <f t="shared" si="9"/>
        <v>4979.33</v>
      </c>
      <c r="P37" s="331">
        <f t="shared" si="9"/>
        <v>48534.950000000004</v>
      </c>
      <c r="Q37" s="332">
        <f t="shared" si="9"/>
        <v>5292.4599999999991</v>
      </c>
      <c r="R37" s="332">
        <f t="shared" ref="R37" si="10">SUM(R6:R36)</f>
        <v>0</v>
      </c>
      <c r="S37" s="306"/>
      <c r="T37" s="307">
        <f t="shared" ref="T37:W37" si="11">SUM(T6:T36)</f>
        <v>0</v>
      </c>
      <c r="U37" s="308">
        <f t="shared" si="11"/>
        <v>0</v>
      </c>
      <c r="V37" s="308">
        <f t="shared" si="11"/>
        <v>0</v>
      </c>
      <c r="W37" s="308">
        <f t="shared" si="11"/>
        <v>0</v>
      </c>
      <c r="Y37" s="320"/>
      <c r="Z37" s="333">
        <f t="shared" ref="Z37" si="12">SUM(Z6:Z36)</f>
        <v>57939.949999999983</v>
      </c>
      <c r="AA37" s="334">
        <f>SUM(AA6:AA36)</f>
        <v>21150.389999999992</v>
      </c>
      <c r="AB37" s="306"/>
      <c r="AC37" s="307">
        <f t="shared" ref="AC37:AF37" si="13">SUM(AC6:AC36)</f>
        <v>0</v>
      </c>
      <c r="AD37" s="308">
        <f t="shared" si="13"/>
        <v>0</v>
      </c>
      <c r="AE37" s="308">
        <f t="shared" si="13"/>
        <v>0</v>
      </c>
      <c r="AF37" s="308">
        <f t="shared" si="13"/>
        <v>21150.389999999992</v>
      </c>
      <c r="AH37" s="330"/>
      <c r="AI37" s="331">
        <f t="shared" ref="AI37:AJ37" si="14">SUM(AI6:AI36)</f>
        <v>26121.85</v>
      </c>
      <c r="AJ37" s="331">
        <f t="shared" si="14"/>
        <v>0</v>
      </c>
      <c r="AK37" s="306"/>
      <c r="AL37" s="307">
        <f t="shared" ref="AL37:AO37" si="15">SUM(AL6:AL36)</f>
        <v>0</v>
      </c>
      <c r="AM37" s="308">
        <f t="shared" si="15"/>
        <v>0</v>
      </c>
      <c r="AN37" s="308">
        <f t="shared" si="15"/>
        <v>0</v>
      </c>
      <c r="AO37" s="308">
        <f t="shared" si="15"/>
        <v>0</v>
      </c>
      <c r="AQ37" s="330"/>
      <c r="AR37" s="331">
        <f t="shared" ref="AR37:AV37" si="16">SUM(AR6:AR36)</f>
        <v>42100.9</v>
      </c>
      <c r="AS37" s="331">
        <f t="shared" si="16"/>
        <v>14988.840000000002</v>
      </c>
      <c r="AT37" s="331">
        <f t="shared" si="16"/>
        <v>101319.19</v>
      </c>
      <c r="AU37" s="331">
        <f t="shared" si="16"/>
        <v>0</v>
      </c>
      <c r="AV37" s="331">
        <f t="shared" si="16"/>
        <v>1467.7600000000004</v>
      </c>
      <c r="AW37" s="331">
        <f>SUM(AW6:AW36)</f>
        <v>35.67</v>
      </c>
      <c r="AX37" s="306"/>
      <c r="AY37" s="307">
        <f t="shared" ref="AY37:BB37" si="17">SUM(AY6:AY36)</f>
        <v>0</v>
      </c>
      <c r="AZ37" s="308">
        <f t="shared" si="17"/>
        <v>0</v>
      </c>
      <c r="BA37" s="308">
        <f t="shared" si="17"/>
        <v>0</v>
      </c>
      <c r="BB37" s="308">
        <f t="shared" si="17"/>
        <v>35.67</v>
      </c>
      <c r="BD37" s="330"/>
      <c r="BE37" s="331">
        <f t="shared" ref="BE37:BF37" si="18">SUM(BE6:BE36)</f>
        <v>245760.93</v>
      </c>
      <c r="BF37" s="331">
        <f t="shared" si="18"/>
        <v>0</v>
      </c>
      <c r="BG37" s="306"/>
      <c r="BH37" s="307">
        <f t="shared" ref="BH37:BK37" si="19">SUM(BH6:BH36)</f>
        <v>101.12945999999999</v>
      </c>
      <c r="BI37" s="308">
        <f t="shared" si="19"/>
        <v>0</v>
      </c>
      <c r="BJ37" s="308">
        <f t="shared" si="19"/>
        <v>0</v>
      </c>
      <c r="BK37" s="308">
        <f t="shared" si="19"/>
        <v>101.12945999999999</v>
      </c>
      <c r="BM37" s="330"/>
      <c r="BN37" s="331">
        <f t="shared" ref="BN37:BO37" si="20">SUM(BN6:BN36)</f>
        <v>2316</v>
      </c>
      <c r="BO37" s="331">
        <f t="shared" si="20"/>
        <v>118</v>
      </c>
      <c r="BP37" s="306"/>
      <c r="BQ37" s="307">
        <f t="shared" ref="BQ37:BT37" si="21">SUM(BQ6:BQ36)</f>
        <v>0</v>
      </c>
      <c r="BR37" s="308">
        <f t="shared" si="21"/>
        <v>0</v>
      </c>
      <c r="BS37" s="308">
        <f t="shared" si="21"/>
        <v>0</v>
      </c>
      <c r="BT37" s="308">
        <f t="shared" si="21"/>
        <v>118</v>
      </c>
      <c r="BY37" s="306"/>
    </row>
    <row r="40" spans="2:81" x14ac:dyDescent="0.25">
      <c r="B40" s="1" t="s">
        <v>70</v>
      </c>
      <c r="C40" s="1"/>
      <c r="D40" s="1"/>
      <c r="E40" s="1"/>
      <c r="F40" s="1"/>
      <c r="G40" s="1"/>
      <c r="H40" s="1"/>
      <c r="I40" s="1"/>
      <c r="J40" s="1"/>
      <c r="K40" s="1"/>
      <c r="M40" s="1"/>
      <c r="N40" s="1" t="s">
        <v>71</v>
      </c>
      <c r="O40" s="1"/>
      <c r="P40" s="1"/>
      <c r="Q40" s="1"/>
      <c r="R40" s="1"/>
      <c r="S40" s="1"/>
      <c r="T40" s="1"/>
      <c r="U40" s="1"/>
      <c r="V40" s="1"/>
      <c r="W40" s="1"/>
      <c r="Y40" s="1" t="s">
        <v>72</v>
      </c>
      <c r="AB40" s="1"/>
      <c r="AC40" s="1"/>
      <c r="AD40" s="1"/>
      <c r="AE40" s="1"/>
      <c r="AF40" s="1"/>
      <c r="AH40" s="1" t="s">
        <v>73</v>
      </c>
      <c r="AI40" s="1"/>
      <c r="AK40" s="1"/>
      <c r="AL40" s="1"/>
      <c r="AM40" s="1"/>
      <c r="AN40" s="1"/>
      <c r="AO40" s="1"/>
      <c r="AQ40" s="1" t="s">
        <v>74</v>
      </c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D40" s="1" t="s">
        <v>75</v>
      </c>
      <c r="BE40" s="1"/>
      <c r="BG40" s="1"/>
      <c r="BH40" s="1"/>
      <c r="BI40" s="1"/>
      <c r="BJ40" s="1"/>
      <c r="BK40" s="1"/>
      <c r="BM40" s="1" t="s">
        <v>76</v>
      </c>
      <c r="BN40" s="1"/>
      <c r="BP40" s="1"/>
      <c r="BQ40" s="1"/>
      <c r="BR40" s="1"/>
      <c r="BS40" s="1"/>
      <c r="BT40" s="1"/>
      <c r="BV40" s="1" t="s">
        <v>80</v>
      </c>
      <c r="BW40" s="1"/>
      <c r="BY40" s="1"/>
      <c r="BZ40" s="1"/>
      <c r="CA40" s="1"/>
      <c r="CB40" s="1"/>
      <c r="CC40" s="1"/>
    </row>
    <row r="41" spans="2:81" ht="15.75" thickBot="1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AB41" s="1"/>
      <c r="AC41" s="1"/>
      <c r="AD41" s="1"/>
      <c r="AE41" s="1"/>
      <c r="AF41" s="1"/>
      <c r="AK41" s="1"/>
      <c r="AL41" s="1"/>
      <c r="AM41" s="1"/>
      <c r="AN41" s="1"/>
      <c r="AO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G41" s="1"/>
      <c r="BH41" s="1"/>
      <c r="BI41" s="1"/>
      <c r="BJ41" s="1"/>
      <c r="BK41" s="1"/>
      <c r="BP41" s="1"/>
      <c r="BQ41" s="1"/>
      <c r="BR41" s="1"/>
      <c r="BS41" s="1"/>
      <c r="BT41" s="1"/>
      <c r="BY41" s="1"/>
      <c r="BZ41" s="1"/>
      <c r="CA41" s="1"/>
      <c r="CB41" s="1"/>
      <c r="CC41" s="1"/>
    </row>
    <row r="42" spans="2:81" ht="15.75" thickBot="1" x14ac:dyDescent="0.3">
      <c r="B42" s="1"/>
      <c r="C42" s="258" t="s">
        <v>77</v>
      </c>
      <c r="D42" s="258" t="s">
        <v>77</v>
      </c>
      <c r="E42" s="258" t="s">
        <v>77</v>
      </c>
      <c r="F42" s="258" t="s">
        <v>78</v>
      </c>
      <c r="G42" s="259"/>
      <c r="H42" s="290" t="s">
        <v>17</v>
      </c>
      <c r="I42" s="291" t="s">
        <v>17</v>
      </c>
      <c r="J42" s="292" t="s">
        <v>17</v>
      </c>
      <c r="K42" s="263" t="s">
        <v>23</v>
      </c>
      <c r="M42" s="1"/>
      <c r="N42" s="264" t="s">
        <v>16</v>
      </c>
      <c r="O42" s="264" t="s">
        <v>16</v>
      </c>
      <c r="P42" s="264" t="s">
        <v>16</v>
      </c>
      <c r="Q42" s="265" t="s">
        <v>67</v>
      </c>
      <c r="R42" s="265" t="s">
        <v>78</v>
      </c>
      <c r="S42" s="259"/>
      <c r="T42" s="290" t="s">
        <v>17</v>
      </c>
      <c r="U42" s="291" t="s">
        <v>17</v>
      </c>
      <c r="V42" s="292" t="s">
        <v>17</v>
      </c>
      <c r="W42" s="263" t="s">
        <v>23</v>
      </c>
      <c r="Z42" s="266" t="s">
        <v>16</v>
      </c>
      <c r="AA42" s="267" t="s">
        <v>67</v>
      </c>
      <c r="AB42" s="259"/>
      <c r="AC42" s="290" t="s">
        <v>17</v>
      </c>
      <c r="AD42" s="291" t="s">
        <v>17</v>
      </c>
      <c r="AE42" s="292" t="s">
        <v>17</v>
      </c>
      <c r="AF42" s="263" t="s">
        <v>23</v>
      </c>
      <c r="AI42" s="258" t="s">
        <v>77</v>
      </c>
      <c r="AJ42" s="258" t="s">
        <v>78</v>
      </c>
      <c r="AK42" s="259"/>
      <c r="AL42" s="290" t="s">
        <v>17</v>
      </c>
      <c r="AM42" s="291" t="s">
        <v>17</v>
      </c>
      <c r="AN42" s="292" t="s">
        <v>17</v>
      </c>
      <c r="AO42" s="263" t="s">
        <v>23</v>
      </c>
      <c r="AQ42" s="1"/>
      <c r="AR42" s="258" t="s">
        <v>77</v>
      </c>
      <c r="AS42" s="258" t="s">
        <v>77</v>
      </c>
      <c r="AT42" s="258" t="s">
        <v>77</v>
      </c>
      <c r="AU42" s="258" t="s">
        <v>78</v>
      </c>
      <c r="AV42" s="258" t="s">
        <v>78</v>
      </c>
      <c r="AW42" s="258" t="s">
        <v>78</v>
      </c>
      <c r="AX42" s="259"/>
      <c r="AY42" s="290" t="s">
        <v>17</v>
      </c>
      <c r="AZ42" s="291" t="s">
        <v>17</v>
      </c>
      <c r="BA42" s="292" t="s">
        <v>17</v>
      </c>
      <c r="BB42" s="263" t="s">
        <v>23</v>
      </c>
      <c r="BE42" s="258" t="s">
        <v>77</v>
      </c>
      <c r="BF42" s="258" t="s">
        <v>78</v>
      </c>
      <c r="BG42" s="259"/>
      <c r="BH42" s="290" t="s">
        <v>17</v>
      </c>
      <c r="BI42" s="291" t="s">
        <v>17</v>
      </c>
      <c r="BJ42" s="292" t="s">
        <v>17</v>
      </c>
      <c r="BK42" s="263" t="s">
        <v>23</v>
      </c>
      <c r="BN42" s="258" t="s">
        <v>77</v>
      </c>
      <c r="BO42" s="258" t="s">
        <v>78</v>
      </c>
      <c r="BP42" s="259"/>
      <c r="BQ42" s="290" t="s">
        <v>17</v>
      </c>
      <c r="BR42" s="291" t="s">
        <v>17</v>
      </c>
      <c r="BS42" s="292" t="s">
        <v>17</v>
      </c>
      <c r="BT42" s="263" t="s">
        <v>23</v>
      </c>
      <c r="BW42" s="258" t="s">
        <v>77</v>
      </c>
      <c r="BX42" s="258" t="s">
        <v>78</v>
      </c>
      <c r="BY42" s="259"/>
      <c r="BZ42" s="290" t="s">
        <v>17</v>
      </c>
      <c r="CA42" s="291" t="s">
        <v>17</v>
      </c>
      <c r="CB42" s="292" t="s">
        <v>17</v>
      </c>
      <c r="CC42" s="263" t="s">
        <v>23</v>
      </c>
    </row>
    <row r="43" spans="2:81" ht="15.75" thickBot="1" x14ac:dyDescent="0.3">
      <c r="B43" s="1"/>
      <c r="C43" s="268" t="s">
        <v>19</v>
      </c>
      <c r="D43" s="268" t="s">
        <v>20</v>
      </c>
      <c r="E43" s="268" t="s">
        <v>22</v>
      </c>
      <c r="F43" s="268" t="s">
        <v>19</v>
      </c>
      <c r="G43" s="259"/>
      <c r="H43" s="269" t="s">
        <v>64</v>
      </c>
      <c r="I43" s="270" t="s">
        <v>65</v>
      </c>
      <c r="J43" s="293" t="s">
        <v>66</v>
      </c>
      <c r="K43" s="294" t="s">
        <v>67</v>
      </c>
      <c r="M43" s="1"/>
      <c r="N43" s="272" t="s">
        <v>19</v>
      </c>
      <c r="O43" s="272" t="s">
        <v>20</v>
      </c>
      <c r="P43" s="272" t="s">
        <v>22</v>
      </c>
      <c r="Q43" s="272" t="s">
        <v>22</v>
      </c>
      <c r="R43" s="272" t="s">
        <v>19</v>
      </c>
      <c r="S43" s="259"/>
      <c r="T43" s="269" t="s">
        <v>64</v>
      </c>
      <c r="U43" s="270" t="s">
        <v>65</v>
      </c>
      <c r="V43" s="293" t="s">
        <v>66</v>
      </c>
      <c r="W43" s="294" t="s">
        <v>67</v>
      </c>
      <c r="Z43" s="273" t="s">
        <v>19</v>
      </c>
      <c r="AA43" s="274" t="s">
        <v>19</v>
      </c>
      <c r="AB43" s="259"/>
      <c r="AC43" s="269" t="s">
        <v>64</v>
      </c>
      <c r="AD43" s="270" t="s">
        <v>65</v>
      </c>
      <c r="AE43" s="293" t="s">
        <v>66</v>
      </c>
      <c r="AF43" s="294" t="s">
        <v>67</v>
      </c>
      <c r="AI43" s="268" t="s">
        <v>19</v>
      </c>
      <c r="AJ43" s="268" t="s">
        <v>19</v>
      </c>
      <c r="AK43" s="259"/>
      <c r="AL43" s="269" t="s">
        <v>64</v>
      </c>
      <c r="AM43" s="270" t="s">
        <v>65</v>
      </c>
      <c r="AN43" s="293" t="s">
        <v>66</v>
      </c>
      <c r="AO43" s="294" t="s">
        <v>67</v>
      </c>
      <c r="AQ43" s="1"/>
      <c r="AR43" s="268" t="s">
        <v>19</v>
      </c>
      <c r="AS43" s="268" t="s">
        <v>20</v>
      </c>
      <c r="AT43" s="268" t="s">
        <v>22</v>
      </c>
      <c r="AU43" s="268" t="s">
        <v>20</v>
      </c>
      <c r="AV43" s="268" t="s">
        <v>22</v>
      </c>
      <c r="AW43" s="268" t="s">
        <v>19</v>
      </c>
      <c r="AX43" s="259"/>
      <c r="AY43" s="269" t="s">
        <v>64</v>
      </c>
      <c r="AZ43" s="270" t="s">
        <v>65</v>
      </c>
      <c r="BA43" s="293" t="s">
        <v>66</v>
      </c>
      <c r="BB43" s="294" t="s">
        <v>67</v>
      </c>
      <c r="BE43" s="268" t="s">
        <v>19</v>
      </c>
      <c r="BF43" s="268" t="s">
        <v>19</v>
      </c>
      <c r="BG43" s="259"/>
      <c r="BH43" s="269" t="s">
        <v>64</v>
      </c>
      <c r="BI43" s="270" t="s">
        <v>65</v>
      </c>
      <c r="BJ43" s="293" t="s">
        <v>66</v>
      </c>
      <c r="BK43" s="294" t="s">
        <v>67</v>
      </c>
      <c r="BN43" s="268" t="s">
        <v>19</v>
      </c>
      <c r="BO43" s="268" t="s">
        <v>19</v>
      </c>
      <c r="BP43" s="259"/>
      <c r="BQ43" s="269" t="s">
        <v>64</v>
      </c>
      <c r="BR43" s="270" t="s">
        <v>65</v>
      </c>
      <c r="BS43" s="293" t="s">
        <v>66</v>
      </c>
      <c r="BT43" s="294" t="s">
        <v>67</v>
      </c>
      <c r="BW43" s="268" t="s">
        <v>19</v>
      </c>
      <c r="BX43" s="268" t="s">
        <v>19</v>
      </c>
      <c r="BY43" s="259"/>
      <c r="BZ43" s="269" t="s">
        <v>64</v>
      </c>
      <c r="CA43" s="270" t="s">
        <v>65</v>
      </c>
      <c r="CB43" s="293" t="s">
        <v>66</v>
      </c>
      <c r="CC43" s="294" t="s">
        <v>67</v>
      </c>
    </row>
    <row r="44" spans="2:81" ht="15.75" x14ac:dyDescent="0.25">
      <c r="B44" s="275">
        <v>45870</v>
      </c>
      <c r="C44" s="277">
        <v>2181.1999999999998</v>
      </c>
      <c r="D44" s="276">
        <v>1031.49</v>
      </c>
      <c r="E44" s="276">
        <v>5007.54</v>
      </c>
      <c r="F44" s="276">
        <v>0</v>
      </c>
      <c r="G44" s="278"/>
      <c r="H44" s="279"/>
      <c r="I44" s="329"/>
      <c r="J44" s="337">
        <v>25.480089599999985</v>
      </c>
      <c r="K44" s="225">
        <f t="shared" ref="K44:K74" si="22">SUM(F44:J44)</f>
        <v>25.480089599999985</v>
      </c>
      <c r="M44" s="275">
        <v>45870</v>
      </c>
      <c r="N44" s="280">
        <v>552</v>
      </c>
      <c r="O44" s="280">
        <v>251.51</v>
      </c>
      <c r="P44" s="280">
        <v>2853.22</v>
      </c>
      <c r="Q44" s="282">
        <v>211.58</v>
      </c>
      <c r="R44" s="282"/>
      <c r="S44" s="278"/>
      <c r="T44" s="279"/>
      <c r="U44" s="225"/>
      <c r="V44" s="225"/>
      <c r="W44" s="225">
        <f t="shared" ref="W44:W74" si="23">SUM(R44:V44)</f>
        <v>0</v>
      </c>
      <c r="Y44" s="275">
        <v>45870</v>
      </c>
      <c r="Z44" s="277">
        <v>2552.38</v>
      </c>
      <c r="AA44" s="277">
        <v>603.96</v>
      </c>
      <c r="AB44" s="278"/>
      <c r="AC44" s="279"/>
      <c r="AD44" s="225"/>
      <c r="AE44" s="225"/>
      <c r="AF44" s="225">
        <f t="shared" ref="AF44:AF74" si="24">SUM(AA44:AE44)</f>
        <v>603.96</v>
      </c>
      <c r="AH44" s="275">
        <v>45870</v>
      </c>
      <c r="AI44" s="277">
        <v>726.51</v>
      </c>
      <c r="AJ44" s="280">
        <v>0</v>
      </c>
      <c r="AK44" s="278"/>
      <c r="AL44" s="279"/>
      <c r="AM44" s="225"/>
      <c r="AN44" s="225"/>
      <c r="AO44" s="225">
        <f t="shared" ref="AO44:AO74" si="25">SUM(AJ44:AN44)</f>
        <v>0</v>
      </c>
      <c r="AQ44" s="275">
        <v>45870</v>
      </c>
      <c r="AR44" s="277">
        <v>1291.26</v>
      </c>
      <c r="AS44" s="280">
        <v>342.28</v>
      </c>
      <c r="AT44" s="280">
        <v>3329.33</v>
      </c>
      <c r="AU44" s="280"/>
      <c r="AV44" s="282">
        <v>46.89</v>
      </c>
      <c r="AW44" s="280">
        <v>0</v>
      </c>
      <c r="AX44" s="278"/>
      <c r="AY44" s="279"/>
      <c r="AZ44" s="225"/>
      <c r="BA44" s="225"/>
      <c r="BB44" s="225">
        <f t="shared" ref="BB44:BB74" si="26">SUM(AW44:BA44)</f>
        <v>0</v>
      </c>
      <c r="BD44" s="275">
        <v>45870</v>
      </c>
      <c r="BE44" s="277">
        <v>9964.5400000000009</v>
      </c>
      <c r="BF44" s="280">
        <v>0</v>
      </c>
      <c r="BG44" s="278"/>
      <c r="BH44" s="88"/>
      <c r="BI44" s="225"/>
      <c r="BJ44" s="225"/>
      <c r="BK44" s="225">
        <f t="shared" ref="BK44:BK74" si="27">SUM(BF44:BJ44)</f>
        <v>0</v>
      </c>
      <c r="BM44" s="275">
        <v>45870</v>
      </c>
      <c r="BN44" s="277">
        <v>912.5</v>
      </c>
      <c r="BO44" s="276">
        <v>0</v>
      </c>
      <c r="BP44" s="278"/>
      <c r="BQ44" s="279"/>
      <c r="BR44" s="225"/>
      <c r="BS44" s="225"/>
      <c r="BT44" s="225">
        <f t="shared" ref="BT44:BT74" si="28">SUM(BO44:BS44)</f>
        <v>0</v>
      </c>
      <c r="BV44" s="275">
        <v>45870</v>
      </c>
      <c r="BW44" s="277">
        <v>0</v>
      </c>
      <c r="BX44" s="277">
        <v>0</v>
      </c>
      <c r="BY44" s="278"/>
      <c r="BZ44" s="279"/>
      <c r="CA44" s="225"/>
      <c r="CB44" s="225"/>
      <c r="CC44" s="225">
        <f t="shared" ref="CC44:CC74" si="29">SUM(BX44:CB44)</f>
        <v>0</v>
      </c>
    </row>
    <row r="45" spans="2:81" ht="15.75" x14ac:dyDescent="0.25">
      <c r="B45" s="275">
        <v>45871</v>
      </c>
      <c r="C45" s="277">
        <v>2286.75</v>
      </c>
      <c r="D45" s="276">
        <v>1376.65</v>
      </c>
      <c r="E45" s="276">
        <v>4686.6899999999996</v>
      </c>
      <c r="F45" s="276">
        <v>108.74</v>
      </c>
      <c r="G45" s="278"/>
      <c r="H45" s="283"/>
      <c r="I45" s="329"/>
      <c r="J45" s="335"/>
      <c r="K45" s="226">
        <f t="shared" si="22"/>
        <v>108.74</v>
      </c>
      <c r="M45" s="275">
        <v>45871</v>
      </c>
      <c r="N45" s="280">
        <v>679.8</v>
      </c>
      <c r="O45" s="280">
        <v>249.34</v>
      </c>
      <c r="P45" s="280">
        <v>3756.52</v>
      </c>
      <c r="Q45" s="282">
        <v>171.32</v>
      </c>
      <c r="R45" s="282"/>
      <c r="S45" s="278"/>
      <c r="T45" s="283"/>
      <c r="U45" s="226"/>
      <c r="V45" s="226"/>
      <c r="W45" s="226">
        <f t="shared" si="23"/>
        <v>0</v>
      </c>
      <c r="Y45" s="275">
        <v>45871</v>
      </c>
      <c r="Z45" s="277">
        <v>1327.38</v>
      </c>
      <c r="AA45" s="277">
        <v>566.54</v>
      </c>
      <c r="AB45" s="278"/>
      <c r="AC45" s="283"/>
      <c r="AD45" s="226"/>
      <c r="AE45" s="226"/>
      <c r="AF45" s="226">
        <f t="shared" si="24"/>
        <v>566.54</v>
      </c>
      <c r="AH45" s="275">
        <v>45871</v>
      </c>
      <c r="AI45" s="277">
        <v>422.75</v>
      </c>
      <c r="AJ45" s="280">
        <v>0</v>
      </c>
      <c r="AK45" s="278"/>
      <c r="AL45" s="283"/>
      <c r="AM45" s="226"/>
      <c r="AN45" s="226"/>
      <c r="AO45" s="226">
        <f t="shared" si="25"/>
        <v>0</v>
      </c>
      <c r="AQ45" s="275">
        <v>45871</v>
      </c>
      <c r="AR45" s="277">
        <v>1245.78</v>
      </c>
      <c r="AS45" s="280">
        <v>655.17999999999995</v>
      </c>
      <c r="AT45" s="280">
        <v>3524.05</v>
      </c>
      <c r="AU45" s="282"/>
      <c r="AV45" s="282">
        <v>63.99</v>
      </c>
      <c r="AW45" s="282">
        <v>74.739999999999995</v>
      </c>
      <c r="AX45" s="278"/>
      <c r="AY45" s="283"/>
      <c r="AZ45" s="226"/>
      <c r="BA45" s="226"/>
      <c r="BB45" s="226">
        <f t="shared" si="26"/>
        <v>74.739999999999995</v>
      </c>
      <c r="BD45" s="275">
        <v>45871</v>
      </c>
      <c r="BE45" s="277">
        <v>9053.6299999999992</v>
      </c>
      <c r="BF45" s="280">
        <v>0</v>
      </c>
      <c r="BG45" s="278"/>
      <c r="BH45" s="88"/>
      <c r="BI45" s="226"/>
      <c r="BJ45" s="226"/>
      <c r="BK45" s="226">
        <f t="shared" si="27"/>
        <v>0</v>
      </c>
      <c r="BM45" s="275">
        <v>45871</v>
      </c>
      <c r="BN45" s="277">
        <v>1306.7</v>
      </c>
      <c r="BO45" s="276">
        <v>0</v>
      </c>
      <c r="BP45" s="278"/>
      <c r="BQ45" s="283"/>
      <c r="BR45" s="226"/>
      <c r="BS45" s="226"/>
      <c r="BT45" s="226">
        <f t="shared" si="28"/>
        <v>0</v>
      </c>
      <c r="BV45" s="275">
        <v>45871</v>
      </c>
      <c r="BW45" s="277">
        <v>0</v>
      </c>
      <c r="BX45" s="277">
        <v>0</v>
      </c>
      <c r="BY45" s="278"/>
      <c r="BZ45" s="283"/>
      <c r="CA45" s="226"/>
      <c r="CB45" s="226"/>
      <c r="CC45" s="226">
        <f t="shared" si="29"/>
        <v>0</v>
      </c>
    </row>
    <row r="46" spans="2:81" ht="15.75" x14ac:dyDescent="0.25">
      <c r="B46" s="275">
        <v>45872</v>
      </c>
      <c r="C46" s="277">
        <v>678.75</v>
      </c>
      <c r="D46" s="276">
        <v>898.5</v>
      </c>
      <c r="E46" s="276">
        <v>2855.25</v>
      </c>
      <c r="F46" s="276">
        <v>0</v>
      </c>
      <c r="G46" s="278"/>
      <c r="H46" s="283"/>
      <c r="I46" s="329"/>
      <c r="J46" s="335"/>
      <c r="K46" s="226">
        <f t="shared" si="22"/>
        <v>0</v>
      </c>
      <c r="M46" s="275">
        <v>45872</v>
      </c>
      <c r="N46" s="280">
        <v>387.1</v>
      </c>
      <c r="O46" s="280">
        <v>288.45999999999998</v>
      </c>
      <c r="P46" s="280">
        <v>1419.75</v>
      </c>
      <c r="Q46" s="282">
        <v>146.03</v>
      </c>
      <c r="R46" s="282"/>
      <c r="S46" s="278"/>
      <c r="T46" s="283"/>
      <c r="U46" s="226"/>
      <c r="V46" s="226"/>
      <c r="W46" s="226">
        <f t="shared" si="23"/>
        <v>0</v>
      </c>
      <c r="Y46" s="275">
        <v>45872</v>
      </c>
      <c r="Z46" s="277">
        <v>1548.73</v>
      </c>
      <c r="AA46" s="277">
        <v>465.4</v>
      </c>
      <c r="AB46" s="278"/>
      <c r="AC46" s="283"/>
      <c r="AD46" s="226"/>
      <c r="AE46" s="226"/>
      <c r="AF46" s="226">
        <f t="shared" si="24"/>
        <v>465.4</v>
      </c>
      <c r="AH46" s="275">
        <v>45872</v>
      </c>
      <c r="AI46" s="277">
        <v>944</v>
      </c>
      <c r="AJ46" s="280">
        <v>0</v>
      </c>
      <c r="AK46" s="278"/>
      <c r="AL46" s="283"/>
      <c r="AM46" s="226"/>
      <c r="AN46" s="226"/>
      <c r="AO46" s="226">
        <f t="shared" si="25"/>
        <v>0</v>
      </c>
      <c r="AQ46" s="275">
        <v>45872</v>
      </c>
      <c r="AR46" s="277">
        <v>737.84</v>
      </c>
      <c r="AS46" s="280">
        <v>329.97</v>
      </c>
      <c r="AT46" s="280">
        <v>2651.54</v>
      </c>
      <c r="AU46" s="280"/>
      <c r="AV46" s="282">
        <v>35.619999999999997</v>
      </c>
      <c r="AW46" s="280">
        <v>0</v>
      </c>
      <c r="AX46" s="278"/>
      <c r="AY46" s="283"/>
      <c r="AZ46" s="226"/>
      <c r="BA46" s="226"/>
      <c r="BB46" s="226">
        <f t="shared" si="26"/>
        <v>0</v>
      </c>
      <c r="BD46" s="275">
        <v>45872</v>
      </c>
      <c r="BE46" s="277">
        <v>5832.39</v>
      </c>
      <c r="BF46" s="280">
        <v>0</v>
      </c>
      <c r="BG46" s="278"/>
      <c r="BH46" s="88"/>
      <c r="BI46" s="226"/>
      <c r="BJ46" s="226"/>
      <c r="BK46" s="226">
        <f t="shared" si="27"/>
        <v>0</v>
      </c>
      <c r="BM46" s="275">
        <v>45872</v>
      </c>
      <c r="BN46" s="277">
        <v>4753.5</v>
      </c>
      <c r="BO46" s="276">
        <v>135</v>
      </c>
      <c r="BP46" s="278"/>
      <c r="BQ46" s="283"/>
      <c r="BR46" s="226"/>
      <c r="BS46" s="226"/>
      <c r="BT46" s="226">
        <f t="shared" si="28"/>
        <v>135</v>
      </c>
      <c r="BV46" s="275">
        <v>45872</v>
      </c>
      <c r="BW46" s="277">
        <v>0</v>
      </c>
      <c r="BX46" s="277">
        <v>0</v>
      </c>
      <c r="BY46" s="278"/>
      <c r="BZ46" s="283"/>
      <c r="CA46" s="226"/>
      <c r="CB46" s="226"/>
      <c r="CC46" s="226">
        <f t="shared" si="29"/>
        <v>0</v>
      </c>
    </row>
    <row r="47" spans="2:81" ht="15.75" x14ac:dyDescent="0.25">
      <c r="B47" s="275">
        <v>45873</v>
      </c>
      <c r="C47" s="277">
        <v>1996.03</v>
      </c>
      <c r="D47" s="276">
        <v>832.17</v>
      </c>
      <c r="E47" s="276">
        <v>2159.77</v>
      </c>
      <c r="F47" s="276">
        <v>0</v>
      </c>
      <c r="G47" s="278"/>
      <c r="H47" s="283"/>
      <c r="I47" s="329"/>
      <c r="J47" s="335">
        <v>11.267538900000005</v>
      </c>
      <c r="K47" s="226">
        <f t="shared" si="22"/>
        <v>11.267538900000005</v>
      </c>
      <c r="M47" s="275">
        <v>45873</v>
      </c>
      <c r="N47" s="280">
        <v>484.66</v>
      </c>
      <c r="O47" s="280">
        <v>259.43</v>
      </c>
      <c r="P47" s="280">
        <v>2572.61</v>
      </c>
      <c r="Q47" s="282">
        <v>121.97</v>
      </c>
      <c r="R47" s="282"/>
      <c r="S47" s="278"/>
      <c r="T47" s="283"/>
      <c r="U47" s="226"/>
      <c r="V47" s="226"/>
      <c r="W47" s="226">
        <f t="shared" si="23"/>
        <v>0</v>
      </c>
      <c r="Y47" s="275">
        <v>45873</v>
      </c>
      <c r="Z47" s="277">
        <v>2439.5300000000002</v>
      </c>
      <c r="AA47" s="277">
        <v>727.85</v>
      </c>
      <c r="AB47" s="278"/>
      <c r="AC47" s="283"/>
      <c r="AD47" s="226"/>
      <c r="AE47" s="226"/>
      <c r="AF47" s="226">
        <f t="shared" si="24"/>
        <v>727.85</v>
      </c>
      <c r="AH47" s="275">
        <v>45873</v>
      </c>
      <c r="AI47" s="277">
        <v>957.5</v>
      </c>
      <c r="AJ47" s="280">
        <v>0</v>
      </c>
      <c r="AK47" s="278"/>
      <c r="AL47" s="283"/>
      <c r="AM47" s="226"/>
      <c r="AN47" s="226"/>
      <c r="AO47" s="226">
        <f t="shared" si="25"/>
        <v>0</v>
      </c>
      <c r="AQ47" s="275">
        <v>45873</v>
      </c>
      <c r="AR47" s="277">
        <v>1065.1300000000001</v>
      </c>
      <c r="AS47" s="280">
        <v>425.58</v>
      </c>
      <c r="AT47" s="280">
        <v>3203.64</v>
      </c>
      <c r="AU47" s="280"/>
      <c r="AV47" s="282">
        <v>56.16</v>
      </c>
      <c r="AW47" s="280">
        <v>0</v>
      </c>
      <c r="AX47" s="278"/>
      <c r="AY47" s="283"/>
      <c r="AZ47" s="226"/>
      <c r="BA47" s="226"/>
      <c r="BB47" s="226">
        <f t="shared" si="26"/>
        <v>0</v>
      </c>
      <c r="BD47" s="275">
        <v>45873</v>
      </c>
      <c r="BE47" s="277">
        <v>7169.42</v>
      </c>
      <c r="BF47" s="280">
        <v>0</v>
      </c>
      <c r="BG47" s="278"/>
      <c r="BH47" s="88">
        <v>2.3299999999999983</v>
      </c>
      <c r="BI47" s="226"/>
      <c r="BJ47" s="226"/>
      <c r="BK47" s="226">
        <f t="shared" si="27"/>
        <v>2.3299999999999983</v>
      </c>
      <c r="BM47" s="275">
        <v>45873</v>
      </c>
      <c r="BN47" s="277">
        <v>2789.5</v>
      </c>
      <c r="BO47" s="276">
        <v>260</v>
      </c>
      <c r="BP47" s="278"/>
      <c r="BQ47" s="283"/>
      <c r="BR47" s="226"/>
      <c r="BS47" s="226"/>
      <c r="BT47" s="226">
        <f t="shared" si="28"/>
        <v>260</v>
      </c>
      <c r="BV47" s="275">
        <v>45873</v>
      </c>
      <c r="BW47" s="277">
        <v>0</v>
      </c>
      <c r="BX47" s="277">
        <v>0</v>
      </c>
      <c r="BY47" s="278"/>
      <c r="BZ47" s="283"/>
      <c r="CA47" s="226"/>
      <c r="CB47" s="226"/>
      <c r="CC47" s="226">
        <f t="shared" si="29"/>
        <v>0</v>
      </c>
    </row>
    <row r="48" spans="2:81" ht="15.75" x14ac:dyDescent="0.25">
      <c r="B48" s="275">
        <v>45874</v>
      </c>
      <c r="C48" s="277">
        <v>1466.24</v>
      </c>
      <c r="D48" s="276">
        <v>832.86</v>
      </c>
      <c r="E48" s="276">
        <v>3252.68</v>
      </c>
      <c r="F48" s="276">
        <v>9.3000000000000007</v>
      </c>
      <c r="G48" s="278"/>
      <c r="H48" s="283"/>
      <c r="I48" s="329">
        <v>244.03000000000009</v>
      </c>
      <c r="J48" s="335"/>
      <c r="K48" s="226">
        <f t="shared" si="22"/>
        <v>253.3300000000001</v>
      </c>
      <c r="M48" s="275">
        <v>45874</v>
      </c>
      <c r="N48" s="280">
        <v>2833.6</v>
      </c>
      <c r="O48" s="280">
        <v>194.91</v>
      </c>
      <c r="P48" s="280">
        <v>2835.49</v>
      </c>
      <c r="Q48" s="282">
        <v>211.24</v>
      </c>
      <c r="R48" s="282"/>
      <c r="S48" s="278"/>
      <c r="T48" s="283"/>
      <c r="U48" s="226"/>
      <c r="V48" s="226"/>
      <c r="W48" s="226">
        <f t="shared" si="23"/>
        <v>0</v>
      </c>
      <c r="Y48" s="275">
        <v>45874</v>
      </c>
      <c r="Z48" s="277">
        <v>1249</v>
      </c>
      <c r="AA48" s="277">
        <v>591.24</v>
      </c>
      <c r="AB48" s="278"/>
      <c r="AC48" s="283"/>
      <c r="AD48" s="226"/>
      <c r="AE48" s="226"/>
      <c r="AF48" s="226">
        <f t="shared" si="24"/>
        <v>591.24</v>
      </c>
      <c r="AH48" s="275">
        <v>45874</v>
      </c>
      <c r="AI48" s="277">
        <v>626.5</v>
      </c>
      <c r="AJ48" s="280">
        <v>0</v>
      </c>
      <c r="AK48" s="278"/>
      <c r="AL48" s="283"/>
      <c r="AM48" s="226"/>
      <c r="AN48" s="226"/>
      <c r="AO48" s="226">
        <f t="shared" si="25"/>
        <v>0</v>
      </c>
      <c r="AQ48" s="275">
        <v>45874</v>
      </c>
      <c r="AR48" s="277">
        <v>1296.07</v>
      </c>
      <c r="AS48" s="280">
        <v>291.19</v>
      </c>
      <c r="AT48" s="280">
        <v>2925.54</v>
      </c>
      <c r="AU48" s="280"/>
      <c r="AV48" s="282">
        <v>21.39</v>
      </c>
      <c r="AW48" s="280">
        <v>0</v>
      </c>
      <c r="AX48" s="278"/>
      <c r="AY48" s="283"/>
      <c r="AZ48" s="226"/>
      <c r="BA48" s="226"/>
      <c r="BB48" s="226">
        <f t="shared" si="26"/>
        <v>0</v>
      </c>
      <c r="BD48" s="275">
        <v>45874</v>
      </c>
      <c r="BE48" s="280">
        <v>10769.83</v>
      </c>
      <c r="BF48" s="280">
        <v>0</v>
      </c>
      <c r="BG48" s="278"/>
      <c r="BH48" s="88"/>
      <c r="BI48" s="226"/>
      <c r="BJ48" s="226"/>
      <c r="BK48" s="226">
        <f t="shared" si="27"/>
        <v>0</v>
      </c>
      <c r="BM48" s="275">
        <v>45874</v>
      </c>
      <c r="BN48" s="277">
        <v>2453.5</v>
      </c>
      <c r="BO48" s="276">
        <v>126</v>
      </c>
      <c r="BP48" s="278"/>
      <c r="BQ48" s="283"/>
      <c r="BR48" s="226"/>
      <c r="BS48" s="226"/>
      <c r="BT48" s="226">
        <f t="shared" si="28"/>
        <v>126</v>
      </c>
      <c r="BV48" s="275">
        <v>45874</v>
      </c>
      <c r="BW48" s="277">
        <v>0</v>
      </c>
      <c r="BX48" s="277">
        <v>0</v>
      </c>
      <c r="BY48" s="278"/>
      <c r="BZ48" s="283"/>
      <c r="CA48" s="226"/>
      <c r="CB48" s="226"/>
      <c r="CC48" s="226">
        <f t="shared" si="29"/>
        <v>0</v>
      </c>
    </row>
    <row r="49" spans="2:81" ht="15.75" x14ac:dyDescent="0.25">
      <c r="B49" s="275">
        <v>45875</v>
      </c>
      <c r="C49" s="277">
        <v>1152.1300000000001</v>
      </c>
      <c r="D49" s="276">
        <v>1163.27</v>
      </c>
      <c r="E49" s="276">
        <v>3505.78</v>
      </c>
      <c r="F49" s="276">
        <v>0</v>
      </c>
      <c r="G49" s="278"/>
      <c r="H49" s="283"/>
      <c r="I49" s="329"/>
      <c r="J49" s="335"/>
      <c r="K49" s="226">
        <f t="shared" si="22"/>
        <v>0</v>
      </c>
      <c r="M49" s="275">
        <v>45875</v>
      </c>
      <c r="N49" s="280">
        <v>167</v>
      </c>
      <c r="O49" s="280">
        <v>219.36</v>
      </c>
      <c r="P49" s="280">
        <v>3639.11</v>
      </c>
      <c r="Q49" s="282">
        <v>242.82</v>
      </c>
      <c r="R49" s="282"/>
      <c r="S49" s="278"/>
      <c r="T49" s="283"/>
      <c r="U49" s="226"/>
      <c r="V49" s="226"/>
      <c r="W49" s="226">
        <f t="shared" si="23"/>
        <v>0</v>
      </c>
      <c r="Y49" s="275">
        <v>45875</v>
      </c>
      <c r="Z49" s="277">
        <v>1948.9</v>
      </c>
      <c r="AA49" s="277">
        <v>677.26</v>
      </c>
      <c r="AB49" s="278"/>
      <c r="AC49" s="283"/>
      <c r="AD49" s="226"/>
      <c r="AE49" s="226"/>
      <c r="AF49" s="226">
        <f t="shared" si="24"/>
        <v>677.26</v>
      </c>
      <c r="AH49" s="275">
        <v>45875</v>
      </c>
      <c r="AI49" s="277">
        <v>1082</v>
      </c>
      <c r="AJ49" s="280">
        <v>0</v>
      </c>
      <c r="AK49" s="278"/>
      <c r="AL49" s="283"/>
      <c r="AM49" s="226"/>
      <c r="AN49" s="226"/>
      <c r="AO49" s="226">
        <f t="shared" si="25"/>
        <v>0</v>
      </c>
      <c r="AQ49" s="275">
        <v>45875</v>
      </c>
      <c r="AR49" s="277">
        <v>681.45</v>
      </c>
      <c r="AS49" s="280">
        <v>479.76</v>
      </c>
      <c r="AT49" s="280">
        <v>3322.05</v>
      </c>
      <c r="AU49" s="280"/>
      <c r="AV49" s="282">
        <v>37.65</v>
      </c>
      <c r="AW49" s="280">
        <v>0</v>
      </c>
      <c r="AX49" s="278"/>
      <c r="AY49" s="283"/>
      <c r="AZ49" s="226"/>
      <c r="BA49" s="226"/>
      <c r="BB49" s="226">
        <f t="shared" si="26"/>
        <v>0</v>
      </c>
      <c r="BD49" s="275">
        <v>45875</v>
      </c>
      <c r="BE49" s="280">
        <v>6244.76</v>
      </c>
      <c r="BF49" s="280">
        <v>0</v>
      </c>
      <c r="BG49" s="278"/>
      <c r="BH49" s="88"/>
      <c r="BI49" s="226"/>
      <c r="BJ49" s="226"/>
      <c r="BK49" s="226">
        <f t="shared" si="27"/>
        <v>0</v>
      </c>
      <c r="BM49" s="275">
        <v>45875</v>
      </c>
      <c r="BN49" s="277">
        <v>4619.7</v>
      </c>
      <c r="BO49" s="276">
        <v>156</v>
      </c>
      <c r="BP49" s="278"/>
      <c r="BQ49" s="283"/>
      <c r="BR49" s="226"/>
      <c r="BS49" s="226"/>
      <c r="BT49" s="226">
        <f t="shared" si="28"/>
        <v>156</v>
      </c>
      <c r="BV49" s="275">
        <v>45875</v>
      </c>
      <c r="BW49" s="277">
        <v>0</v>
      </c>
      <c r="BX49" s="277">
        <v>0</v>
      </c>
      <c r="BY49" s="278"/>
      <c r="BZ49" s="283"/>
      <c r="CA49" s="226"/>
      <c r="CB49" s="226"/>
      <c r="CC49" s="226">
        <f t="shared" si="29"/>
        <v>0</v>
      </c>
    </row>
    <row r="50" spans="2:81" ht="15.75" x14ac:dyDescent="0.25">
      <c r="B50" s="275">
        <v>45876</v>
      </c>
      <c r="C50" s="277">
        <v>1622.7</v>
      </c>
      <c r="D50" s="276">
        <v>1390.47</v>
      </c>
      <c r="E50" s="276">
        <v>5072.76</v>
      </c>
      <c r="F50" s="276">
        <v>25.97</v>
      </c>
      <c r="G50" s="278"/>
      <c r="H50" s="283"/>
      <c r="I50" s="329">
        <v>147</v>
      </c>
      <c r="J50" s="335"/>
      <c r="K50" s="226">
        <f t="shared" si="22"/>
        <v>172.97</v>
      </c>
      <c r="M50" s="275">
        <v>45876</v>
      </c>
      <c r="N50" s="280">
        <v>467.95</v>
      </c>
      <c r="O50" s="280">
        <v>89.56</v>
      </c>
      <c r="P50" s="280">
        <v>1755.37</v>
      </c>
      <c r="Q50" s="280">
        <v>202.84</v>
      </c>
      <c r="R50" s="280"/>
      <c r="S50" s="278"/>
      <c r="T50" s="283"/>
      <c r="U50" s="226"/>
      <c r="V50" s="226"/>
      <c r="W50" s="226">
        <f t="shared" si="23"/>
        <v>0</v>
      </c>
      <c r="Y50" s="275">
        <v>45876</v>
      </c>
      <c r="Z50" s="277">
        <v>2549.0500000000002</v>
      </c>
      <c r="AA50" s="277">
        <v>912.21</v>
      </c>
      <c r="AB50" s="278"/>
      <c r="AC50" s="283"/>
      <c r="AD50" s="226"/>
      <c r="AE50" s="226"/>
      <c r="AF50" s="226">
        <f t="shared" si="24"/>
        <v>912.21</v>
      </c>
      <c r="AH50" s="275">
        <v>45876</v>
      </c>
      <c r="AI50" s="277">
        <v>617.6</v>
      </c>
      <c r="AJ50" s="280">
        <v>0</v>
      </c>
      <c r="AK50" s="278"/>
      <c r="AL50" s="283"/>
      <c r="AM50" s="226"/>
      <c r="AN50" s="226"/>
      <c r="AO50" s="226">
        <f t="shared" si="25"/>
        <v>0</v>
      </c>
      <c r="AQ50" s="275">
        <v>45876</v>
      </c>
      <c r="AR50" s="277">
        <v>1389.84</v>
      </c>
      <c r="AS50" s="280">
        <v>480.48</v>
      </c>
      <c r="AT50" s="280">
        <v>4206.49</v>
      </c>
      <c r="AU50" s="280"/>
      <c r="AV50" s="282">
        <v>47.07</v>
      </c>
      <c r="AW50" s="280">
        <v>0</v>
      </c>
      <c r="AX50" s="278"/>
      <c r="AY50" s="283"/>
      <c r="AZ50" s="226"/>
      <c r="BA50" s="226"/>
      <c r="BB50" s="226">
        <f t="shared" si="26"/>
        <v>0</v>
      </c>
      <c r="BD50" s="275">
        <v>45876</v>
      </c>
      <c r="BE50" s="280">
        <v>8330.14</v>
      </c>
      <c r="BF50" s="280">
        <v>0</v>
      </c>
      <c r="BG50" s="278"/>
      <c r="BH50" s="88"/>
      <c r="BI50" s="226"/>
      <c r="BJ50" s="226"/>
      <c r="BK50" s="226">
        <f t="shared" si="27"/>
        <v>0</v>
      </c>
      <c r="BM50" s="275">
        <v>45876</v>
      </c>
      <c r="BN50" s="277">
        <v>2733</v>
      </c>
      <c r="BO50" s="276">
        <v>78</v>
      </c>
      <c r="BP50" s="278"/>
      <c r="BQ50" s="283"/>
      <c r="BR50" s="226"/>
      <c r="BS50" s="226"/>
      <c r="BT50" s="226">
        <f t="shared" si="28"/>
        <v>78</v>
      </c>
      <c r="BV50" s="275">
        <v>45876</v>
      </c>
      <c r="BW50" s="277">
        <v>0</v>
      </c>
      <c r="BX50" s="277">
        <v>0</v>
      </c>
      <c r="BY50" s="278"/>
      <c r="BZ50" s="283"/>
      <c r="CA50" s="226"/>
      <c r="CB50" s="226"/>
      <c r="CC50" s="226">
        <f t="shared" si="29"/>
        <v>0</v>
      </c>
    </row>
    <row r="51" spans="2:81" ht="15.75" x14ac:dyDescent="0.25">
      <c r="B51" s="275">
        <v>45877</v>
      </c>
      <c r="C51" s="277">
        <v>1998.09</v>
      </c>
      <c r="D51" s="276">
        <v>1108.31</v>
      </c>
      <c r="E51" s="276">
        <v>6576.57</v>
      </c>
      <c r="F51" s="276">
        <v>0.7</v>
      </c>
      <c r="G51" s="278"/>
      <c r="H51" s="283"/>
      <c r="I51" s="329">
        <v>20.58</v>
      </c>
      <c r="J51" s="335">
        <v>32.44957070000001</v>
      </c>
      <c r="K51" s="226">
        <f t="shared" si="22"/>
        <v>53.729570700000011</v>
      </c>
      <c r="M51" s="275">
        <v>45877</v>
      </c>
      <c r="N51" s="280">
        <v>495</v>
      </c>
      <c r="O51" s="280">
        <v>147.09</v>
      </c>
      <c r="P51" s="280">
        <v>1352.62</v>
      </c>
      <c r="Q51" s="280">
        <v>161.37</v>
      </c>
      <c r="R51" s="280"/>
      <c r="S51" s="278"/>
      <c r="T51" s="283"/>
      <c r="U51" s="226"/>
      <c r="V51" s="226"/>
      <c r="W51" s="226">
        <f t="shared" si="23"/>
        <v>0</v>
      </c>
      <c r="Y51" s="275">
        <v>45877</v>
      </c>
      <c r="Z51" s="277">
        <v>1526.01</v>
      </c>
      <c r="AA51" s="277">
        <v>764.14</v>
      </c>
      <c r="AB51" s="278"/>
      <c r="AC51" s="283"/>
      <c r="AD51" s="226"/>
      <c r="AE51" s="226"/>
      <c r="AF51" s="226">
        <f t="shared" si="24"/>
        <v>764.14</v>
      </c>
      <c r="AH51" s="275">
        <v>45877</v>
      </c>
      <c r="AI51" s="277">
        <v>1290.8</v>
      </c>
      <c r="AJ51" s="280">
        <v>0</v>
      </c>
      <c r="AK51" s="278"/>
      <c r="AL51" s="283"/>
      <c r="AM51" s="226"/>
      <c r="AN51" s="226"/>
      <c r="AO51" s="226">
        <f t="shared" si="25"/>
        <v>0</v>
      </c>
      <c r="AQ51" s="275">
        <v>45877</v>
      </c>
      <c r="AR51" s="277">
        <v>1738.71</v>
      </c>
      <c r="AS51" s="280">
        <v>337.78</v>
      </c>
      <c r="AT51" s="280">
        <v>4775.55</v>
      </c>
      <c r="AU51" s="280"/>
      <c r="AV51" s="282">
        <v>79.97</v>
      </c>
      <c r="AW51" s="280">
        <v>0</v>
      </c>
      <c r="AX51" s="278"/>
      <c r="AY51" s="283"/>
      <c r="AZ51" s="226"/>
      <c r="BA51" s="226"/>
      <c r="BB51" s="226">
        <f t="shared" si="26"/>
        <v>0</v>
      </c>
      <c r="BD51" s="275">
        <v>45877</v>
      </c>
      <c r="BE51" s="280">
        <v>9767.0400000000009</v>
      </c>
      <c r="BF51" s="280">
        <v>0</v>
      </c>
      <c r="BG51" s="278"/>
      <c r="BH51" s="88">
        <v>5.4751899999999978</v>
      </c>
      <c r="BI51" s="226"/>
      <c r="BJ51" s="226"/>
      <c r="BK51" s="226">
        <f t="shared" si="27"/>
        <v>5.4751899999999978</v>
      </c>
      <c r="BM51" s="275">
        <v>45877</v>
      </c>
      <c r="BN51" s="277">
        <v>703.7</v>
      </c>
      <c r="BO51" s="276">
        <v>0</v>
      </c>
      <c r="BP51" s="278"/>
      <c r="BQ51" s="283"/>
      <c r="BR51" s="226"/>
      <c r="BS51" s="226"/>
      <c r="BT51" s="226">
        <f t="shared" si="28"/>
        <v>0</v>
      </c>
      <c r="BV51" s="275">
        <v>45877</v>
      </c>
      <c r="BW51" s="277">
        <v>0</v>
      </c>
      <c r="BX51" s="277">
        <v>0</v>
      </c>
      <c r="BY51" s="278"/>
      <c r="BZ51" s="283"/>
      <c r="CA51" s="226"/>
      <c r="CB51" s="226"/>
      <c r="CC51" s="226">
        <f t="shared" si="29"/>
        <v>0</v>
      </c>
    </row>
    <row r="52" spans="2:81" ht="15.75" x14ac:dyDescent="0.25">
      <c r="B52" s="275">
        <v>45878</v>
      </c>
      <c r="C52" s="277">
        <v>1721.88</v>
      </c>
      <c r="D52" s="276">
        <v>1139.19</v>
      </c>
      <c r="E52" s="276">
        <v>5861.8</v>
      </c>
      <c r="F52" s="276">
        <v>48.16</v>
      </c>
      <c r="G52" s="278"/>
      <c r="H52" s="283"/>
      <c r="I52" s="329"/>
      <c r="J52" s="335"/>
      <c r="K52" s="226">
        <f t="shared" si="22"/>
        <v>48.16</v>
      </c>
      <c r="M52" s="275">
        <v>45878</v>
      </c>
      <c r="N52" s="280">
        <v>209.3</v>
      </c>
      <c r="O52" s="280">
        <v>197.5</v>
      </c>
      <c r="P52" s="280">
        <v>3415.53</v>
      </c>
      <c r="Q52" s="280">
        <v>186.5</v>
      </c>
      <c r="R52" s="280"/>
      <c r="S52" s="278"/>
      <c r="T52" s="283"/>
      <c r="U52" s="226"/>
      <c r="V52" s="226"/>
      <c r="W52" s="226">
        <f t="shared" si="23"/>
        <v>0</v>
      </c>
      <c r="Y52" s="275">
        <v>45878</v>
      </c>
      <c r="Z52" s="277">
        <v>2298.04</v>
      </c>
      <c r="AA52" s="277">
        <v>697.23</v>
      </c>
      <c r="AB52" s="278"/>
      <c r="AC52" s="283"/>
      <c r="AD52" s="226"/>
      <c r="AE52" s="226"/>
      <c r="AF52" s="226">
        <f t="shared" si="24"/>
        <v>697.23</v>
      </c>
      <c r="AH52" s="275">
        <v>45878</v>
      </c>
      <c r="AI52" s="277">
        <v>926</v>
      </c>
      <c r="AJ52" s="280">
        <v>0</v>
      </c>
      <c r="AK52" s="278"/>
      <c r="AL52" s="283"/>
      <c r="AM52" s="226"/>
      <c r="AN52" s="226"/>
      <c r="AO52" s="226">
        <f t="shared" si="25"/>
        <v>0</v>
      </c>
      <c r="AQ52" s="275">
        <v>45878</v>
      </c>
      <c r="AR52" s="277">
        <v>2135.1999999999998</v>
      </c>
      <c r="AS52" s="280">
        <v>169.36</v>
      </c>
      <c r="AT52" s="280">
        <v>3561.8</v>
      </c>
      <c r="AU52" s="282"/>
      <c r="AV52" s="282">
        <v>67.3</v>
      </c>
      <c r="AW52" s="282">
        <v>127.45</v>
      </c>
      <c r="AX52" s="278"/>
      <c r="AY52" s="283"/>
      <c r="AZ52" s="226"/>
      <c r="BA52" s="226"/>
      <c r="BB52" s="226">
        <f t="shared" si="26"/>
        <v>127.45</v>
      </c>
      <c r="BD52" s="275">
        <v>45878</v>
      </c>
      <c r="BE52" s="280">
        <v>8954.44</v>
      </c>
      <c r="BF52" s="280">
        <v>0</v>
      </c>
      <c r="BG52" s="278"/>
      <c r="BH52" s="88"/>
      <c r="BI52" s="226"/>
      <c r="BJ52" s="226"/>
      <c r="BK52" s="226">
        <f t="shared" si="27"/>
        <v>0</v>
      </c>
      <c r="BM52" s="275">
        <v>45878</v>
      </c>
      <c r="BN52" s="277">
        <v>1378.3</v>
      </c>
      <c r="BO52" s="276">
        <v>0</v>
      </c>
      <c r="BP52" s="278"/>
      <c r="BQ52" s="283"/>
      <c r="BR52" s="226"/>
      <c r="BS52" s="226"/>
      <c r="BT52" s="226">
        <f t="shared" si="28"/>
        <v>0</v>
      </c>
      <c r="BV52" s="275">
        <v>45878</v>
      </c>
      <c r="BW52" s="277">
        <v>0</v>
      </c>
      <c r="BX52" s="277">
        <v>0</v>
      </c>
      <c r="BY52" s="278"/>
      <c r="BZ52" s="283"/>
      <c r="CA52" s="226"/>
      <c r="CB52" s="226"/>
      <c r="CC52" s="226">
        <f t="shared" si="29"/>
        <v>0</v>
      </c>
    </row>
    <row r="53" spans="2:81" ht="15.75" x14ac:dyDescent="0.25">
      <c r="B53" s="275">
        <v>45879</v>
      </c>
      <c r="C53" s="277">
        <v>942.9</v>
      </c>
      <c r="D53" s="276">
        <v>765.08</v>
      </c>
      <c r="E53" s="276">
        <v>2159.13</v>
      </c>
      <c r="F53" s="276">
        <v>0</v>
      </c>
      <c r="G53" s="278"/>
      <c r="H53" s="283"/>
      <c r="I53" s="329"/>
      <c r="J53" s="335"/>
      <c r="K53" s="226">
        <f t="shared" si="22"/>
        <v>0</v>
      </c>
      <c r="M53" s="275">
        <v>45879</v>
      </c>
      <c r="N53" s="280">
        <v>297.32</v>
      </c>
      <c r="O53" s="280">
        <v>252.63</v>
      </c>
      <c r="P53" s="280">
        <v>4568.08</v>
      </c>
      <c r="Q53" s="280">
        <v>154.41999999999999</v>
      </c>
      <c r="R53" s="280"/>
      <c r="S53" s="278"/>
      <c r="T53" s="283"/>
      <c r="U53" s="226"/>
      <c r="V53" s="226"/>
      <c r="W53" s="226">
        <f t="shared" si="23"/>
        <v>0</v>
      </c>
      <c r="Y53" s="275">
        <v>45879</v>
      </c>
      <c r="Z53" s="277">
        <v>938.68</v>
      </c>
      <c r="AA53" s="277">
        <v>186.33</v>
      </c>
      <c r="AB53" s="278"/>
      <c r="AC53" s="283"/>
      <c r="AD53" s="226"/>
      <c r="AE53" s="226"/>
      <c r="AF53" s="226">
        <f t="shared" si="24"/>
        <v>186.33</v>
      </c>
      <c r="AH53" s="275">
        <v>45879</v>
      </c>
      <c r="AI53" s="277">
        <v>1080.5</v>
      </c>
      <c r="AJ53" s="280">
        <v>0</v>
      </c>
      <c r="AK53" s="278"/>
      <c r="AL53" s="283"/>
      <c r="AM53" s="226"/>
      <c r="AN53" s="226"/>
      <c r="AO53" s="226">
        <f t="shared" si="25"/>
        <v>0</v>
      </c>
      <c r="AQ53" s="275">
        <v>45879</v>
      </c>
      <c r="AR53" s="277">
        <v>544.01</v>
      </c>
      <c r="AS53" s="280">
        <v>356.38</v>
      </c>
      <c r="AT53" s="280">
        <v>2930.21</v>
      </c>
      <c r="AU53" s="282"/>
      <c r="AV53" s="282">
        <v>88.55</v>
      </c>
      <c r="AW53" s="282">
        <v>103</v>
      </c>
      <c r="AX53" s="278"/>
      <c r="AY53" s="283"/>
      <c r="AZ53" s="226"/>
      <c r="BA53" s="226"/>
      <c r="BB53" s="226">
        <f t="shared" si="26"/>
        <v>103</v>
      </c>
      <c r="BD53" s="275">
        <v>45879</v>
      </c>
      <c r="BE53" s="280">
        <v>5033.29</v>
      </c>
      <c r="BF53" s="280">
        <v>0</v>
      </c>
      <c r="BG53" s="278"/>
      <c r="BH53" s="88"/>
      <c r="BI53" s="226"/>
      <c r="BJ53" s="226"/>
      <c r="BK53" s="226">
        <f t="shared" si="27"/>
        <v>0</v>
      </c>
      <c r="BM53" s="275">
        <v>45879</v>
      </c>
      <c r="BN53" s="277">
        <v>3820</v>
      </c>
      <c r="BO53" s="276">
        <v>156.4</v>
      </c>
      <c r="BP53" s="278"/>
      <c r="BQ53" s="283"/>
      <c r="BR53" s="226"/>
      <c r="BS53" s="226"/>
      <c r="BT53" s="226">
        <f t="shared" si="28"/>
        <v>156.4</v>
      </c>
      <c r="BV53" s="275">
        <v>45879</v>
      </c>
      <c r="BW53" s="277">
        <v>0</v>
      </c>
      <c r="BX53" s="277">
        <v>0</v>
      </c>
      <c r="BY53" s="278"/>
      <c r="BZ53" s="283"/>
      <c r="CA53" s="226"/>
      <c r="CB53" s="226"/>
      <c r="CC53" s="226">
        <f t="shared" si="29"/>
        <v>0</v>
      </c>
    </row>
    <row r="54" spans="2:81" ht="15.75" x14ac:dyDescent="0.25">
      <c r="B54" s="275">
        <v>45880</v>
      </c>
      <c r="C54" s="277">
        <v>2364.59</v>
      </c>
      <c r="D54" s="276">
        <v>1446.29</v>
      </c>
      <c r="E54" s="276">
        <v>0</v>
      </c>
      <c r="F54" s="276">
        <v>0</v>
      </c>
      <c r="G54" s="278"/>
      <c r="H54" s="283"/>
      <c r="I54" s="329"/>
      <c r="J54" s="335"/>
      <c r="K54" s="226">
        <f t="shared" si="22"/>
        <v>0</v>
      </c>
      <c r="M54" s="275">
        <v>45880</v>
      </c>
      <c r="N54" s="280">
        <v>199.1</v>
      </c>
      <c r="O54" s="280">
        <v>145.12</v>
      </c>
      <c r="P54" s="280">
        <v>4235.55</v>
      </c>
      <c r="Q54" s="280">
        <v>149.57</v>
      </c>
      <c r="R54" s="280"/>
      <c r="S54" s="278"/>
      <c r="T54" s="283"/>
      <c r="U54" s="226"/>
      <c r="V54" s="226"/>
      <c r="W54" s="226">
        <f t="shared" si="23"/>
        <v>0</v>
      </c>
      <c r="Y54" s="275">
        <v>45880</v>
      </c>
      <c r="Z54" s="277">
        <v>2779.79</v>
      </c>
      <c r="AA54" s="277">
        <v>892.46</v>
      </c>
      <c r="AB54" s="278"/>
      <c r="AC54" s="283"/>
      <c r="AD54" s="226"/>
      <c r="AE54" s="226"/>
      <c r="AF54" s="226">
        <f t="shared" si="24"/>
        <v>892.46</v>
      </c>
      <c r="AH54" s="275">
        <v>45880</v>
      </c>
      <c r="AI54" s="277">
        <v>866.65</v>
      </c>
      <c r="AJ54" s="280">
        <v>0</v>
      </c>
      <c r="AK54" s="278"/>
      <c r="AL54" s="283"/>
      <c r="AM54" s="226"/>
      <c r="AN54" s="226"/>
      <c r="AO54" s="226">
        <f t="shared" si="25"/>
        <v>0</v>
      </c>
      <c r="AQ54" s="275">
        <v>45880</v>
      </c>
      <c r="AR54" s="277">
        <v>667.04</v>
      </c>
      <c r="AS54" s="280">
        <v>328.81</v>
      </c>
      <c r="AT54" s="280">
        <v>4200.22</v>
      </c>
      <c r="AU54" s="280"/>
      <c r="AV54" s="282">
        <v>63.57</v>
      </c>
      <c r="AW54" s="280">
        <v>0</v>
      </c>
      <c r="AX54" s="278"/>
      <c r="AY54" s="283"/>
      <c r="AZ54" s="226"/>
      <c r="BA54" s="226"/>
      <c r="BB54" s="226">
        <f t="shared" si="26"/>
        <v>0</v>
      </c>
      <c r="BD54" s="275">
        <v>45880</v>
      </c>
      <c r="BE54" s="280">
        <v>9532.41</v>
      </c>
      <c r="BF54" s="280">
        <v>0</v>
      </c>
      <c r="BG54" s="278"/>
      <c r="BH54" s="88">
        <v>2.5</v>
      </c>
      <c r="BI54" s="226"/>
      <c r="BJ54" s="226"/>
      <c r="BK54" s="226">
        <f t="shared" si="27"/>
        <v>2.5</v>
      </c>
      <c r="BM54" s="275">
        <v>45880</v>
      </c>
      <c r="BN54" s="277">
        <v>3075.5</v>
      </c>
      <c r="BO54" s="276">
        <v>252</v>
      </c>
      <c r="BP54" s="278"/>
      <c r="BQ54" s="283"/>
      <c r="BR54" s="226"/>
      <c r="BS54" s="226"/>
      <c r="BT54" s="226">
        <f t="shared" si="28"/>
        <v>252</v>
      </c>
      <c r="BV54" s="275">
        <v>45880</v>
      </c>
      <c r="BW54" s="277">
        <v>0</v>
      </c>
      <c r="BX54" s="277">
        <v>0</v>
      </c>
      <c r="BY54" s="278"/>
      <c r="BZ54" s="283"/>
      <c r="CA54" s="226"/>
      <c r="CB54" s="226"/>
      <c r="CC54" s="226">
        <f t="shared" si="29"/>
        <v>0</v>
      </c>
    </row>
    <row r="55" spans="2:81" ht="15.75" x14ac:dyDescent="0.25">
      <c r="B55" s="275">
        <v>45881</v>
      </c>
      <c r="C55" s="277">
        <v>2192.86</v>
      </c>
      <c r="D55" s="276">
        <v>1137.9000000000001</v>
      </c>
      <c r="E55" s="276">
        <v>0</v>
      </c>
      <c r="F55" s="276">
        <v>0</v>
      </c>
      <c r="G55" s="278"/>
      <c r="H55" s="283"/>
      <c r="I55" s="329"/>
      <c r="J55" s="335">
        <v>92.42319690000005</v>
      </c>
      <c r="K55" s="226">
        <f t="shared" si="22"/>
        <v>92.42319690000005</v>
      </c>
      <c r="M55" s="275">
        <v>45881</v>
      </c>
      <c r="N55" s="280">
        <v>813.6</v>
      </c>
      <c r="O55" s="280">
        <v>247.74</v>
      </c>
      <c r="P55" s="280">
        <v>3111.05</v>
      </c>
      <c r="Q55" s="280">
        <v>244.55</v>
      </c>
      <c r="R55" s="280"/>
      <c r="S55" s="278"/>
      <c r="T55" s="283"/>
      <c r="U55" s="226"/>
      <c r="V55" s="226"/>
      <c r="W55" s="226">
        <f t="shared" si="23"/>
        <v>0</v>
      </c>
      <c r="Y55" s="275">
        <v>45881</v>
      </c>
      <c r="Z55" s="277">
        <v>6317.25</v>
      </c>
      <c r="AA55" s="277">
        <v>1708.93</v>
      </c>
      <c r="AB55" s="278"/>
      <c r="AC55" s="283"/>
      <c r="AD55" s="226"/>
      <c r="AE55" s="226"/>
      <c r="AF55" s="226">
        <f t="shared" si="24"/>
        <v>1708.93</v>
      </c>
      <c r="AH55" s="275">
        <v>45881</v>
      </c>
      <c r="AI55" s="277">
        <v>928</v>
      </c>
      <c r="AJ55" s="280">
        <v>0</v>
      </c>
      <c r="AK55" s="278"/>
      <c r="AL55" s="283"/>
      <c r="AM55" s="226"/>
      <c r="AN55" s="226"/>
      <c r="AO55" s="226">
        <f t="shared" si="25"/>
        <v>0</v>
      </c>
      <c r="AQ55" s="275">
        <v>45881</v>
      </c>
      <c r="AR55" s="280">
        <v>812.87</v>
      </c>
      <c r="AS55" s="280">
        <v>373.2</v>
      </c>
      <c r="AT55" s="280">
        <v>3440.81</v>
      </c>
      <c r="AU55" s="280"/>
      <c r="AV55" s="280">
        <v>80.63</v>
      </c>
      <c r="AW55" s="280">
        <v>0</v>
      </c>
      <c r="AX55" s="278"/>
      <c r="AY55" s="283"/>
      <c r="AZ55" s="226"/>
      <c r="BA55" s="226"/>
      <c r="BB55" s="226">
        <f t="shared" si="26"/>
        <v>0</v>
      </c>
      <c r="BD55" s="275">
        <v>45881</v>
      </c>
      <c r="BE55" s="280">
        <v>7397.14</v>
      </c>
      <c r="BF55" s="280">
        <v>0</v>
      </c>
      <c r="BG55" s="278"/>
      <c r="BH55" s="88"/>
      <c r="BI55" s="226"/>
      <c r="BJ55" s="226"/>
      <c r="BK55" s="226">
        <f t="shared" si="27"/>
        <v>0</v>
      </c>
      <c r="BM55" s="275">
        <v>45881</v>
      </c>
      <c r="BN55" s="277">
        <v>5546</v>
      </c>
      <c r="BO55" s="276">
        <v>243.2</v>
      </c>
      <c r="BP55" s="278"/>
      <c r="BQ55" s="283"/>
      <c r="BR55" s="226"/>
      <c r="BS55" s="226"/>
      <c r="BT55" s="226">
        <f t="shared" si="28"/>
        <v>243.2</v>
      </c>
      <c r="BV55" s="275">
        <v>45881</v>
      </c>
      <c r="BW55" s="277">
        <v>0</v>
      </c>
      <c r="BX55" s="277">
        <v>0</v>
      </c>
      <c r="BY55" s="278"/>
      <c r="BZ55" s="283"/>
      <c r="CA55" s="226"/>
      <c r="CB55" s="226"/>
      <c r="CC55" s="226">
        <f t="shared" si="29"/>
        <v>0</v>
      </c>
    </row>
    <row r="56" spans="2:81" ht="15.75" x14ac:dyDescent="0.25">
      <c r="B56" s="275">
        <v>45882</v>
      </c>
      <c r="C56" s="277">
        <v>1729.62</v>
      </c>
      <c r="D56" s="276">
        <v>999.75</v>
      </c>
      <c r="E56" s="276">
        <v>2839</v>
      </c>
      <c r="F56" s="276">
        <v>50.33</v>
      </c>
      <c r="G56" s="278"/>
      <c r="H56" s="283"/>
      <c r="I56" s="329">
        <v>153.32000000000005</v>
      </c>
      <c r="J56" s="335"/>
      <c r="K56" s="226">
        <f t="shared" si="22"/>
        <v>203.65000000000003</v>
      </c>
      <c r="M56" s="275">
        <v>45882</v>
      </c>
      <c r="N56" s="280">
        <v>705</v>
      </c>
      <c r="O56" s="280">
        <v>69.91</v>
      </c>
      <c r="P56" s="280">
        <v>5843.56</v>
      </c>
      <c r="Q56" s="280">
        <v>195.25</v>
      </c>
      <c r="R56" s="280"/>
      <c r="S56" s="278"/>
      <c r="T56" s="283"/>
      <c r="U56" s="226"/>
      <c r="V56" s="226"/>
      <c r="W56" s="226">
        <f t="shared" si="23"/>
        <v>0</v>
      </c>
      <c r="Y56" s="275">
        <v>45882</v>
      </c>
      <c r="Z56" s="277">
        <v>5049.8999999999996</v>
      </c>
      <c r="AA56" s="277">
        <v>1432.09</v>
      </c>
      <c r="AB56" s="278"/>
      <c r="AC56" s="283"/>
      <c r="AD56" s="226"/>
      <c r="AE56" s="226"/>
      <c r="AF56" s="226">
        <f t="shared" si="24"/>
        <v>1432.09</v>
      </c>
      <c r="AH56" s="275">
        <v>45882</v>
      </c>
      <c r="AI56" s="277">
        <v>686.3</v>
      </c>
      <c r="AJ56" s="280">
        <v>0</v>
      </c>
      <c r="AK56" s="278"/>
      <c r="AL56" s="283"/>
      <c r="AM56" s="226"/>
      <c r="AN56" s="226"/>
      <c r="AO56" s="226">
        <f t="shared" si="25"/>
        <v>0</v>
      </c>
      <c r="AQ56" s="275">
        <v>45882</v>
      </c>
      <c r="AR56" s="280">
        <v>1100.81</v>
      </c>
      <c r="AS56" s="280">
        <v>406.13</v>
      </c>
      <c r="AT56" s="280">
        <v>3913.62</v>
      </c>
      <c r="AU56" s="280"/>
      <c r="AV56" s="280">
        <v>62.13</v>
      </c>
      <c r="AW56" s="280">
        <v>0</v>
      </c>
      <c r="AX56" s="278"/>
      <c r="AY56" s="283"/>
      <c r="AZ56" s="226"/>
      <c r="BA56" s="226"/>
      <c r="BB56" s="226">
        <f t="shared" si="26"/>
        <v>0</v>
      </c>
      <c r="BD56" s="275">
        <v>45882</v>
      </c>
      <c r="BE56" s="280">
        <v>9154.08</v>
      </c>
      <c r="BF56" s="280">
        <v>0</v>
      </c>
      <c r="BG56" s="278"/>
      <c r="BH56" s="88"/>
      <c r="BI56" s="226"/>
      <c r="BJ56" s="226"/>
      <c r="BK56" s="226">
        <f t="shared" si="27"/>
        <v>0</v>
      </c>
      <c r="BM56" s="275">
        <v>45882</v>
      </c>
      <c r="BN56" s="277">
        <v>4925.3999999999996</v>
      </c>
      <c r="BO56" s="276">
        <v>334.8</v>
      </c>
      <c r="BP56" s="278"/>
      <c r="BQ56" s="283"/>
      <c r="BR56" s="226"/>
      <c r="BS56" s="226"/>
      <c r="BT56" s="226">
        <f t="shared" si="28"/>
        <v>334.8</v>
      </c>
      <c r="BV56" s="275">
        <v>45882</v>
      </c>
      <c r="BW56" s="277">
        <v>0</v>
      </c>
      <c r="BX56" s="277">
        <v>0</v>
      </c>
      <c r="BY56" s="278"/>
      <c r="BZ56" s="283"/>
      <c r="CA56" s="226"/>
      <c r="CB56" s="226"/>
      <c r="CC56" s="226">
        <f t="shared" si="29"/>
        <v>0</v>
      </c>
    </row>
    <row r="57" spans="2:81" ht="15.75" x14ac:dyDescent="0.25">
      <c r="B57" s="275">
        <v>45883</v>
      </c>
      <c r="C57" s="277">
        <v>1780.46</v>
      </c>
      <c r="D57" s="276">
        <v>1424.83</v>
      </c>
      <c r="E57" s="276">
        <v>5250.29</v>
      </c>
      <c r="F57" s="276">
        <v>1</v>
      </c>
      <c r="G57" s="278"/>
      <c r="H57" s="283"/>
      <c r="I57" s="329">
        <v>28.39</v>
      </c>
      <c r="J57" s="335"/>
      <c r="K57" s="226">
        <f t="shared" si="22"/>
        <v>29.39</v>
      </c>
      <c r="M57" s="275">
        <v>45883</v>
      </c>
      <c r="N57" s="280">
        <v>862.73</v>
      </c>
      <c r="O57" s="280">
        <v>265.20999999999998</v>
      </c>
      <c r="P57" s="280">
        <v>2916.5</v>
      </c>
      <c r="Q57" s="280">
        <v>204.17</v>
      </c>
      <c r="R57" s="280"/>
      <c r="S57" s="278"/>
      <c r="T57" s="283"/>
      <c r="U57" s="226"/>
      <c r="V57" s="226"/>
      <c r="W57" s="226">
        <f t="shared" si="23"/>
        <v>0</v>
      </c>
      <c r="Y57" s="275">
        <v>45883</v>
      </c>
      <c r="Z57" s="277">
        <v>5173.08</v>
      </c>
      <c r="AA57" s="277">
        <v>1597.87</v>
      </c>
      <c r="AB57" s="278"/>
      <c r="AC57" s="283"/>
      <c r="AD57" s="226"/>
      <c r="AE57" s="226"/>
      <c r="AF57" s="226">
        <f t="shared" si="24"/>
        <v>1597.87</v>
      </c>
      <c r="AH57" s="275">
        <v>45883</v>
      </c>
      <c r="AI57" s="277">
        <v>786.5</v>
      </c>
      <c r="AJ57" s="280">
        <v>0</v>
      </c>
      <c r="AK57" s="278"/>
      <c r="AL57" s="283"/>
      <c r="AM57" s="226"/>
      <c r="AN57" s="226"/>
      <c r="AO57" s="226">
        <f t="shared" si="25"/>
        <v>0</v>
      </c>
      <c r="AQ57" s="275">
        <v>45883</v>
      </c>
      <c r="AR57" s="280">
        <v>961.11</v>
      </c>
      <c r="AS57" s="280">
        <v>298.51</v>
      </c>
      <c r="AT57" s="280">
        <v>3298.91</v>
      </c>
      <c r="AU57" s="280"/>
      <c r="AV57" s="280">
        <v>107.52</v>
      </c>
      <c r="AW57" s="280">
        <v>0</v>
      </c>
      <c r="AX57" s="278"/>
      <c r="AY57" s="283"/>
      <c r="AZ57" s="226"/>
      <c r="BA57" s="226"/>
      <c r="BB57" s="226">
        <f t="shared" si="26"/>
        <v>0</v>
      </c>
      <c r="BD57" s="275">
        <v>45883</v>
      </c>
      <c r="BE57" s="280">
        <v>9297.8700000000008</v>
      </c>
      <c r="BF57" s="280">
        <v>0</v>
      </c>
      <c r="BG57" s="278"/>
      <c r="BH57" s="88"/>
      <c r="BI57" s="226"/>
      <c r="BJ57" s="226"/>
      <c r="BK57" s="226">
        <f t="shared" si="27"/>
        <v>0</v>
      </c>
      <c r="BM57" s="275">
        <v>45883</v>
      </c>
      <c r="BN57" s="277">
        <v>2881</v>
      </c>
      <c r="BO57" s="276">
        <v>160</v>
      </c>
      <c r="BP57" s="278"/>
      <c r="BQ57" s="283"/>
      <c r="BR57" s="226"/>
      <c r="BS57" s="226"/>
      <c r="BT57" s="226">
        <f t="shared" si="28"/>
        <v>160</v>
      </c>
      <c r="BV57" s="275">
        <v>45883</v>
      </c>
      <c r="BW57" s="277">
        <v>0</v>
      </c>
      <c r="BX57" s="277">
        <v>0</v>
      </c>
      <c r="BY57" s="278"/>
      <c r="BZ57" s="283"/>
      <c r="CA57" s="226"/>
      <c r="CB57" s="226"/>
      <c r="CC57" s="226">
        <f t="shared" si="29"/>
        <v>0</v>
      </c>
    </row>
    <row r="58" spans="2:81" ht="15.75" x14ac:dyDescent="0.25">
      <c r="B58" s="275">
        <v>45884</v>
      </c>
      <c r="C58" s="277">
        <v>2394.67</v>
      </c>
      <c r="D58" s="276">
        <v>973.98</v>
      </c>
      <c r="E58" s="276">
        <v>194.4</v>
      </c>
      <c r="F58" s="276">
        <v>0</v>
      </c>
      <c r="G58" s="278"/>
      <c r="H58" s="283"/>
      <c r="I58" s="329"/>
      <c r="J58" s="335"/>
      <c r="K58" s="226">
        <f t="shared" si="22"/>
        <v>0</v>
      </c>
      <c r="M58" s="275">
        <v>45884</v>
      </c>
      <c r="N58" s="280">
        <v>443.1</v>
      </c>
      <c r="O58" s="280">
        <v>216.55</v>
      </c>
      <c r="P58" s="280">
        <v>3444.82</v>
      </c>
      <c r="Q58" s="280">
        <v>224.91</v>
      </c>
      <c r="R58" s="280"/>
      <c r="S58" s="278"/>
      <c r="T58" s="283"/>
      <c r="U58" s="226"/>
      <c r="V58" s="226"/>
      <c r="W58" s="226">
        <f t="shared" si="23"/>
        <v>0</v>
      </c>
      <c r="Y58" s="275">
        <v>45884</v>
      </c>
      <c r="Z58" s="277">
        <v>4413.1400000000003</v>
      </c>
      <c r="AA58" s="277">
        <v>1293.53</v>
      </c>
      <c r="AB58" s="278"/>
      <c r="AC58" s="283"/>
      <c r="AD58" s="226"/>
      <c r="AE58" s="226"/>
      <c r="AF58" s="226">
        <f t="shared" si="24"/>
        <v>1293.53</v>
      </c>
      <c r="AH58" s="275">
        <v>45884</v>
      </c>
      <c r="AI58" s="277">
        <v>1317.5</v>
      </c>
      <c r="AJ58" s="280">
        <v>0</v>
      </c>
      <c r="AK58" s="278"/>
      <c r="AL58" s="283"/>
      <c r="AM58" s="226"/>
      <c r="AN58" s="226"/>
      <c r="AO58" s="226">
        <f t="shared" si="25"/>
        <v>0</v>
      </c>
      <c r="AQ58" s="275">
        <v>45884</v>
      </c>
      <c r="AR58" s="280">
        <v>1496.69</v>
      </c>
      <c r="AS58" s="280">
        <v>422.45</v>
      </c>
      <c r="AT58" s="280">
        <v>3943.97</v>
      </c>
      <c r="AU58" s="280"/>
      <c r="AV58" s="280">
        <v>87.45</v>
      </c>
      <c r="AW58" s="280">
        <v>0</v>
      </c>
      <c r="AX58" s="278"/>
      <c r="AY58" s="283"/>
      <c r="AZ58" s="226"/>
      <c r="BA58" s="226"/>
      <c r="BB58" s="226">
        <f t="shared" si="26"/>
        <v>0</v>
      </c>
      <c r="BD58" s="275">
        <v>45884</v>
      </c>
      <c r="BE58" s="280">
        <v>10394.68</v>
      </c>
      <c r="BF58" s="280">
        <v>0</v>
      </c>
      <c r="BG58" s="278"/>
      <c r="BH58" s="88"/>
      <c r="BI58" s="226"/>
      <c r="BJ58" s="226"/>
      <c r="BK58" s="226">
        <f t="shared" si="27"/>
        <v>0</v>
      </c>
      <c r="BM58" s="275">
        <v>45884</v>
      </c>
      <c r="BN58" s="277">
        <v>2541.1</v>
      </c>
      <c r="BO58" s="276">
        <v>48</v>
      </c>
      <c r="BP58" s="278"/>
      <c r="BQ58" s="283"/>
      <c r="BR58" s="226"/>
      <c r="BS58" s="226"/>
      <c r="BT58" s="226">
        <f t="shared" si="28"/>
        <v>48</v>
      </c>
      <c r="BV58" s="275">
        <v>45884</v>
      </c>
      <c r="BW58" s="277">
        <v>0</v>
      </c>
      <c r="BX58" s="277">
        <v>0</v>
      </c>
      <c r="BY58" s="278"/>
      <c r="BZ58" s="283"/>
      <c r="CA58" s="226"/>
      <c r="CB58" s="226"/>
      <c r="CC58" s="226">
        <f t="shared" si="29"/>
        <v>0</v>
      </c>
    </row>
    <row r="59" spans="2:81" ht="15.75" x14ac:dyDescent="0.25">
      <c r="B59" s="275">
        <v>45885</v>
      </c>
      <c r="C59" s="277">
        <v>1789.33</v>
      </c>
      <c r="D59" s="276">
        <v>949.63</v>
      </c>
      <c r="E59" s="276">
        <v>0</v>
      </c>
      <c r="F59" s="276">
        <v>52.49</v>
      </c>
      <c r="G59" s="278"/>
      <c r="H59" s="283"/>
      <c r="I59" s="329"/>
      <c r="J59" s="335"/>
      <c r="K59" s="226">
        <f t="shared" si="22"/>
        <v>52.49</v>
      </c>
      <c r="M59" s="275">
        <v>45885</v>
      </c>
      <c r="N59" s="280">
        <v>414.07</v>
      </c>
      <c r="O59" s="280">
        <v>187.41</v>
      </c>
      <c r="P59" s="280">
        <v>4590.18</v>
      </c>
      <c r="Q59" s="280">
        <v>160.72</v>
      </c>
      <c r="R59" s="280"/>
      <c r="S59" s="278"/>
      <c r="T59" s="283"/>
      <c r="U59" s="226"/>
      <c r="V59" s="226"/>
      <c r="W59" s="226">
        <f t="shared" si="23"/>
        <v>0</v>
      </c>
      <c r="Y59" s="275">
        <v>45885</v>
      </c>
      <c r="Z59" s="277">
        <v>4079.64</v>
      </c>
      <c r="AA59" s="277">
        <v>1120.83</v>
      </c>
      <c r="AB59" s="278"/>
      <c r="AC59" s="283"/>
      <c r="AD59" s="226"/>
      <c r="AE59" s="226"/>
      <c r="AF59" s="226">
        <f t="shared" si="24"/>
        <v>1120.83</v>
      </c>
      <c r="AH59" s="275">
        <v>45885</v>
      </c>
      <c r="AI59" s="277">
        <v>1010.5</v>
      </c>
      <c r="AJ59" s="280">
        <v>0</v>
      </c>
      <c r="AK59" s="278"/>
      <c r="AL59" s="283"/>
      <c r="AM59" s="226"/>
      <c r="AN59" s="226"/>
      <c r="AO59" s="226">
        <f t="shared" si="25"/>
        <v>0</v>
      </c>
      <c r="AQ59" s="275">
        <v>45885</v>
      </c>
      <c r="AR59" s="280">
        <v>701.07</v>
      </c>
      <c r="AS59" s="280">
        <v>431.94</v>
      </c>
      <c r="AT59" s="280">
        <v>3134.49</v>
      </c>
      <c r="AU59" s="280"/>
      <c r="AV59" s="280">
        <v>100.97</v>
      </c>
      <c r="AW59" s="280">
        <v>0</v>
      </c>
      <c r="AX59" s="278"/>
      <c r="AY59" s="283"/>
      <c r="AZ59" s="226"/>
      <c r="BA59" s="226"/>
      <c r="BB59" s="226">
        <f t="shared" si="26"/>
        <v>0</v>
      </c>
      <c r="BD59" s="275">
        <v>45885</v>
      </c>
      <c r="BE59" s="280">
        <v>8970.07</v>
      </c>
      <c r="BF59" s="280">
        <v>0</v>
      </c>
      <c r="BG59" s="278"/>
      <c r="BH59" s="88"/>
      <c r="BI59" s="226"/>
      <c r="BJ59" s="226"/>
      <c r="BK59" s="226">
        <f t="shared" si="27"/>
        <v>0</v>
      </c>
      <c r="BM59" s="275">
        <v>45885</v>
      </c>
      <c r="BN59" s="277">
        <v>784.6</v>
      </c>
      <c r="BO59" s="276">
        <v>0</v>
      </c>
      <c r="BP59" s="278"/>
      <c r="BQ59" s="283"/>
      <c r="BR59" s="226"/>
      <c r="BS59" s="226"/>
      <c r="BT59" s="226">
        <f t="shared" si="28"/>
        <v>0</v>
      </c>
      <c r="BV59" s="275">
        <v>45885</v>
      </c>
      <c r="BW59" s="277">
        <v>0</v>
      </c>
      <c r="BX59" s="277">
        <v>0</v>
      </c>
      <c r="BY59" s="278"/>
      <c r="BZ59" s="283"/>
      <c r="CA59" s="226"/>
      <c r="CB59" s="226"/>
      <c r="CC59" s="226">
        <f t="shared" si="29"/>
        <v>0</v>
      </c>
    </row>
    <row r="60" spans="2:81" ht="15.75" x14ac:dyDescent="0.25">
      <c r="B60" s="275">
        <v>45886</v>
      </c>
      <c r="C60" s="277">
        <v>754.07</v>
      </c>
      <c r="D60" s="276">
        <v>766.34</v>
      </c>
      <c r="E60" s="276">
        <v>0</v>
      </c>
      <c r="F60" s="276">
        <v>0</v>
      </c>
      <c r="G60" s="278"/>
      <c r="H60" s="283"/>
      <c r="I60" s="329"/>
      <c r="J60" s="335"/>
      <c r="K60" s="226">
        <f t="shared" si="22"/>
        <v>0</v>
      </c>
      <c r="M60" s="275">
        <v>45886</v>
      </c>
      <c r="N60" s="280">
        <v>751.03</v>
      </c>
      <c r="O60" s="280">
        <v>307.83</v>
      </c>
      <c r="P60" s="280">
        <v>2693.93</v>
      </c>
      <c r="Q60" s="280">
        <v>113.19</v>
      </c>
      <c r="R60" s="280"/>
      <c r="S60" s="278"/>
      <c r="T60" s="283"/>
      <c r="U60" s="226"/>
      <c r="V60" s="226"/>
      <c r="W60" s="226">
        <f t="shared" si="23"/>
        <v>0</v>
      </c>
      <c r="Y60" s="275">
        <v>45886</v>
      </c>
      <c r="Z60" s="277">
        <v>141.5</v>
      </c>
      <c r="AA60" s="277">
        <v>450.8</v>
      </c>
      <c r="AB60" s="278"/>
      <c r="AC60" s="283"/>
      <c r="AD60" s="226"/>
      <c r="AE60" s="226"/>
      <c r="AF60" s="226">
        <f t="shared" si="24"/>
        <v>450.8</v>
      </c>
      <c r="AH60" s="275">
        <v>45886</v>
      </c>
      <c r="AI60" s="277">
        <v>710</v>
      </c>
      <c r="AJ60" s="280">
        <v>0</v>
      </c>
      <c r="AK60" s="278"/>
      <c r="AL60" s="283"/>
      <c r="AM60" s="226"/>
      <c r="AN60" s="226"/>
      <c r="AO60" s="226">
        <f t="shared" si="25"/>
        <v>0</v>
      </c>
      <c r="AQ60" s="275">
        <v>45886</v>
      </c>
      <c r="AR60" s="280">
        <v>527.96</v>
      </c>
      <c r="AS60" s="280">
        <v>466.31</v>
      </c>
      <c r="AT60" s="280">
        <v>3317.88</v>
      </c>
      <c r="AU60" s="280"/>
      <c r="AV60" s="280">
        <v>54.67</v>
      </c>
      <c r="AW60" s="280">
        <v>0</v>
      </c>
      <c r="AX60" s="278"/>
      <c r="AY60" s="283"/>
      <c r="AZ60" s="226"/>
      <c r="BA60" s="226"/>
      <c r="BB60" s="226">
        <f t="shared" si="26"/>
        <v>0</v>
      </c>
      <c r="BD60" s="275">
        <v>45886</v>
      </c>
      <c r="BE60" s="280">
        <v>6523.81</v>
      </c>
      <c r="BF60" s="280">
        <v>0</v>
      </c>
      <c r="BG60" s="278"/>
      <c r="BH60" s="88"/>
      <c r="BI60" s="226"/>
      <c r="BJ60" s="226"/>
      <c r="BK60" s="226">
        <f t="shared" si="27"/>
        <v>0</v>
      </c>
      <c r="BM60" s="275">
        <v>45886</v>
      </c>
      <c r="BN60" s="277">
        <v>3997.18</v>
      </c>
      <c r="BO60" s="276">
        <v>227.6</v>
      </c>
      <c r="BP60" s="278"/>
      <c r="BQ60" s="283"/>
      <c r="BR60" s="226"/>
      <c r="BS60" s="226"/>
      <c r="BT60" s="226">
        <f t="shared" si="28"/>
        <v>227.6</v>
      </c>
      <c r="BV60" s="275">
        <v>45886</v>
      </c>
      <c r="BW60" s="277">
        <v>0</v>
      </c>
      <c r="BX60" s="277">
        <v>0</v>
      </c>
      <c r="BY60" s="278"/>
      <c r="BZ60" s="283"/>
      <c r="CA60" s="226"/>
      <c r="CB60" s="226"/>
      <c r="CC60" s="226">
        <f t="shared" si="29"/>
        <v>0</v>
      </c>
    </row>
    <row r="61" spans="2:81" ht="15.75" x14ac:dyDescent="0.25">
      <c r="B61" s="275">
        <v>45887</v>
      </c>
      <c r="C61" s="277">
        <v>1692.09</v>
      </c>
      <c r="D61" s="276">
        <v>600.48</v>
      </c>
      <c r="E61" s="276">
        <v>0</v>
      </c>
      <c r="F61" s="276">
        <v>0</v>
      </c>
      <c r="G61" s="278"/>
      <c r="H61" s="283"/>
      <c r="I61" s="329"/>
      <c r="J61" s="335">
        <v>25.049875799999981</v>
      </c>
      <c r="K61" s="226">
        <f t="shared" si="22"/>
        <v>25.049875799999981</v>
      </c>
      <c r="M61" s="275">
        <v>45887</v>
      </c>
      <c r="N61" s="280">
        <v>918.1</v>
      </c>
      <c r="O61" s="280">
        <v>253.89</v>
      </c>
      <c r="P61" s="280">
        <v>4868.2</v>
      </c>
      <c r="Q61" s="280">
        <v>97.78</v>
      </c>
      <c r="R61" s="280"/>
      <c r="S61" s="278"/>
      <c r="T61" s="283"/>
      <c r="U61" s="226"/>
      <c r="V61" s="226"/>
      <c r="W61" s="226">
        <f t="shared" si="23"/>
        <v>0</v>
      </c>
      <c r="Y61" s="275">
        <v>45887</v>
      </c>
      <c r="Z61" s="277">
        <v>3057.77</v>
      </c>
      <c r="AA61" s="277">
        <v>1171.03</v>
      </c>
      <c r="AB61" s="278"/>
      <c r="AC61" s="283"/>
      <c r="AD61" s="226"/>
      <c r="AE61" s="226"/>
      <c r="AF61" s="226">
        <f t="shared" si="24"/>
        <v>1171.03</v>
      </c>
      <c r="AH61" s="275">
        <v>45887</v>
      </c>
      <c r="AI61" s="277">
        <v>2071</v>
      </c>
      <c r="AJ61" s="280">
        <v>0</v>
      </c>
      <c r="AK61" s="278"/>
      <c r="AL61" s="283"/>
      <c r="AM61" s="226"/>
      <c r="AN61" s="226"/>
      <c r="AO61" s="226">
        <f t="shared" si="25"/>
        <v>0</v>
      </c>
      <c r="AQ61" s="275">
        <v>45887</v>
      </c>
      <c r="AR61" s="280">
        <v>1485.49</v>
      </c>
      <c r="AS61" s="280">
        <v>348.32</v>
      </c>
      <c r="AT61" s="280">
        <v>3160.47</v>
      </c>
      <c r="AU61" s="280"/>
      <c r="AV61" s="280">
        <v>81.08</v>
      </c>
      <c r="AW61" s="280">
        <v>0</v>
      </c>
      <c r="AX61" s="278"/>
      <c r="AY61" s="283"/>
      <c r="AZ61" s="226"/>
      <c r="BA61" s="226"/>
      <c r="BB61" s="226">
        <f t="shared" si="26"/>
        <v>0</v>
      </c>
      <c r="BD61" s="275">
        <v>45887</v>
      </c>
      <c r="BE61" s="280">
        <v>8249.14</v>
      </c>
      <c r="BF61" s="280">
        <v>0</v>
      </c>
      <c r="BG61" s="278"/>
      <c r="BH61" s="88"/>
      <c r="BI61" s="226"/>
      <c r="BJ61" s="226"/>
      <c r="BK61" s="226">
        <f t="shared" si="27"/>
        <v>0</v>
      </c>
      <c r="BM61" s="275">
        <v>45887</v>
      </c>
      <c r="BN61" s="277">
        <v>3655.4</v>
      </c>
      <c r="BO61" s="276">
        <v>140.80000000000001</v>
      </c>
      <c r="BP61" s="278"/>
      <c r="BQ61" s="283"/>
      <c r="BR61" s="226"/>
      <c r="BS61" s="226"/>
      <c r="BT61" s="226">
        <f t="shared" si="28"/>
        <v>140.80000000000001</v>
      </c>
      <c r="BV61" s="275">
        <v>45887</v>
      </c>
      <c r="BW61" s="277">
        <v>0</v>
      </c>
      <c r="BX61" s="277">
        <v>0</v>
      </c>
      <c r="BY61" s="278"/>
      <c r="BZ61" s="283"/>
      <c r="CA61" s="226"/>
      <c r="CB61" s="226"/>
      <c r="CC61" s="226">
        <f t="shared" si="29"/>
        <v>0</v>
      </c>
    </row>
    <row r="62" spans="2:81" ht="15.75" x14ac:dyDescent="0.25">
      <c r="B62" s="275">
        <v>45888</v>
      </c>
      <c r="C62" s="277">
        <v>1966.67</v>
      </c>
      <c r="D62" s="276">
        <v>1064.02</v>
      </c>
      <c r="E62" s="276">
        <v>0</v>
      </c>
      <c r="F62" s="276">
        <v>0</v>
      </c>
      <c r="G62" s="278"/>
      <c r="H62" s="283"/>
      <c r="I62" s="329"/>
      <c r="J62" s="335">
        <v>13.048645800000003</v>
      </c>
      <c r="K62" s="226">
        <f t="shared" si="22"/>
        <v>13.048645800000003</v>
      </c>
      <c r="M62" s="275">
        <v>45888</v>
      </c>
      <c r="N62" s="280">
        <v>968.15</v>
      </c>
      <c r="O62" s="280">
        <v>145.59</v>
      </c>
      <c r="P62" s="280">
        <v>2846.67</v>
      </c>
      <c r="Q62" s="280">
        <v>136.82</v>
      </c>
      <c r="R62" s="280"/>
      <c r="S62" s="278"/>
      <c r="T62" s="283"/>
      <c r="U62" s="226"/>
      <c r="V62" s="226"/>
      <c r="W62" s="226">
        <f t="shared" si="23"/>
        <v>0</v>
      </c>
      <c r="Y62" s="275">
        <v>45888</v>
      </c>
      <c r="Z62" s="277">
        <v>3020.9</v>
      </c>
      <c r="AA62" s="277">
        <v>997.75</v>
      </c>
      <c r="AB62" s="278"/>
      <c r="AC62" s="283"/>
      <c r="AD62" s="226"/>
      <c r="AE62" s="226"/>
      <c r="AF62" s="226">
        <f t="shared" si="24"/>
        <v>997.75</v>
      </c>
      <c r="AH62" s="275">
        <v>45888</v>
      </c>
      <c r="AI62" s="277">
        <v>970.7</v>
      </c>
      <c r="AJ62" s="280">
        <v>0</v>
      </c>
      <c r="AK62" s="278"/>
      <c r="AL62" s="283"/>
      <c r="AM62" s="226"/>
      <c r="AN62" s="226"/>
      <c r="AO62" s="226">
        <f t="shared" si="25"/>
        <v>0</v>
      </c>
      <c r="AQ62" s="275">
        <v>45888</v>
      </c>
      <c r="AR62" s="280">
        <v>961.41</v>
      </c>
      <c r="AS62" s="280">
        <v>479.12</v>
      </c>
      <c r="AT62" s="280">
        <v>3298.83</v>
      </c>
      <c r="AU62" s="280"/>
      <c r="AV62" s="280">
        <v>82.96</v>
      </c>
      <c r="AW62" s="280">
        <v>0</v>
      </c>
      <c r="AX62" s="278"/>
      <c r="AY62" s="283"/>
      <c r="AZ62" s="226"/>
      <c r="BA62" s="226"/>
      <c r="BB62" s="226">
        <f t="shared" si="26"/>
        <v>0</v>
      </c>
      <c r="BD62" s="275">
        <v>45888</v>
      </c>
      <c r="BE62" s="280">
        <v>7173.29</v>
      </c>
      <c r="BF62" s="280">
        <v>0</v>
      </c>
      <c r="BG62" s="278"/>
      <c r="BH62" s="88">
        <v>47.819980000000015</v>
      </c>
      <c r="BI62" s="226"/>
      <c r="BJ62" s="226"/>
      <c r="BK62" s="226">
        <f t="shared" si="27"/>
        <v>47.819980000000015</v>
      </c>
      <c r="BM62" s="275">
        <v>45888</v>
      </c>
      <c r="BN62" s="277">
        <v>8388.7800000000007</v>
      </c>
      <c r="BO62" s="276">
        <v>220.41</v>
      </c>
      <c r="BP62" s="278"/>
      <c r="BQ62" s="283"/>
      <c r="BR62" s="226"/>
      <c r="BS62" s="226"/>
      <c r="BT62" s="226">
        <f t="shared" si="28"/>
        <v>220.41</v>
      </c>
      <c r="BV62" s="275">
        <v>45888</v>
      </c>
      <c r="BW62" s="277">
        <v>0</v>
      </c>
      <c r="BX62" s="277">
        <v>0</v>
      </c>
      <c r="BY62" s="278"/>
      <c r="BZ62" s="283"/>
      <c r="CA62" s="226"/>
      <c r="CB62" s="226"/>
      <c r="CC62" s="226">
        <f t="shared" si="29"/>
        <v>0</v>
      </c>
    </row>
    <row r="63" spans="2:81" ht="15.75" x14ac:dyDescent="0.25">
      <c r="B63" s="275">
        <v>45889</v>
      </c>
      <c r="C63" s="277">
        <v>1222.3800000000001</v>
      </c>
      <c r="D63" s="276">
        <v>25.98</v>
      </c>
      <c r="E63" s="276">
        <v>0</v>
      </c>
      <c r="F63" s="276">
        <v>15.06</v>
      </c>
      <c r="G63" s="278"/>
      <c r="H63" s="283"/>
      <c r="I63" s="329"/>
      <c r="J63" s="335"/>
      <c r="K63" s="226">
        <f t="shared" si="22"/>
        <v>15.06</v>
      </c>
      <c r="M63" s="275">
        <v>45889</v>
      </c>
      <c r="N63" s="280">
        <v>619.29999999999995</v>
      </c>
      <c r="O63" s="280">
        <v>140.86000000000001</v>
      </c>
      <c r="P63" s="280">
        <v>2805.51</v>
      </c>
      <c r="Q63" s="280">
        <v>165.78</v>
      </c>
      <c r="R63" s="280"/>
      <c r="S63" s="278"/>
      <c r="T63" s="283"/>
      <c r="U63" s="226"/>
      <c r="V63" s="226"/>
      <c r="W63" s="226">
        <f t="shared" si="23"/>
        <v>0</v>
      </c>
      <c r="Y63" s="275">
        <v>45889</v>
      </c>
      <c r="Z63" s="277">
        <v>4415.8900000000003</v>
      </c>
      <c r="AA63" s="277">
        <v>1189.82</v>
      </c>
      <c r="AB63" s="278"/>
      <c r="AC63" s="283"/>
      <c r="AD63" s="226"/>
      <c r="AE63" s="226"/>
      <c r="AF63" s="226">
        <f t="shared" si="24"/>
        <v>1189.82</v>
      </c>
      <c r="AH63" s="275">
        <v>45889</v>
      </c>
      <c r="AI63" s="277">
        <v>866</v>
      </c>
      <c r="AJ63" s="280">
        <v>0</v>
      </c>
      <c r="AK63" s="278"/>
      <c r="AL63" s="283"/>
      <c r="AM63" s="226"/>
      <c r="AN63" s="226"/>
      <c r="AO63" s="226">
        <f t="shared" si="25"/>
        <v>0</v>
      </c>
      <c r="AQ63" s="275">
        <v>45889</v>
      </c>
      <c r="AR63" s="280">
        <v>1132.28</v>
      </c>
      <c r="AS63" s="280">
        <v>436.22</v>
      </c>
      <c r="AT63" s="280">
        <v>3338.24</v>
      </c>
      <c r="AU63" s="280"/>
      <c r="AV63" s="280">
        <v>74.42</v>
      </c>
      <c r="AW63" s="280">
        <v>0</v>
      </c>
      <c r="AX63" s="278"/>
      <c r="AY63" s="283"/>
      <c r="AZ63" s="226"/>
      <c r="BA63" s="226"/>
      <c r="BB63" s="226">
        <f t="shared" si="26"/>
        <v>0</v>
      </c>
      <c r="BD63" s="275">
        <v>45889</v>
      </c>
      <c r="BE63" s="280">
        <v>8533.76</v>
      </c>
      <c r="BF63" s="280">
        <v>0</v>
      </c>
      <c r="BG63" s="278"/>
      <c r="BH63" s="88"/>
      <c r="BI63" s="226"/>
      <c r="BJ63" s="226"/>
      <c r="BK63" s="226">
        <f t="shared" si="27"/>
        <v>0</v>
      </c>
      <c r="BM63" s="275">
        <v>45889</v>
      </c>
      <c r="BN63" s="277">
        <v>4643.2299999999996</v>
      </c>
      <c r="BO63" s="276">
        <v>195.2</v>
      </c>
      <c r="BP63" s="278"/>
      <c r="BQ63" s="283"/>
      <c r="BR63" s="226"/>
      <c r="BS63" s="226"/>
      <c r="BT63" s="226">
        <f t="shared" si="28"/>
        <v>195.2</v>
      </c>
      <c r="BV63" s="275">
        <v>45889</v>
      </c>
      <c r="BW63" s="295">
        <v>736.3</v>
      </c>
      <c r="BX63" s="277">
        <v>0</v>
      </c>
      <c r="BY63" s="278"/>
      <c r="BZ63" s="283"/>
      <c r="CA63" s="226"/>
      <c r="CB63" s="226"/>
      <c r="CC63" s="226">
        <f t="shared" si="29"/>
        <v>0</v>
      </c>
    </row>
    <row r="64" spans="2:81" ht="15.75" x14ac:dyDescent="0.25">
      <c r="B64" s="275">
        <v>45890</v>
      </c>
      <c r="C64" s="277">
        <v>1985.35</v>
      </c>
      <c r="D64" s="276">
        <v>0</v>
      </c>
      <c r="E64" s="276">
        <v>0</v>
      </c>
      <c r="F64" s="276">
        <v>5</v>
      </c>
      <c r="G64" s="278"/>
      <c r="H64" s="283"/>
      <c r="I64" s="329">
        <v>145.21000000000004</v>
      </c>
      <c r="J64" s="335"/>
      <c r="K64" s="226">
        <f t="shared" si="22"/>
        <v>150.21000000000004</v>
      </c>
      <c r="M64" s="275">
        <v>45890</v>
      </c>
      <c r="N64" s="280">
        <v>796.9</v>
      </c>
      <c r="O64" s="280">
        <v>105.34</v>
      </c>
      <c r="P64" s="280">
        <v>4258.76</v>
      </c>
      <c r="Q64" s="280">
        <v>175.73</v>
      </c>
      <c r="R64" s="280"/>
      <c r="S64" s="278"/>
      <c r="T64" s="283"/>
      <c r="U64" s="226"/>
      <c r="V64" s="226"/>
      <c r="W64" s="226">
        <f t="shared" si="23"/>
        <v>0</v>
      </c>
      <c r="Y64" s="275">
        <v>45890</v>
      </c>
      <c r="Z64" s="277">
        <v>4987.07</v>
      </c>
      <c r="AA64" s="277">
        <v>1426.07</v>
      </c>
      <c r="AB64" s="278"/>
      <c r="AC64" s="283"/>
      <c r="AD64" s="226"/>
      <c r="AE64" s="226"/>
      <c r="AF64" s="226">
        <f t="shared" si="24"/>
        <v>1426.07</v>
      </c>
      <c r="AH64" s="275">
        <v>45890</v>
      </c>
      <c r="AI64" s="277">
        <v>901</v>
      </c>
      <c r="AJ64" s="280">
        <v>0</v>
      </c>
      <c r="AK64" s="278"/>
      <c r="AL64" s="283"/>
      <c r="AM64" s="226"/>
      <c r="AN64" s="226"/>
      <c r="AO64" s="226">
        <f t="shared" si="25"/>
        <v>0</v>
      </c>
      <c r="AQ64" s="275">
        <v>45890</v>
      </c>
      <c r="AR64" s="280">
        <v>1105.9000000000001</v>
      </c>
      <c r="AS64" s="280">
        <v>1030.79</v>
      </c>
      <c r="AT64" s="280">
        <v>4139.5</v>
      </c>
      <c r="AU64" s="280"/>
      <c r="AV64" s="280">
        <v>111.02</v>
      </c>
      <c r="AW64" s="280">
        <v>0</v>
      </c>
      <c r="AX64" s="278"/>
      <c r="AY64" s="283"/>
      <c r="AZ64" s="226"/>
      <c r="BA64" s="226"/>
      <c r="BB64" s="226">
        <f t="shared" si="26"/>
        <v>0</v>
      </c>
      <c r="BD64" s="275">
        <v>45890</v>
      </c>
      <c r="BE64" s="280">
        <v>7200.74</v>
      </c>
      <c r="BF64" s="280">
        <v>0</v>
      </c>
      <c r="BG64" s="278"/>
      <c r="BH64" s="88">
        <v>19.905599999999993</v>
      </c>
      <c r="BI64" s="226"/>
      <c r="BJ64" s="226"/>
      <c r="BK64" s="226">
        <f t="shared" si="27"/>
        <v>19.905599999999993</v>
      </c>
      <c r="BM64" s="275">
        <v>45890</v>
      </c>
      <c r="BN64" s="277">
        <v>2067.9</v>
      </c>
      <c r="BO64" s="276">
        <v>68</v>
      </c>
      <c r="BP64" s="278"/>
      <c r="BQ64" s="283"/>
      <c r="BR64" s="226"/>
      <c r="BS64" s="226"/>
      <c r="BT64" s="226">
        <f t="shared" si="28"/>
        <v>68</v>
      </c>
      <c r="BV64" s="275">
        <v>45890</v>
      </c>
      <c r="BW64" s="295">
        <v>559.53</v>
      </c>
      <c r="BX64" s="280">
        <v>0</v>
      </c>
      <c r="BY64" s="278"/>
      <c r="BZ64" s="283"/>
      <c r="CA64" s="226"/>
      <c r="CB64" s="226"/>
      <c r="CC64" s="226">
        <f t="shared" si="29"/>
        <v>0</v>
      </c>
    </row>
    <row r="65" spans="2:81" ht="15.75" x14ac:dyDescent="0.25">
      <c r="B65" s="275">
        <v>45891</v>
      </c>
      <c r="C65" s="277">
        <v>2010.68</v>
      </c>
      <c r="D65" s="276">
        <v>0</v>
      </c>
      <c r="E65" s="276">
        <v>0</v>
      </c>
      <c r="F65" s="276">
        <v>21.93</v>
      </c>
      <c r="G65" s="278"/>
      <c r="H65" s="283"/>
      <c r="I65" s="329"/>
      <c r="J65" s="335">
        <v>43.266710400000008</v>
      </c>
      <c r="K65" s="226">
        <f t="shared" si="22"/>
        <v>65.196710400000001</v>
      </c>
      <c r="M65" s="275">
        <v>45891</v>
      </c>
      <c r="N65" s="280">
        <v>268.89999999999998</v>
      </c>
      <c r="O65" s="280">
        <v>128.08000000000001</v>
      </c>
      <c r="P65" s="280">
        <v>4573.47</v>
      </c>
      <c r="Q65" s="280">
        <v>157.47999999999999</v>
      </c>
      <c r="R65" s="280"/>
      <c r="S65" s="278"/>
      <c r="T65" s="283"/>
      <c r="U65" s="226"/>
      <c r="V65" s="226"/>
      <c r="W65" s="226">
        <f t="shared" si="23"/>
        <v>0</v>
      </c>
      <c r="Y65" s="275">
        <v>45891</v>
      </c>
      <c r="Z65" s="277">
        <v>7176.3</v>
      </c>
      <c r="AA65" s="277">
        <v>1823.96</v>
      </c>
      <c r="AB65" s="278"/>
      <c r="AC65" s="283"/>
      <c r="AD65" s="226"/>
      <c r="AE65" s="226"/>
      <c r="AF65" s="226">
        <f t="shared" si="24"/>
        <v>1823.96</v>
      </c>
      <c r="AH65" s="275">
        <v>45891</v>
      </c>
      <c r="AI65" s="277">
        <v>1664.6</v>
      </c>
      <c r="AJ65" s="280">
        <v>0</v>
      </c>
      <c r="AK65" s="278"/>
      <c r="AL65" s="283"/>
      <c r="AM65" s="226"/>
      <c r="AN65" s="226"/>
      <c r="AO65" s="226">
        <f t="shared" si="25"/>
        <v>0</v>
      </c>
      <c r="AQ65" s="275">
        <v>45891</v>
      </c>
      <c r="AR65" s="280">
        <v>1285.58</v>
      </c>
      <c r="AS65" s="280">
        <v>717.3</v>
      </c>
      <c r="AT65" s="280">
        <v>4220.82</v>
      </c>
      <c r="AU65" s="280"/>
      <c r="AV65" s="280">
        <v>41</v>
      </c>
      <c r="AW65" s="280">
        <v>0</v>
      </c>
      <c r="AX65" s="278"/>
      <c r="AY65" s="283"/>
      <c r="AZ65" s="226"/>
      <c r="BA65" s="226"/>
      <c r="BB65" s="226">
        <f t="shared" si="26"/>
        <v>0</v>
      </c>
      <c r="BD65" s="275">
        <v>45891</v>
      </c>
      <c r="BE65" s="280">
        <v>8181.04</v>
      </c>
      <c r="BF65" s="280">
        <v>0</v>
      </c>
      <c r="BG65" s="278"/>
      <c r="BH65" s="88"/>
      <c r="BI65" s="226"/>
      <c r="BJ65" s="226"/>
      <c r="BK65" s="226">
        <f t="shared" si="27"/>
        <v>0</v>
      </c>
      <c r="BM65" s="275">
        <v>45891</v>
      </c>
      <c r="BN65" s="277">
        <v>658</v>
      </c>
      <c r="BO65" s="276">
        <v>0</v>
      </c>
      <c r="BP65" s="278"/>
      <c r="BQ65" s="283"/>
      <c r="BR65" s="226"/>
      <c r="BS65" s="226"/>
      <c r="BT65" s="226">
        <f t="shared" si="28"/>
        <v>0</v>
      </c>
      <c r="BV65" s="275">
        <v>45891</v>
      </c>
      <c r="BW65" s="295">
        <v>365.2</v>
      </c>
      <c r="BX65" s="280">
        <v>0</v>
      </c>
      <c r="BY65" s="278"/>
      <c r="BZ65" s="283"/>
      <c r="CA65" s="226"/>
      <c r="CB65" s="226"/>
      <c r="CC65" s="226">
        <f t="shared" si="29"/>
        <v>0</v>
      </c>
    </row>
    <row r="66" spans="2:81" ht="15.75" x14ac:dyDescent="0.25">
      <c r="B66" s="275">
        <v>45892</v>
      </c>
      <c r="C66" s="277">
        <v>2599.4</v>
      </c>
      <c r="D66" s="276">
        <v>0</v>
      </c>
      <c r="E66" s="276">
        <v>1327.9</v>
      </c>
      <c r="F66" s="276">
        <v>69.540000000000006</v>
      </c>
      <c r="G66" s="278"/>
      <c r="H66" s="283"/>
      <c r="I66" s="329"/>
      <c r="J66" s="335"/>
      <c r="K66" s="226">
        <f t="shared" si="22"/>
        <v>69.540000000000006</v>
      </c>
      <c r="M66" s="275">
        <v>45892</v>
      </c>
      <c r="N66" s="280">
        <v>200</v>
      </c>
      <c r="O66" s="280">
        <v>119.02</v>
      </c>
      <c r="P66" s="280">
        <v>6292.73</v>
      </c>
      <c r="Q66" s="280">
        <v>201.68</v>
      </c>
      <c r="R66" s="280"/>
      <c r="S66" s="278"/>
      <c r="T66" s="283"/>
      <c r="U66" s="226"/>
      <c r="V66" s="226"/>
      <c r="W66" s="226">
        <f t="shared" si="23"/>
        <v>0</v>
      </c>
      <c r="Y66" s="275">
        <v>45892</v>
      </c>
      <c r="Z66" s="277">
        <v>2229.9899999999998</v>
      </c>
      <c r="AA66" s="277">
        <v>695.68</v>
      </c>
      <c r="AB66" s="278"/>
      <c r="AC66" s="283"/>
      <c r="AD66" s="226"/>
      <c r="AE66" s="226"/>
      <c r="AF66" s="226">
        <f t="shared" si="24"/>
        <v>695.68</v>
      </c>
      <c r="AH66" s="275">
        <v>45892</v>
      </c>
      <c r="AI66" s="277">
        <v>701.5</v>
      </c>
      <c r="AJ66" s="280">
        <v>0</v>
      </c>
      <c r="AK66" s="278"/>
      <c r="AL66" s="283"/>
      <c r="AM66" s="226"/>
      <c r="AN66" s="226"/>
      <c r="AO66" s="226">
        <f t="shared" si="25"/>
        <v>0</v>
      </c>
      <c r="AQ66" s="275">
        <v>45892</v>
      </c>
      <c r="AR66" s="280">
        <v>1432.57</v>
      </c>
      <c r="AS66" s="280">
        <v>926.27</v>
      </c>
      <c r="AT66" s="280">
        <v>3918.56</v>
      </c>
      <c r="AU66" s="280"/>
      <c r="AV66" s="280">
        <v>47.58</v>
      </c>
      <c r="AW66" s="280">
        <v>0</v>
      </c>
      <c r="AX66" s="278"/>
      <c r="AY66" s="283"/>
      <c r="AZ66" s="226"/>
      <c r="BA66" s="226"/>
      <c r="BB66" s="226">
        <f t="shared" si="26"/>
        <v>0</v>
      </c>
      <c r="BD66" s="275">
        <v>45892</v>
      </c>
      <c r="BE66" s="280">
        <v>9289.14</v>
      </c>
      <c r="BF66" s="280">
        <v>0</v>
      </c>
      <c r="BG66" s="278"/>
      <c r="BH66" s="88"/>
      <c r="BI66" s="226"/>
      <c r="BJ66" s="226"/>
      <c r="BK66" s="226">
        <f t="shared" si="27"/>
        <v>0</v>
      </c>
      <c r="BM66" s="275">
        <v>45892</v>
      </c>
      <c r="BN66" s="277">
        <v>1142.0999999999999</v>
      </c>
      <c r="BO66" s="276">
        <v>0</v>
      </c>
      <c r="BP66" s="278"/>
      <c r="BQ66" s="283"/>
      <c r="BR66" s="226"/>
      <c r="BS66" s="226"/>
      <c r="BT66" s="226">
        <f t="shared" si="28"/>
        <v>0</v>
      </c>
      <c r="BV66" s="275">
        <v>45892</v>
      </c>
      <c r="BW66" s="295">
        <v>426.06</v>
      </c>
      <c r="BX66" s="280">
        <v>0</v>
      </c>
      <c r="BY66" s="278"/>
      <c r="BZ66" s="283"/>
      <c r="CA66" s="226"/>
      <c r="CB66" s="226"/>
      <c r="CC66" s="226">
        <f t="shared" si="29"/>
        <v>0</v>
      </c>
    </row>
    <row r="67" spans="2:81" ht="15.75" x14ac:dyDescent="0.25">
      <c r="B67" s="275">
        <v>45893</v>
      </c>
      <c r="C67" s="277">
        <v>1426.43</v>
      </c>
      <c r="D67" s="276">
        <v>0</v>
      </c>
      <c r="E67" s="276">
        <v>2562.5100000000002</v>
      </c>
      <c r="F67" s="276">
        <v>0</v>
      </c>
      <c r="G67" s="278"/>
      <c r="H67" s="283"/>
      <c r="I67" s="329"/>
      <c r="J67" s="335"/>
      <c r="K67" s="226">
        <f t="shared" si="22"/>
        <v>0</v>
      </c>
      <c r="M67" s="275">
        <v>45893</v>
      </c>
      <c r="N67" s="280">
        <v>563.29999999999995</v>
      </c>
      <c r="O67" s="280">
        <v>458.66</v>
      </c>
      <c r="P67" s="280">
        <v>2058.9299999999998</v>
      </c>
      <c r="Q67" s="280">
        <v>185.01</v>
      </c>
      <c r="R67" s="280"/>
      <c r="S67" s="278"/>
      <c r="T67" s="283"/>
      <c r="U67" s="226"/>
      <c r="V67" s="226"/>
      <c r="W67" s="226">
        <f t="shared" si="23"/>
        <v>0</v>
      </c>
      <c r="Y67" s="275">
        <v>45893</v>
      </c>
      <c r="Z67" s="277">
        <v>669.77</v>
      </c>
      <c r="AA67" s="277">
        <v>176.48</v>
      </c>
      <c r="AB67" s="278"/>
      <c r="AC67" s="283"/>
      <c r="AD67" s="226"/>
      <c r="AE67" s="226"/>
      <c r="AF67" s="226">
        <f t="shared" si="24"/>
        <v>176.48</v>
      </c>
      <c r="AH67" s="275">
        <v>45893</v>
      </c>
      <c r="AI67" s="277">
        <v>1056.21</v>
      </c>
      <c r="AJ67" s="280">
        <v>0</v>
      </c>
      <c r="AK67" s="278"/>
      <c r="AL67" s="283"/>
      <c r="AM67" s="226"/>
      <c r="AN67" s="226"/>
      <c r="AO67" s="226">
        <f t="shared" si="25"/>
        <v>0</v>
      </c>
      <c r="AQ67" s="275">
        <v>45893</v>
      </c>
      <c r="AR67" s="280">
        <v>1321.15</v>
      </c>
      <c r="AS67" s="280">
        <v>378.02</v>
      </c>
      <c r="AT67" s="280">
        <v>2793.06</v>
      </c>
      <c r="AU67" s="280"/>
      <c r="AV67" s="280">
        <v>86.13</v>
      </c>
      <c r="AW67" s="280">
        <v>0</v>
      </c>
      <c r="AX67" s="278"/>
      <c r="AY67" s="283"/>
      <c r="AZ67" s="226"/>
      <c r="BA67" s="226"/>
      <c r="BB67" s="226">
        <f t="shared" si="26"/>
        <v>0</v>
      </c>
      <c r="BD67" s="275">
        <v>45893</v>
      </c>
      <c r="BE67" s="280">
        <v>6691.75</v>
      </c>
      <c r="BF67" s="280">
        <v>0</v>
      </c>
      <c r="BG67" s="278"/>
      <c r="BH67" s="88"/>
      <c r="BI67" s="226"/>
      <c r="BJ67" s="226"/>
      <c r="BK67" s="226">
        <f t="shared" si="27"/>
        <v>0</v>
      </c>
      <c r="BM67" s="275">
        <v>45893</v>
      </c>
      <c r="BN67" s="277">
        <v>844.4</v>
      </c>
      <c r="BO67" s="276">
        <v>0</v>
      </c>
      <c r="BP67" s="278"/>
      <c r="BQ67" s="283"/>
      <c r="BR67" s="226"/>
      <c r="BS67" s="226"/>
      <c r="BT67" s="226">
        <f t="shared" si="28"/>
        <v>0</v>
      </c>
      <c r="BV67" s="275">
        <v>45893</v>
      </c>
      <c r="BW67" s="295">
        <v>347</v>
      </c>
      <c r="BX67" s="280">
        <v>0</v>
      </c>
      <c r="BY67" s="278"/>
      <c r="BZ67" s="283"/>
      <c r="CA67" s="226"/>
      <c r="CB67" s="226"/>
      <c r="CC67" s="226">
        <f t="shared" si="29"/>
        <v>0</v>
      </c>
    </row>
    <row r="68" spans="2:81" ht="15.75" x14ac:dyDescent="0.25">
      <c r="B68" s="275">
        <v>45894</v>
      </c>
      <c r="C68" s="277">
        <v>1568.38</v>
      </c>
      <c r="D68" s="276">
        <v>0</v>
      </c>
      <c r="E68" s="276">
        <v>4791.1400000000003</v>
      </c>
      <c r="F68" s="276">
        <v>0</v>
      </c>
      <c r="G68" s="278"/>
      <c r="H68" s="283"/>
      <c r="I68" s="329"/>
      <c r="J68" s="335"/>
      <c r="K68" s="226">
        <f t="shared" si="22"/>
        <v>0</v>
      </c>
      <c r="M68" s="275">
        <v>45894</v>
      </c>
      <c r="N68" s="280">
        <v>222.55</v>
      </c>
      <c r="O68" s="280">
        <v>332.77</v>
      </c>
      <c r="P68" s="280">
        <v>6838.99</v>
      </c>
      <c r="Q68" s="280">
        <v>154.37</v>
      </c>
      <c r="R68" s="280"/>
      <c r="S68" s="278"/>
      <c r="T68" s="283"/>
      <c r="U68" s="226"/>
      <c r="V68" s="226"/>
      <c r="W68" s="226">
        <f t="shared" si="23"/>
        <v>0</v>
      </c>
      <c r="Y68" s="275">
        <v>45894</v>
      </c>
      <c r="Z68" s="277">
        <v>3103.24</v>
      </c>
      <c r="AA68" s="277">
        <v>1066.55</v>
      </c>
      <c r="AB68" s="278"/>
      <c r="AC68" s="283"/>
      <c r="AD68" s="226"/>
      <c r="AE68" s="226"/>
      <c r="AF68" s="226">
        <f t="shared" si="24"/>
        <v>1066.55</v>
      </c>
      <c r="AH68" s="275">
        <v>45894</v>
      </c>
      <c r="AI68" s="277">
        <v>761</v>
      </c>
      <c r="AJ68" s="280">
        <v>0</v>
      </c>
      <c r="AK68" s="278"/>
      <c r="AL68" s="283"/>
      <c r="AM68" s="226"/>
      <c r="AN68" s="226"/>
      <c r="AO68" s="226">
        <f t="shared" si="25"/>
        <v>0</v>
      </c>
      <c r="AQ68" s="275">
        <v>45894</v>
      </c>
      <c r="AR68" s="280">
        <v>1954.56</v>
      </c>
      <c r="AS68" s="280">
        <v>901.98</v>
      </c>
      <c r="AT68" s="280">
        <v>3146.53</v>
      </c>
      <c r="AU68" s="280"/>
      <c r="AV68" s="280">
        <v>66.5</v>
      </c>
      <c r="AW68" s="280">
        <v>0</v>
      </c>
      <c r="AX68" s="278"/>
      <c r="AY68" s="283"/>
      <c r="AZ68" s="226"/>
      <c r="BA68" s="226"/>
      <c r="BB68" s="226">
        <f t="shared" si="26"/>
        <v>0</v>
      </c>
      <c r="BD68" s="275">
        <v>45894</v>
      </c>
      <c r="BE68" s="280">
        <v>8573.32</v>
      </c>
      <c r="BF68" s="280">
        <v>0</v>
      </c>
      <c r="BG68" s="278"/>
      <c r="BH68" s="88"/>
      <c r="BI68" s="226"/>
      <c r="BJ68" s="226"/>
      <c r="BK68" s="226">
        <f t="shared" si="27"/>
        <v>0</v>
      </c>
      <c r="BM68" s="275">
        <v>45894</v>
      </c>
      <c r="BN68" s="277">
        <v>6061</v>
      </c>
      <c r="BO68" s="276">
        <v>254.79</v>
      </c>
      <c r="BP68" s="278"/>
      <c r="BQ68" s="283"/>
      <c r="BR68" s="226"/>
      <c r="BS68" s="226"/>
      <c r="BT68" s="226">
        <f t="shared" si="28"/>
        <v>254.79</v>
      </c>
      <c r="BV68" s="275">
        <v>45894</v>
      </c>
      <c r="BW68" s="295">
        <v>503</v>
      </c>
      <c r="BX68" s="280">
        <v>0</v>
      </c>
      <c r="BY68" s="278"/>
      <c r="BZ68" s="283"/>
      <c r="CA68" s="226"/>
      <c r="CB68" s="226"/>
      <c r="CC68" s="226">
        <f t="shared" si="29"/>
        <v>0</v>
      </c>
    </row>
    <row r="69" spans="2:81" ht="15.75" x14ac:dyDescent="0.25">
      <c r="B69" s="275">
        <v>45895</v>
      </c>
      <c r="C69" s="277">
        <v>2167.84</v>
      </c>
      <c r="D69" s="276">
        <v>0</v>
      </c>
      <c r="E69" s="276">
        <v>1206.6300000000001</v>
      </c>
      <c r="F69" s="276">
        <v>11</v>
      </c>
      <c r="G69" s="278"/>
      <c r="H69" s="283"/>
      <c r="I69" s="329">
        <v>323.76999999999975</v>
      </c>
      <c r="J69" s="335">
        <v>14.053960800000013</v>
      </c>
      <c r="K69" s="226">
        <f t="shared" si="22"/>
        <v>348.82396079999978</v>
      </c>
      <c r="M69" s="275">
        <v>45895</v>
      </c>
      <c r="N69" s="280">
        <v>230.05</v>
      </c>
      <c r="O69" s="280">
        <v>162.38999999999999</v>
      </c>
      <c r="P69" s="280">
        <v>2495.9</v>
      </c>
      <c r="Q69" s="280">
        <v>238.7</v>
      </c>
      <c r="R69" s="280"/>
      <c r="S69" s="278"/>
      <c r="T69" s="283"/>
      <c r="U69" s="226"/>
      <c r="V69" s="226"/>
      <c r="W69" s="226">
        <f t="shared" si="23"/>
        <v>0</v>
      </c>
      <c r="Y69" s="275">
        <v>45895</v>
      </c>
      <c r="Z69" s="277">
        <v>3233.86</v>
      </c>
      <c r="AA69" s="277">
        <v>968.52</v>
      </c>
      <c r="AB69" s="278"/>
      <c r="AC69" s="283"/>
      <c r="AD69" s="226"/>
      <c r="AE69" s="226"/>
      <c r="AF69" s="226">
        <f t="shared" si="24"/>
        <v>968.52</v>
      </c>
      <c r="AH69" s="275">
        <v>45895</v>
      </c>
      <c r="AI69" s="277">
        <v>1174.26</v>
      </c>
      <c r="AJ69" s="280">
        <v>0</v>
      </c>
      <c r="AK69" s="278"/>
      <c r="AL69" s="283"/>
      <c r="AM69" s="226"/>
      <c r="AN69" s="226"/>
      <c r="AO69" s="226">
        <f t="shared" si="25"/>
        <v>0</v>
      </c>
      <c r="AQ69" s="275">
        <v>45895</v>
      </c>
      <c r="AR69" s="280">
        <v>933.34</v>
      </c>
      <c r="AS69" s="280">
        <v>415.22</v>
      </c>
      <c r="AT69" s="280">
        <v>3438.32</v>
      </c>
      <c r="AU69" s="280"/>
      <c r="AV69" s="280">
        <v>95.77</v>
      </c>
      <c r="AW69" s="280">
        <v>0</v>
      </c>
      <c r="AX69" s="278"/>
      <c r="AY69" s="283"/>
      <c r="AZ69" s="226"/>
      <c r="BA69" s="226"/>
      <c r="BB69" s="226">
        <f t="shared" si="26"/>
        <v>0</v>
      </c>
      <c r="BD69" s="275">
        <v>45895</v>
      </c>
      <c r="BE69" s="280">
        <v>8008.12</v>
      </c>
      <c r="BF69" s="280">
        <v>0</v>
      </c>
      <c r="BG69" s="278"/>
      <c r="BH69" s="88">
        <v>2.3999999999999986</v>
      </c>
      <c r="BI69" s="226"/>
      <c r="BJ69" s="226"/>
      <c r="BK69" s="226">
        <f t="shared" si="27"/>
        <v>2.3999999999999986</v>
      </c>
      <c r="BM69" s="275">
        <v>45895</v>
      </c>
      <c r="BN69" s="277">
        <v>2294.5</v>
      </c>
      <c r="BO69" s="276">
        <v>217.19</v>
      </c>
      <c r="BP69" s="278"/>
      <c r="BQ69" s="283"/>
      <c r="BR69" s="226"/>
      <c r="BS69" s="226"/>
      <c r="BT69" s="226">
        <f t="shared" si="28"/>
        <v>217.19</v>
      </c>
      <c r="BV69" s="275">
        <v>45895</v>
      </c>
      <c r="BW69" s="295">
        <v>713.44</v>
      </c>
      <c r="BX69" s="280">
        <v>0</v>
      </c>
      <c r="BY69" s="278"/>
      <c r="BZ69" s="283"/>
      <c r="CA69" s="226"/>
      <c r="CB69" s="226"/>
      <c r="CC69" s="226">
        <f t="shared" si="29"/>
        <v>0</v>
      </c>
    </row>
    <row r="70" spans="2:81" ht="15.75" x14ac:dyDescent="0.25">
      <c r="B70" s="275">
        <v>45896</v>
      </c>
      <c r="C70" s="277">
        <v>1565.39</v>
      </c>
      <c r="D70" s="276">
        <v>0</v>
      </c>
      <c r="E70" s="276">
        <v>0</v>
      </c>
      <c r="F70" s="276">
        <v>43.32</v>
      </c>
      <c r="G70" s="278"/>
      <c r="H70" s="283"/>
      <c r="I70" s="329">
        <v>420.15355</v>
      </c>
      <c r="J70" s="335"/>
      <c r="K70" s="226">
        <f t="shared" si="22"/>
        <v>463.47354999999999</v>
      </c>
      <c r="M70" s="275">
        <v>45896</v>
      </c>
      <c r="N70" s="280">
        <v>300</v>
      </c>
      <c r="O70" s="280">
        <v>28.03</v>
      </c>
      <c r="P70" s="280">
        <v>4187.54</v>
      </c>
      <c r="Q70" s="280">
        <v>230.76</v>
      </c>
      <c r="R70" s="280"/>
      <c r="S70" s="278"/>
      <c r="T70" s="283"/>
      <c r="U70" s="226"/>
      <c r="V70" s="226"/>
      <c r="W70" s="226">
        <f t="shared" si="23"/>
        <v>0</v>
      </c>
      <c r="Y70" s="275">
        <v>45896</v>
      </c>
      <c r="Z70" s="277">
        <v>3901.91</v>
      </c>
      <c r="AA70" s="277">
        <v>1253.72</v>
      </c>
      <c r="AB70" s="278"/>
      <c r="AC70" s="283"/>
      <c r="AD70" s="226"/>
      <c r="AE70" s="226"/>
      <c r="AF70" s="226">
        <f t="shared" si="24"/>
        <v>1253.72</v>
      </c>
      <c r="AH70" s="275">
        <v>45896</v>
      </c>
      <c r="AI70" s="277">
        <v>1180.5</v>
      </c>
      <c r="AJ70" s="280">
        <v>0</v>
      </c>
      <c r="AK70" s="278"/>
      <c r="AL70" s="283"/>
      <c r="AM70" s="226"/>
      <c r="AN70" s="226"/>
      <c r="AO70" s="226">
        <f t="shared" si="25"/>
        <v>0</v>
      </c>
      <c r="AQ70" s="275">
        <v>45896</v>
      </c>
      <c r="AR70" s="280">
        <v>1454.66</v>
      </c>
      <c r="AS70" s="280">
        <v>413.68</v>
      </c>
      <c r="AT70" s="280">
        <v>3929.99</v>
      </c>
      <c r="AU70" s="280"/>
      <c r="AV70" s="280">
        <v>96.24</v>
      </c>
      <c r="AW70" s="280">
        <v>0</v>
      </c>
      <c r="AX70" s="278"/>
      <c r="AY70" s="283"/>
      <c r="AZ70" s="226"/>
      <c r="BA70" s="226"/>
      <c r="BB70" s="226">
        <f t="shared" si="26"/>
        <v>0</v>
      </c>
      <c r="BD70" s="275">
        <v>45896</v>
      </c>
      <c r="BE70" s="280">
        <v>7285.41</v>
      </c>
      <c r="BF70" s="280">
        <v>0</v>
      </c>
      <c r="BG70" s="278"/>
      <c r="BH70" s="88"/>
      <c r="BI70" s="226"/>
      <c r="BJ70" s="226"/>
      <c r="BK70" s="226">
        <f t="shared" si="27"/>
        <v>0</v>
      </c>
      <c r="BM70" s="275">
        <v>45896</v>
      </c>
      <c r="BN70" s="277">
        <v>8958.48</v>
      </c>
      <c r="BO70" s="276">
        <v>446.34</v>
      </c>
      <c r="BP70" s="278"/>
      <c r="BQ70" s="283"/>
      <c r="BR70" s="226"/>
      <c r="BS70" s="226"/>
      <c r="BT70" s="226">
        <f t="shared" si="28"/>
        <v>446.34</v>
      </c>
      <c r="BV70" s="275">
        <v>45896</v>
      </c>
      <c r="BW70" s="295">
        <v>1524.5</v>
      </c>
      <c r="BX70" s="280">
        <v>0</v>
      </c>
      <c r="BY70" s="278"/>
      <c r="BZ70" s="283"/>
      <c r="CA70" s="226"/>
      <c r="CB70" s="226"/>
      <c r="CC70" s="226">
        <f t="shared" si="29"/>
        <v>0</v>
      </c>
    </row>
    <row r="71" spans="2:81" ht="15.75" x14ac:dyDescent="0.25">
      <c r="B71" s="275">
        <v>45897</v>
      </c>
      <c r="C71" s="277">
        <v>2310.33</v>
      </c>
      <c r="D71" s="276">
        <v>0</v>
      </c>
      <c r="E71" s="276">
        <v>0</v>
      </c>
      <c r="F71" s="276">
        <v>0</v>
      </c>
      <c r="G71" s="278"/>
      <c r="H71" s="283"/>
      <c r="I71" s="329"/>
      <c r="J71" s="335"/>
      <c r="K71" s="226">
        <f t="shared" si="22"/>
        <v>0</v>
      </c>
      <c r="M71" s="275">
        <v>45897</v>
      </c>
      <c r="N71" s="280">
        <v>167</v>
      </c>
      <c r="O71" s="280">
        <v>407.02</v>
      </c>
      <c r="P71" s="280">
        <v>1047.25</v>
      </c>
      <c r="Q71" s="280">
        <v>234.3</v>
      </c>
      <c r="R71" s="280"/>
      <c r="S71" s="278"/>
      <c r="T71" s="283"/>
      <c r="U71" s="226"/>
      <c r="V71" s="226"/>
      <c r="W71" s="226">
        <f t="shared" si="23"/>
        <v>0</v>
      </c>
      <c r="Y71" s="275">
        <v>45897</v>
      </c>
      <c r="Z71" s="277">
        <v>3992.34</v>
      </c>
      <c r="AA71" s="277">
        <v>1296.6199999999999</v>
      </c>
      <c r="AB71" s="278"/>
      <c r="AC71" s="283"/>
      <c r="AD71" s="226"/>
      <c r="AE71" s="226"/>
      <c r="AF71" s="226">
        <f t="shared" si="24"/>
        <v>1296.6199999999999</v>
      </c>
      <c r="AH71" s="275">
        <v>45897</v>
      </c>
      <c r="AI71" s="277">
        <v>1208.57</v>
      </c>
      <c r="AJ71" s="280">
        <v>0</v>
      </c>
      <c r="AK71" s="278"/>
      <c r="AL71" s="283"/>
      <c r="AM71" s="226"/>
      <c r="AN71" s="226"/>
      <c r="AO71" s="226">
        <f t="shared" si="25"/>
        <v>0</v>
      </c>
      <c r="AQ71" s="275">
        <v>45897</v>
      </c>
      <c r="AR71" s="280">
        <v>848.72</v>
      </c>
      <c r="AS71" s="280">
        <v>175</v>
      </c>
      <c r="AT71" s="280">
        <v>3865.09</v>
      </c>
      <c r="AU71" s="280"/>
      <c r="AV71" s="280">
        <v>89.11</v>
      </c>
      <c r="AW71" s="280">
        <v>0</v>
      </c>
      <c r="AX71" s="278"/>
      <c r="AY71" s="283"/>
      <c r="AZ71" s="226"/>
      <c r="BA71" s="226"/>
      <c r="BB71" s="226">
        <f t="shared" si="26"/>
        <v>0</v>
      </c>
      <c r="BD71" s="275">
        <v>45897</v>
      </c>
      <c r="BE71" s="280">
        <v>8036.95</v>
      </c>
      <c r="BF71" s="280">
        <v>0</v>
      </c>
      <c r="BG71" s="278"/>
      <c r="BH71" s="88"/>
      <c r="BI71" s="226"/>
      <c r="BJ71" s="226"/>
      <c r="BK71" s="226">
        <f t="shared" si="27"/>
        <v>0</v>
      </c>
      <c r="BM71" s="275">
        <v>45897</v>
      </c>
      <c r="BN71" s="277">
        <v>1003</v>
      </c>
      <c r="BO71" s="276">
        <v>40.799999999999997</v>
      </c>
      <c r="BP71" s="278"/>
      <c r="BQ71" s="283"/>
      <c r="BR71" s="226"/>
      <c r="BS71" s="226"/>
      <c r="BT71" s="226">
        <f t="shared" si="28"/>
        <v>40.799999999999997</v>
      </c>
      <c r="BV71" s="275">
        <v>45897</v>
      </c>
      <c r="BW71" s="295">
        <v>586.1</v>
      </c>
      <c r="BX71" s="280">
        <v>0</v>
      </c>
      <c r="BY71" s="278"/>
      <c r="BZ71" s="283"/>
      <c r="CA71" s="226"/>
      <c r="CB71" s="226"/>
      <c r="CC71" s="226">
        <f t="shared" si="29"/>
        <v>0</v>
      </c>
    </row>
    <row r="72" spans="2:81" ht="15.75" x14ac:dyDescent="0.25">
      <c r="B72" s="275">
        <v>45898</v>
      </c>
      <c r="C72" s="277">
        <v>1741.73</v>
      </c>
      <c r="D72" s="276">
        <v>0</v>
      </c>
      <c r="E72" s="276">
        <v>2051.08</v>
      </c>
      <c r="F72" s="276">
        <v>48.3</v>
      </c>
      <c r="G72" s="278"/>
      <c r="H72" s="283"/>
      <c r="I72" s="329">
        <v>203.93999999999983</v>
      </c>
      <c r="J72" s="335"/>
      <c r="K72" s="226">
        <f t="shared" si="22"/>
        <v>252.23999999999984</v>
      </c>
      <c r="M72" s="275">
        <v>45898</v>
      </c>
      <c r="N72" s="280">
        <v>909.85</v>
      </c>
      <c r="O72" s="280">
        <v>95.28</v>
      </c>
      <c r="P72" s="280">
        <v>1801.7</v>
      </c>
      <c r="Q72" s="280">
        <v>174.02</v>
      </c>
      <c r="R72" s="280"/>
      <c r="S72" s="278"/>
      <c r="T72" s="283"/>
      <c r="U72" s="226"/>
      <c r="V72" s="226"/>
      <c r="W72" s="226">
        <f t="shared" si="23"/>
        <v>0</v>
      </c>
      <c r="Y72" s="275">
        <v>45898</v>
      </c>
      <c r="Z72" s="277">
        <v>3958.48</v>
      </c>
      <c r="AA72" s="277">
        <v>1016.08</v>
      </c>
      <c r="AB72" s="278"/>
      <c r="AC72" s="283"/>
      <c r="AD72" s="226"/>
      <c r="AE72" s="226"/>
      <c r="AF72" s="226">
        <f t="shared" si="24"/>
        <v>1016.08</v>
      </c>
      <c r="AH72" s="275">
        <v>45898</v>
      </c>
      <c r="AI72" s="277">
        <v>863.08</v>
      </c>
      <c r="AJ72" s="280">
        <v>0</v>
      </c>
      <c r="AK72" s="278"/>
      <c r="AL72" s="283"/>
      <c r="AM72" s="226"/>
      <c r="AN72" s="226"/>
      <c r="AO72" s="226">
        <f t="shared" si="25"/>
        <v>0</v>
      </c>
      <c r="AQ72" s="275">
        <v>45898</v>
      </c>
      <c r="AR72" s="280">
        <v>1383.96</v>
      </c>
      <c r="AS72" s="280">
        <v>360.16</v>
      </c>
      <c r="AT72" s="280">
        <v>4106.1099999999997</v>
      </c>
      <c r="AU72" s="280"/>
      <c r="AV72" s="280">
        <v>80.290000000000006</v>
      </c>
      <c r="AW72" s="280">
        <v>0</v>
      </c>
      <c r="AX72" s="278"/>
      <c r="AY72" s="283"/>
      <c r="AZ72" s="226"/>
      <c r="BA72" s="226"/>
      <c r="BB72" s="226">
        <f t="shared" si="26"/>
        <v>0</v>
      </c>
      <c r="BD72" s="275">
        <v>45898</v>
      </c>
      <c r="BE72" s="280">
        <v>9038.94</v>
      </c>
      <c r="BF72" s="280">
        <v>0</v>
      </c>
      <c r="BG72" s="278"/>
      <c r="BH72" s="88">
        <v>25.888799999999975</v>
      </c>
      <c r="BI72" s="226"/>
      <c r="BJ72" s="226"/>
      <c r="BK72" s="226">
        <f t="shared" si="27"/>
        <v>25.888799999999975</v>
      </c>
      <c r="BM72" s="275">
        <v>45898</v>
      </c>
      <c r="BN72" s="277">
        <v>2705.7</v>
      </c>
      <c r="BO72" s="276">
        <v>102</v>
      </c>
      <c r="BP72" s="278"/>
      <c r="BQ72" s="283"/>
      <c r="BR72" s="226"/>
      <c r="BS72" s="226"/>
      <c r="BT72" s="226">
        <f t="shared" si="28"/>
        <v>102</v>
      </c>
      <c r="BV72" s="275">
        <v>45898</v>
      </c>
      <c r="BW72" s="295">
        <v>561</v>
      </c>
      <c r="BX72" s="280">
        <v>0</v>
      </c>
      <c r="BY72" s="278"/>
      <c r="BZ72" s="283"/>
      <c r="CA72" s="226"/>
      <c r="CB72" s="226"/>
      <c r="CC72" s="226">
        <f t="shared" si="29"/>
        <v>0</v>
      </c>
    </row>
    <row r="73" spans="2:81" ht="15.75" x14ac:dyDescent="0.25">
      <c r="B73" s="275">
        <v>45899</v>
      </c>
      <c r="C73" s="277">
        <v>1122.55</v>
      </c>
      <c r="D73" s="276">
        <v>0</v>
      </c>
      <c r="E73" s="276">
        <v>5297.04</v>
      </c>
      <c r="F73" s="276">
        <v>0</v>
      </c>
      <c r="G73" s="278"/>
      <c r="H73" s="283"/>
      <c r="I73" s="329"/>
      <c r="J73" s="335"/>
      <c r="K73" s="226">
        <f t="shared" si="22"/>
        <v>0</v>
      </c>
      <c r="M73" s="275">
        <v>45899</v>
      </c>
      <c r="N73" s="280">
        <v>526.70000000000005</v>
      </c>
      <c r="O73" s="280">
        <v>236.63</v>
      </c>
      <c r="P73" s="280">
        <v>2614.13</v>
      </c>
      <c r="Q73" s="280">
        <v>147.69999999999999</v>
      </c>
      <c r="R73" s="280"/>
      <c r="S73" s="278"/>
      <c r="T73" s="283"/>
      <c r="U73" s="226"/>
      <c r="V73" s="226"/>
      <c r="W73" s="226">
        <f t="shared" si="23"/>
        <v>0</v>
      </c>
      <c r="Y73" s="275">
        <v>45899</v>
      </c>
      <c r="Z73" s="277">
        <v>528</v>
      </c>
      <c r="AA73" s="277">
        <v>274.07</v>
      </c>
      <c r="AB73" s="278"/>
      <c r="AC73" s="283"/>
      <c r="AD73" s="226"/>
      <c r="AE73" s="226"/>
      <c r="AF73" s="226">
        <f t="shared" si="24"/>
        <v>274.07</v>
      </c>
      <c r="AH73" s="275">
        <v>45899</v>
      </c>
      <c r="AI73" s="277">
        <v>1497.45</v>
      </c>
      <c r="AJ73" s="280">
        <v>0</v>
      </c>
      <c r="AK73" s="278"/>
      <c r="AL73" s="283"/>
      <c r="AM73" s="226"/>
      <c r="AN73" s="226"/>
      <c r="AO73" s="226">
        <f t="shared" si="25"/>
        <v>0</v>
      </c>
      <c r="AQ73" s="275">
        <v>45899</v>
      </c>
      <c r="AR73" s="280">
        <v>1355.21</v>
      </c>
      <c r="AS73" s="280">
        <v>423.57</v>
      </c>
      <c r="AT73" s="280">
        <v>3981.14</v>
      </c>
      <c r="AU73" s="280"/>
      <c r="AV73" s="280">
        <v>68.98</v>
      </c>
      <c r="AW73" s="280">
        <v>0</v>
      </c>
      <c r="AX73" s="278"/>
      <c r="AY73" s="283"/>
      <c r="AZ73" s="226"/>
      <c r="BA73" s="226"/>
      <c r="BB73" s="226">
        <f t="shared" si="26"/>
        <v>0</v>
      </c>
      <c r="BD73" s="275">
        <v>45899</v>
      </c>
      <c r="BE73" s="280">
        <v>7900.72</v>
      </c>
      <c r="BF73" s="280">
        <v>0</v>
      </c>
      <c r="BG73" s="278"/>
      <c r="BH73" s="88">
        <v>44.28000000000003</v>
      </c>
      <c r="BI73" s="226"/>
      <c r="BJ73" s="226"/>
      <c r="BK73" s="226">
        <f t="shared" si="27"/>
        <v>44.28000000000003</v>
      </c>
      <c r="BM73" s="275">
        <v>45899</v>
      </c>
      <c r="BN73" s="277">
        <v>3100.36</v>
      </c>
      <c r="BO73" s="276">
        <v>55.2</v>
      </c>
      <c r="BP73" s="278"/>
      <c r="BQ73" s="283"/>
      <c r="BR73" s="226"/>
      <c r="BS73" s="226"/>
      <c r="BT73" s="226">
        <f t="shared" si="28"/>
        <v>55.2</v>
      </c>
      <c r="BV73" s="275">
        <v>45899</v>
      </c>
      <c r="BW73" s="295">
        <v>508</v>
      </c>
      <c r="BX73" s="280">
        <v>0</v>
      </c>
      <c r="BY73" s="278"/>
      <c r="BZ73" s="283"/>
      <c r="CA73" s="226"/>
      <c r="CB73" s="226"/>
      <c r="CC73" s="226">
        <f t="shared" si="29"/>
        <v>0</v>
      </c>
    </row>
    <row r="74" spans="2:81" ht="16.5" thickBot="1" x14ac:dyDescent="0.3">
      <c r="B74" s="275">
        <v>45900</v>
      </c>
      <c r="C74" s="277">
        <v>1051.1300000000001</v>
      </c>
      <c r="D74" s="276">
        <v>0</v>
      </c>
      <c r="E74" s="276">
        <v>2745.93</v>
      </c>
      <c r="F74" s="276">
        <v>0</v>
      </c>
      <c r="G74" s="278"/>
      <c r="H74" s="284"/>
      <c r="I74" s="329"/>
      <c r="J74" s="336"/>
      <c r="K74" s="227">
        <f t="shared" si="22"/>
        <v>0</v>
      </c>
      <c r="M74" s="275">
        <v>45900</v>
      </c>
      <c r="N74" s="277">
        <v>614.4</v>
      </c>
      <c r="O74" s="277">
        <v>307.52999999999997</v>
      </c>
      <c r="P74" s="277">
        <v>4049.96</v>
      </c>
      <c r="Q74" s="276">
        <v>188.08</v>
      </c>
      <c r="R74" s="276"/>
      <c r="S74" s="278"/>
      <c r="T74" s="284"/>
      <c r="U74" s="227"/>
      <c r="V74" s="227"/>
      <c r="W74" s="227">
        <f t="shared" si="23"/>
        <v>0</v>
      </c>
      <c r="Y74" s="275">
        <v>45900</v>
      </c>
      <c r="Z74" s="277">
        <v>1415.03</v>
      </c>
      <c r="AA74" s="277">
        <v>362.34</v>
      </c>
      <c r="AB74" s="278"/>
      <c r="AC74" s="284"/>
      <c r="AD74" s="227"/>
      <c r="AE74" s="227"/>
      <c r="AF74" s="227">
        <f t="shared" si="24"/>
        <v>362.34</v>
      </c>
      <c r="AH74" s="275">
        <v>45900</v>
      </c>
      <c r="AI74" s="277">
        <v>1288.53</v>
      </c>
      <c r="AJ74" s="282"/>
      <c r="AK74" s="278"/>
      <c r="AL74" s="284"/>
      <c r="AM74" s="227"/>
      <c r="AN74" s="227"/>
      <c r="AO74" s="227">
        <f t="shared" si="25"/>
        <v>0</v>
      </c>
      <c r="AQ74" s="275">
        <v>45900</v>
      </c>
      <c r="AR74" s="280">
        <v>1360.19</v>
      </c>
      <c r="AS74" s="280">
        <v>373.92</v>
      </c>
      <c r="AT74" s="280">
        <v>3193.01</v>
      </c>
      <c r="AU74" s="280"/>
      <c r="AV74" s="280">
        <v>98.58</v>
      </c>
      <c r="AW74" s="280">
        <v>0</v>
      </c>
      <c r="AX74" s="278"/>
      <c r="AY74" s="284"/>
      <c r="AZ74" s="227"/>
      <c r="BA74" s="227"/>
      <c r="BB74" s="227">
        <f t="shared" si="26"/>
        <v>0</v>
      </c>
      <c r="BD74" s="275">
        <v>45900</v>
      </c>
      <c r="BE74" s="282">
        <v>7087.86</v>
      </c>
      <c r="BF74" s="282">
        <v>0</v>
      </c>
      <c r="BG74" s="278"/>
      <c r="BH74" s="88"/>
      <c r="BI74" s="227"/>
      <c r="BJ74" s="227"/>
      <c r="BK74" s="227">
        <f t="shared" si="27"/>
        <v>0</v>
      </c>
      <c r="BM74" s="275">
        <v>45900</v>
      </c>
      <c r="BN74" s="277">
        <v>9856.4</v>
      </c>
      <c r="BO74" s="276">
        <v>634.79999999999995</v>
      </c>
      <c r="BP74" s="278"/>
      <c r="BQ74" s="284"/>
      <c r="BR74" s="227"/>
      <c r="BS74" s="227"/>
      <c r="BT74" s="227">
        <f t="shared" si="28"/>
        <v>634.79999999999995</v>
      </c>
      <c r="BV74" s="275">
        <v>45900</v>
      </c>
      <c r="BW74" s="296">
        <v>687.63</v>
      </c>
      <c r="BX74" s="282">
        <v>0</v>
      </c>
      <c r="BY74" s="278"/>
      <c r="BZ74" s="284"/>
      <c r="CA74" s="227"/>
      <c r="CB74" s="227"/>
      <c r="CC74" s="227">
        <f t="shared" si="29"/>
        <v>0</v>
      </c>
    </row>
    <row r="75" spans="2:81" ht="19.5" thickBot="1" x14ac:dyDescent="0.35">
      <c r="B75" s="297"/>
      <c r="C75" s="285">
        <f t="shared" ref="C75:F75" si="30">SUM(C44:C74)</f>
        <v>53482.62000000001</v>
      </c>
      <c r="D75" s="285">
        <f t="shared" si="30"/>
        <v>19927.190000000002</v>
      </c>
      <c r="E75" s="285">
        <f t="shared" si="30"/>
        <v>69403.89</v>
      </c>
      <c r="F75" s="285">
        <f t="shared" si="30"/>
        <v>510.84000000000003</v>
      </c>
      <c r="G75" s="250"/>
      <c r="H75" s="248">
        <f t="shared" ref="H75:K75" si="31">SUM(H44:H74)</f>
        <v>0</v>
      </c>
      <c r="I75" s="308">
        <f t="shared" si="31"/>
        <v>1686.3935499999995</v>
      </c>
      <c r="J75" s="245">
        <f t="shared" si="31"/>
        <v>257.03958890000007</v>
      </c>
      <c r="K75" s="245">
        <f t="shared" si="31"/>
        <v>2454.2731388999996</v>
      </c>
      <c r="M75" s="1"/>
      <c r="N75" s="285">
        <f t="shared" ref="N75:R75" si="32">SUM(N44:N74)</f>
        <v>18067.559999999998</v>
      </c>
      <c r="O75" s="285">
        <f t="shared" si="32"/>
        <v>6510.6500000000005</v>
      </c>
      <c r="P75" s="285">
        <f t="shared" si="32"/>
        <v>105743.62999999998</v>
      </c>
      <c r="Q75" s="286">
        <f t="shared" si="32"/>
        <v>5590.6600000000008</v>
      </c>
      <c r="R75" s="286">
        <f t="shared" si="32"/>
        <v>0</v>
      </c>
      <c r="S75" s="250"/>
      <c r="T75" s="248">
        <f t="shared" ref="T75:W75" si="33">SUM(T44:T74)</f>
        <v>0</v>
      </c>
      <c r="U75" s="245">
        <f t="shared" si="33"/>
        <v>0</v>
      </c>
      <c r="V75" s="245">
        <f t="shared" si="33"/>
        <v>0</v>
      </c>
      <c r="W75" s="245">
        <f t="shared" si="33"/>
        <v>0</v>
      </c>
      <c r="Z75" s="287">
        <f t="shared" ref="Z75" si="34">SUM(Z44:Z74)</f>
        <v>92022.55</v>
      </c>
      <c r="AA75" s="288">
        <f>SUM(AA44:AA74)</f>
        <v>28407.359999999997</v>
      </c>
      <c r="AB75" s="250"/>
      <c r="AC75" s="248">
        <f t="shared" ref="AC75:AF75" si="35">SUM(AC44:AC74)</f>
        <v>0</v>
      </c>
      <c r="AD75" s="245">
        <f t="shared" si="35"/>
        <v>0</v>
      </c>
      <c r="AE75" s="245">
        <f t="shared" si="35"/>
        <v>0</v>
      </c>
      <c r="AF75" s="245">
        <f t="shared" si="35"/>
        <v>28407.359999999997</v>
      </c>
      <c r="AH75" s="298"/>
      <c r="AI75" s="289">
        <f t="shared" ref="AI75:AJ75" si="36">SUM(AI44:AI74)</f>
        <v>31184.01</v>
      </c>
      <c r="AJ75" s="289">
        <f t="shared" si="36"/>
        <v>0</v>
      </c>
      <c r="AK75" s="250"/>
      <c r="AL75" s="248">
        <f t="shared" ref="AL75:AO75" si="37">SUM(AL44:AL74)</f>
        <v>0</v>
      </c>
      <c r="AM75" s="245">
        <f t="shared" si="37"/>
        <v>0</v>
      </c>
      <c r="AN75" s="245">
        <f t="shared" si="37"/>
        <v>0</v>
      </c>
      <c r="AO75" s="245">
        <f t="shared" si="37"/>
        <v>0</v>
      </c>
      <c r="AQ75" s="299"/>
      <c r="AR75" s="289">
        <f t="shared" ref="AR75:AT75" si="38">SUM(AR44:AR74)</f>
        <v>36407.860000000008</v>
      </c>
      <c r="AS75" s="289">
        <f t="shared" si="38"/>
        <v>13974.88</v>
      </c>
      <c r="AT75" s="289">
        <f t="shared" si="38"/>
        <v>110209.76999999999</v>
      </c>
      <c r="AU75" s="289">
        <f>SUM(AU44:AU74)</f>
        <v>0</v>
      </c>
      <c r="AV75" s="289">
        <f>SUM(AV44:AV74)</f>
        <v>2221.19</v>
      </c>
      <c r="AW75" s="289">
        <f>SUM(AW44:AW74)</f>
        <v>305.19</v>
      </c>
      <c r="AX75" s="250"/>
      <c r="AY75" s="248">
        <f t="shared" ref="AY75:BB75" si="39">SUM(AY44:AY74)</f>
        <v>0</v>
      </c>
      <c r="AZ75" s="245">
        <f t="shared" si="39"/>
        <v>0</v>
      </c>
      <c r="BA75" s="245">
        <f t="shared" si="39"/>
        <v>0</v>
      </c>
      <c r="BB75" s="245">
        <f t="shared" si="39"/>
        <v>305.19</v>
      </c>
      <c r="BD75" s="298"/>
      <c r="BE75" s="289">
        <f t="shared" ref="BE75:BF75" si="40">SUM(BE44:BE74)</f>
        <v>253639.72000000003</v>
      </c>
      <c r="BF75" s="289">
        <f t="shared" si="40"/>
        <v>0</v>
      </c>
      <c r="BG75" s="250"/>
      <c r="BH75" s="248">
        <f t="shared" ref="BH75:BK75" si="41">SUM(BH44:BH74)</f>
        <v>150.59957</v>
      </c>
      <c r="BI75" s="245">
        <f t="shared" si="41"/>
        <v>0</v>
      </c>
      <c r="BJ75" s="245">
        <f t="shared" si="41"/>
        <v>0</v>
      </c>
      <c r="BK75" s="245">
        <f t="shared" si="41"/>
        <v>150.59957</v>
      </c>
      <c r="BM75" s="298"/>
      <c r="BN75" s="289">
        <f t="shared" ref="BN75:BO75" si="42">SUM(BN44:BN74)</f>
        <v>104600.42999999998</v>
      </c>
      <c r="BO75" s="289">
        <f t="shared" si="42"/>
        <v>4552.53</v>
      </c>
      <c r="BP75" s="250"/>
      <c r="BQ75" s="248">
        <f t="shared" ref="BQ75:BT75" si="43">SUM(BQ44:BQ74)</f>
        <v>0</v>
      </c>
      <c r="BR75" s="245">
        <f t="shared" si="43"/>
        <v>0</v>
      </c>
      <c r="BS75" s="245">
        <f t="shared" si="43"/>
        <v>0</v>
      </c>
      <c r="BT75" s="245">
        <f t="shared" si="43"/>
        <v>4552.53</v>
      </c>
      <c r="BV75" s="298"/>
      <c r="BW75" s="289">
        <f t="shared" ref="BW75:BX75" si="44">SUM(BW44:BW74)</f>
        <v>7517.7600000000011</v>
      </c>
      <c r="BX75" s="289">
        <f t="shared" si="44"/>
        <v>0</v>
      </c>
      <c r="BY75" s="250"/>
      <c r="BZ75" s="248">
        <f t="shared" ref="BZ75:CC75" si="45">SUM(BZ44:BZ74)</f>
        <v>0</v>
      </c>
      <c r="CA75" s="245">
        <f t="shared" si="45"/>
        <v>0</v>
      </c>
      <c r="CB75" s="245">
        <f t="shared" si="45"/>
        <v>0</v>
      </c>
      <c r="CC75" s="245">
        <f t="shared" si="45"/>
        <v>0</v>
      </c>
    </row>
    <row r="79" spans="2:81" s="301" customFormat="1" ht="26.25" x14ac:dyDescent="0.4">
      <c r="B79" s="300" t="s">
        <v>81</v>
      </c>
      <c r="C79" s="300"/>
      <c r="D79" s="300"/>
      <c r="E79" s="300"/>
      <c r="F79" s="300"/>
      <c r="G79" s="300"/>
      <c r="H79" s="300"/>
      <c r="I79" s="300"/>
      <c r="J79" s="300"/>
      <c r="K79" s="300"/>
      <c r="M79" s="300"/>
      <c r="N79" s="300" t="s">
        <v>82</v>
      </c>
      <c r="O79" s="300"/>
      <c r="P79" s="300"/>
      <c r="Q79" s="300"/>
      <c r="R79" s="300"/>
      <c r="S79" s="300"/>
      <c r="T79" s="300"/>
      <c r="U79" s="300"/>
      <c r="V79" s="300"/>
      <c r="W79" s="300"/>
      <c r="Y79" s="300" t="s">
        <v>83</v>
      </c>
      <c r="AB79" s="300"/>
      <c r="AC79" s="300"/>
      <c r="AD79" s="300"/>
      <c r="AE79" s="300"/>
      <c r="AF79" s="300"/>
      <c r="AH79" s="300" t="s">
        <v>84</v>
      </c>
      <c r="AI79" s="300"/>
      <c r="AK79" s="300"/>
      <c r="AL79" s="300"/>
      <c r="AM79" s="300"/>
      <c r="AN79" s="300"/>
      <c r="AO79" s="300"/>
      <c r="AQ79" s="300" t="s">
        <v>85</v>
      </c>
      <c r="AR79" s="300"/>
      <c r="AS79" s="300"/>
      <c r="AT79" s="300"/>
      <c r="AU79" s="300"/>
      <c r="AV79" s="300"/>
      <c r="AW79" s="300"/>
      <c r="AX79" s="300"/>
      <c r="AY79" s="300"/>
      <c r="AZ79" s="300"/>
      <c r="BA79" s="300"/>
      <c r="BB79" s="300"/>
      <c r="BD79" s="300" t="s">
        <v>86</v>
      </c>
      <c r="BE79" s="300"/>
      <c r="BG79" s="300"/>
      <c r="BH79" s="300"/>
      <c r="BI79" s="300"/>
      <c r="BJ79" s="300"/>
      <c r="BK79" s="300"/>
      <c r="BM79" s="300" t="s">
        <v>87</v>
      </c>
      <c r="BN79" s="300"/>
      <c r="BP79" s="300"/>
      <c r="BQ79" s="300"/>
      <c r="BR79" s="300"/>
      <c r="BS79" s="300"/>
      <c r="BT79" s="300"/>
      <c r="BV79" s="300" t="s">
        <v>88</v>
      </c>
      <c r="BW79" s="300"/>
      <c r="BY79" s="300"/>
      <c r="BZ79" s="300"/>
      <c r="CA79" s="300"/>
      <c r="CB79" s="300"/>
      <c r="CC79" s="300"/>
    </row>
    <row r="80" spans="2:81" ht="9" customHeight="1" thickBot="1" x14ac:dyDescent="0.3">
      <c r="B80" s="1"/>
      <c r="C80" s="1"/>
      <c r="D80" s="1"/>
      <c r="E80" s="1"/>
      <c r="F80" s="1"/>
      <c r="G80" s="1"/>
      <c r="H80" s="1"/>
      <c r="I80" s="1"/>
      <c r="J80" s="1"/>
      <c r="K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AB80" s="1"/>
      <c r="AC80" s="1"/>
      <c r="AD80" s="1"/>
      <c r="AE80" s="1"/>
      <c r="AF80" s="1"/>
      <c r="AK80" s="1"/>
      <c r="AL80" s="1"/>
      <c r="AM80" s="1"/>
      <c r="AN80" s="1"/>
      <c r="AO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G80" s="1"/>
      <c r="BH80" s="1"/>
      <c r="BI80" s="1"/>
      <c r="BJ80" s="1"/>
      <c r="BK80" s="1"/>
      <c r="BP80" s="1"/>
      <c r="BQ80" s="1"/>
      <c r="BR80" s="1"/>
      <c r="BS80" s="1"/>
      <c r="BT80" s="1"/>
      <c r="BY80" s="1"/>
      <c r="BZ80" s="1"/>
      <c r="CA80" s="1"/>
      <c r="CB80" s="1"/>
      <c r="CC80" s="1"/>
    </row>
    <row r="81" spans="2:81" ht="15.75" thickBot="1" x14ac:dyDescent="0.3">
      <c r="B81" s="1"/>
      <c r="C81" s="258" t="s">
        <v>77</v>
      </c>
      <c r="D81" s="258" t="s">
        <v>77</v>
      </c>
      <c r="E81" s="258" t="s">
        <v>77</v>
      </c>
      <c r="F81" s="258" t="s">
        <v>78</v>
      </c>
      <c r="G81" s="259"/>
      <c r="H81" s="290" t="s">
        <v>17</v>
      </c>
      <c r="I81" s="291" t="s">
        <v>17</v>
      </c>
      <c r="J81" s="292" t="s">
        <v>17</v>
      </c>
      <c r="K81" s="263" t="s">
        <v>23</v>
      </c>
      <c r="M81" s="1"/>
      <c r="N81" s="264" t="s">
        <v>16</v>
      </c>
      <c r="O81" s="264" t="s">
        <v>16</v>
      </c>
      <c r="P81" s="264" t="s">
        <v>16</v>
      </c>
      <c r="Q81" s="265" t="s">
        <v>67</v>
      </c>
      <c r="R81" s="265" t="s">
        <v>78</v>
      </c>
      <c r="S81" s="259"/>
      <c r="T81" s="290" t="s">
        <v>17</v>
      </c>
      <c r="U81" s="291" t="s">
        <v>17</v>
      </c>
      <c r="V81" s="292" t="s">
        <v>17</v>
      </c>
      <c r="W81" s="263" t="s">
        <v>23</v>
      </c>
      <c r="Z81" s="266" t="s">
        <v>16</v>
      </c>
      <c r="AA81" s="267" t="s">
        <v>67</v>
      </c>
      <c r="AB81" s="259"/>
      <c r="AC81" s="290" t="s">
        <v>17</v>
      </c>
      <c r="AD81" s="291" t="s">
        <v>17</v>
      </c>
      <c r="AE81" s="292" t="s">
        <v>17</v>
      </c>
      <c r="AF81" s="263" t="s">
        <v>23</v>
      </c>
      <c r="AI81" s="258" t="s">
        <v>77</v>
      </c>
      <c r="AJ81" s="258" t="s">
        <v>78</v>
      </c>
      <c r="AK81" s="259"/>
      <c r="AL81" s="290" t="s">
        <v>17</v>
      </c>
      <c r="AM81" s="291" t="s">
        <v>17</v>
      </c>
      <c r="AN81" s="292" t="s">
        <v>17</v>
      </c>
      <c r="AO81" s="263" t="s">
        <v>23</v>
      </c>
      <c r="AQ81" s="1"/>
      <c r="AR81" s="258" t="s">
        <v>77</v>
      </c>
      <c r="AS81" s="258" t="s">
        <v>77</v>
      </c>
      <c r="AT81" s="258" t="s">
        <v>77</v>
      </c>
      <c r="AU81" s="258" t="s">
        <v>78</v>
      </c>
      <c r="AV81" s="258" t="s">
        <v>78</v>
      </c>
      <c r="AW81" s="258" t="s">
        <v>78</v>
      </c>
      <c r="AX81" s="259"/>
      <c r="AY81" s="290" t="s">
        <v>17</v>
      </c>
      <c r="AZ81" s="291" t="s">
        <v>17</v>
      </c>
      <c r="BA81" s="292" t="s">
        <v>17</v>
      </c>
      <c r="BB81" s="263" t="s">
        <v>23</v>
      </c>
      <c r="BE81" s="258" t="s">
        <v>77</v>
      </c>
      <c r="BF81" s="258" t="s">
        <v>78</v>
      </c>
      <c r="BG81" s="259"/>
      <c r="BH81" s="290" t="s">
        <v>17</v>
      </c>
      <c r="BI81" s="291" t="s">
        <v>17</v>
      </c>
      <c r="BJ81" s="292" t="s">
        <v>17</v>
      </c>
      <c r="BK81" s="263" t="s">
        <v>23</v>
      </c>
      <c r="BN81" s="258" t="s">
        <v>77</v>
      </c>
      <c r="BO81" s="258" t="s">
        <v>78</v>
      </c>
      <c r="BP81" s="259"/>
      <c r="BQ81" s="290" t="s">
        <v>17</v>
      </c>
      <c r="BR81" s="291" t="s">
        <v>17</v>
      </c>
      <c r="BS81" s="292" t="s">
        <v>17</v>
      </c>
      <c r="BT81" s="263" t="s">
        <v>23</v>
      </c>
      <c r="BW81" s="258" t="s">
        <v>77</v>
      </c>
      <c r="BX81" s="258" t="s">
        <v>78</v>
      </c>
      <c r="BY81" s="259"/>
      <c r="BZ81" s="290" t="s">
        <v>17</v>
      </c>
      <c r="CA81" s="291" t="s">
        <v>17</v>
      </c>
      <c r="CB81" s="292" t="s">
        <v>17</v>
      </c>
      <c r="CC81" s="263" t="s">
        <v>23</v>
      </c>
    </row>
    <row r="82" spans="2:81" ht="15.75" thickBot="1" x14ac:dyDescent="0.3">
      <c r="B82" s="1"/>
      <c r="C82" s="268" t="s">
        <v>19</v>
      </c>
      <c r="D82" s="268" t="s">
        <v>20</v>
      </c>
      <c r="E82" s="268" t="s">
        <v>22</v>
      </c>
      <c r="F82" s="268" t="s">
        <v>19</v>
      </c>
      <c r="G82" s="259"/>
      <c r="H82" s="269" t="s">
        <v>64</v>
      </c>
      <c r="I82" s="270" t="s">
        <v>65</v>
      </c>
      <c r="J82" s="293" t="s">
        <v>66</v>
      </c>
      <c r="K82" s="294" t="s">
        <v>67</v>
      </c>
      <c r="M82" s="1"/>
      <c r="N82" s="272" t="s">
        <v>19</v>
      </c>
      <c r="O82" s="272" t="s">
        <v>20</v>
      </c>
      <c r="P82" s="272" t="s">
        <v>22</v>
      </c>
      <c r="Q82" s="272" t="s">
        <v>22</v>
      </c>
      <c r="R82" s="272" t="s">
        <v>19</v>
      </c>
      <c r="S82" s="259"/>
      <c r="T82" s="269" t="s">
        <v>64</v>
      </c>
      <c r="U82" s="270" t="s">
        <v>65</v>
      </c>
      <c r="V82" s="293" t="s">
        <v>66</v>
      </c>
      <c r="W82" s="294" t="s">
        <v>67</v>
      </c>
      <c r="Z82" s="273" t="s">
        <v>19</v>
      </c>
      <c r="AA82" s="274" t="s">
        <v>19</v>
      </c>
      <c r="AB82" s="259"/>
      <c r="AC82" s="269" t="s">
        <v>64</v>
      </c>
      <c r="AD82" s="270" t="s">
        <v>65</v>
      </c>
      <c r="AE82" s="293" t="s">
        <v>66</v>
      </c>
      <c r="AF82" s="294" t="s">
        <v>67</v>
      </c>
      <c r="AI82" s="268" t="s">
        <v>19</v>
      </c>
      <c r="AJ82" s="268" t="s">
        <v>19</v>
      </c>
      <c r="AK82" s="259"/>
      <c r="AL82" s="269" t="s">
        <v>64</v>
      </c>
      <c r="AM82" s="270" t="s">
        <v>65</v>
      </c>
      <c r="AN82" s="293" t="s">
        <v>66</v>
      </c>
      <c r="AO82" s="294" t="s">
        <v>67</v>
      </c>
      <c r="AQ82" s="1"/>
      <c r="AR82" s="268" t="s">
        <v>19</v>
      </c>
      <c r="AS82" s="268" t="s">
        <v>20</v>
      </c>
      <c r="AT82" s="268" t="s">
        <v>22</v>
      </c>
      <c r="AU82" s="268" t="s">
        <v>20</v>
      </c>
      <c r="AV82" s="268" t="s">
        <v>22</v>
      </c>
      <c r="AW82" s="268" t="s">
        <v>19</v>
      </c>
      <c r="AX82" s="259"/>
      <c r="AY82" s="269" t="s">
        <v>64</v>
      </c>
      <c r="AZ82" s="270" t="s">
        <v>65</v>
      </c>
      <c r="BA82" s="293" t="s">
        <v>66</v>
      </c>
      <c r="BB82" s="294" t="s">
        <v>67</v>
      </c>
      <c r="BE82" s="268" t="s">
        <v>19</v>
      </c>
      <c r="BF82" s="268" t="s">
        <v>19</v>
      </c>
      <c r="BG82" s="259"/>
      <c r="BH82" s="269" t="s">
        <v>64</v>
      </c>
      <c r="BI82" s="270" t="s">
        <v>65</v>
      </c>
      <c r="BJ82" s="293" t="s">
        <v>66</v>
      </c>
      <c r="BK82" s="294" t="s">
        <v>67</v>
      </c>
      <c r="BN82" s="268" t="s">
        <v>19</v>
      </c>
      <c r="BO82" s="268" t="s">
        <v>19</v>
      </c>
      <c r="BP82" s="259"/>
      <c r="BQ82" s="269" t="s">
        <v>64</v>
      </c>
      <c r="BR82" s="270" t="s">
        <v>65</v>
      </c>
      <c r="BS82" s="293" t="s">
        <v>66</v>
      </c>
      <c r="BT82" s="294" t="s">
        <v>67</v>
      </c>
      <c r="BW82" s="268" t="s">
        <v>19</v>
      </c>
      <c r="BX82" s="268" t="s">
        <v>19</v>
      </c>
      <c r="BY82" s="259"/>
      <c r="BZ82" s="269" t="s">
        <v>64</v>
      </c>
      <c r="CA82" s="270" t="s">
        <v>65</v>
      </c>
      <c r="CB82" s="293" t="s">
        <v>66</v>
      </c>
      <c r="CC82" s="294" t="s">
        <v>67</v>
      </c>
    </row>
    <row r="83" spans="2:81" ht="15.75" x14ac:dyDescent="0.25">
      <c r="B83" s="275">
        <v>45901</v>
      </c>
      <c r="C83" s="277"/>
      <c r="D83" s="276"/>
      <c r="E83" s="276"/>
      <c r="F83" s="276"/>
      <c r="G83" s="278"/>
      <c r="H83" s="279"/>
      <c r="I83" s="225"/>
      <c r="J83" s="225"/>
      <c r="K83" s="225">
        <f t="shared" ref="K83:K113" si="46">SUM(F83:J83)</f>
        <v>0</v>
      </c>
      <c r="M83" s="275">
        <v>45901</v>
      </c>
      <c r="N83" s="280"/>
      <c r="O83" s="280"/>
      <c r="P83" s="280"/>
      <c r="Q83" s="282"/>
      <c r="R83" s="282"/>
      <c r="S83" s="278"/>
      <c r="T83" s="279"/>
      <c r="U83" s="225"/>
      <c r="V83" s="225"/>
      <c r="W83" s="225">
        <f t="shared" ref="W83:W113" si="47">SUM(R83:V83)</f>
        <v>0</v>
      </c>
      <c r="Y83" s="275">
        <v>45901</v>
      </c>
      <c r="Z83" s="277"/>
      <c r="AA83" s="277"/>
      <c r="AB83" s="278"/>
      <c r="AC83" s="279"/>
      <c r="AD83" s="225"/>
      <c r="AE83" s="225"/>
      <c r="AF83" s="225">
        <f t="shared" ref="AF83:AF113" si="48">SUM(AA83:AE83)</f>
        <v>0</v>
      </c>
      <c r="AH83" s="275">
        <v>45901</v>
      </c>
      <c r="AI83" s="277"/>
      <c r="AJ83" s="280"/>
      <c r="AK83" s="278"/>
      <c r="AL83" s="279"/>
      <c r="AM83" s="225"/>
      <c r="AN83" s="225"/>
      <c r="AO83" s="225">
        <f t="shared" ref="AO83:AO113" si="49">SUM(AJ83:AN83)</f>
        <v>0</v>
      </c>
      <c r="AQ83" s="275">
        <v>45901</v>
      </c>
      <c r="AR83" s="277"/>
      <c r="AS83" s="280"/>
      <c r="AT83" s="280"/>
      <c r="AU83" s="280"/>
      <c r="AV83" s="282"/>
      <c r="AW83" s="280"/>
      <c r="AX83" s="278"/>
      <c r="AY83" s="279"/>
      <c r="AZ83" s="225"/>
      <c r="BA83" s="225"/>
      <c r="BB83" s="225">
        <f t="shared" ref="BB83:BB113" si="50">SUM(AW83:BA83)</f>
        <v>0</v>
      </c>
      <c r="BD83" s="275">
        <v>45901</v>
      </c>
      <c r="BE83" s="277"/>
      <c r="BF83" s="280"/>
      <c r="BG83" s="278"/>
      <c r="BH83" s="279"/>
      <c r="BI83" s="225"/>
      <c r="BJ83" s="225"/>
      <c r="BK83" s="225">
        <f t="shared" ref="BK83:BK113" si="51">SUM(BF83:BJ83)</f>
        <v>0</v>
      </c>
      <c r="BM83" s="275">
        <v>45901</v>
      </c>
      <c r="BN83" s="277"/>
      <c r="BO83" s="276"/>
      <c r="BP83" s="278"/>
      <c r="BQ83" s="279"/>
      <c r="BR83" s="225"/>
      <c r="BS83" s="225"/>
      <c r="BT83" s="225">
        <f t="shared" ref="BT83:BT113" si="52">SUM(BO83:BS83)</f>
        <v>0</v>
      </c>
      <c r="BV83" s="275">
        <v>45901</v>
      </c>
      <c r="BW83" s="277"/>
      <c r="BX83" s="277"/>
      <c r="BY83" s="278"/>
      <c r="BZ83" s="279"/>
      <c r="CA83" s="225"/>
      <c r="CB83" s="225"/>
      <c r="CC83" s="225">
        <f t="shared" ref="CC83:CC113" si="53">SUM(BX83:CB83)</f>
        <v>0</v>
      </c>
    </row>
    <row r="84" spans="2:81" ht="15.75" x14ac:dyDescent="0.25">
      <c r="B84" s="275">
        <v>45902</v>
      </c>
      <c r="C84" s="277"/>
      <c r="D84" s="276"/>
      <c r="E84" s="276"/>
      <c r="F84" s="276"/>
      <c r="G84" s="278"/>
      <c r="H84" s="283"/>
      <c r="I84" s="226"/>
      <c r="J84" s="226"/>
      <c r="K84" s="226">
        <f t="shared" si="46"/>
        <v>0</v>
      </c>
      <c r="M84" s="275">
        <v>45902</v>
      </c>
      <c r="N84" s="280"/>
      <c r="O84" s="280"/>
      <c r="P84" s="280"/>
      <c r="Q84" s="282"/>
      <c r="R84" s="282"/>
      <c r="S84" s="278"/>
      <c r="T84" s="283"/>
      <c r="U84" s="226"/>
      <c r="V84" s="226"/>
      <c r="W84" s="226">
        <f t="shared" si="47"/>
        <v>0</v>
      </c>
      <c r="Y84" s="275">
        <v>45902</v>
      </c>
      <c r="Z84" s="277"/>
      <c r="AA84" s="277"/>
      <c r="AB84" s="278"/>
      <c r="AC84" s="283"/>
      <c r="AD84" s="226"/>
      <c r="AE84" s="226"/>
      <c r="AF84" s="226">
        <f t="shared" si="48"/>
        <v>0</v>
      </c>
      <c r="AH84" s="275">
        <v>45902</v>
      </c>
      <c r="AI84" s="277"/>
      <c r="AJ84" s="280"/>
      <c r="AK84" s="278"/>
      <c r="AL84" s="283"/>
      <c r="AM84" s="226"/>
      <c r="AN84" s="226"/>
      <c r="AO84" s="226">
        <f t="shared" si="49"/>
        <v>0</v>
      </c>
      <c r="AQ84" s="275">
        <v>45902</v>
      </c>
      <c r="AR84" s="277"/>
      <c r="AS84" s="280"/>
      <c r="AT84" s="280"/>
      <c r="AU84" s="282"/>
      <c r="AV84" s="282"/>
      <c r="AW84" s="282"/>
      <c r="AX84" s="278"/>
      <c r="AY84" s="283"/>
      <c r="AZ84" s="226"/>
      <c r="BA84" s="226"/>
      <c r="BB84" s="226">
        <f t="shared" si="50"/>
        <v>0</v>
      </c>
      <c r="BD84" s="275">
        <v>45902</v>
      </c>
      <c r="BE84" s="277"/>
      <c r="BF84" s="280"/>
      <c r="BG84" s="278"/>
      <c r="BH84" s="283"/>
      <c r="BI84" s="226"/>
      <c r="BJ84" s="226"/>
      <c r="BK84" s="226">
        <f t="shared" si="51"/>
        <v>0</v>
      </c>
      <c r="BM84" s="275">
        <v>45902</v>
      </c>
      <c r="BN84" s="277"/>
      <c r="BO84" s="276"/>
      <c r="BP84" s="278"/>
      <c r="BQ84" s="283"/>
      <c r="BR84" s="226"/>
      <c r="BS84" s="226"/>
      <c r="BT84" s="226">
        <f t="shared" si="52"/>
        <v>0</v>
      </c>
      <c r="BV84" s="275">
        <v>45902</v>
      </c>
      <c r="BW84" s="277"/>
      <c r="BX84" s="277"/>
      <c r="BY84" s="278"/>
      <c r="BZ84" s="283"/>
      <c r="CA84" s="226"/>
      <c r="CB84" s="226"/>
      <c r="CC84" s="226">
        <f t="shared" si="53"/>
        <v>0</v>
      </c>
    </row>
    <row r="85" spans="2:81" ht="15.75" x14ac:dyDescent="0.25">
      <c r="B85" s="275">
        <v>45903</v>
      </c>
      <c r="C85" s="277"/>
      <c r="D85" s="276"/>
      <c r="E85" s="276"/>
      <c r="F85" s="276"/>
      <c r="G85" s="278"/>
      <c r="H85" s="283"/>
      <c r="I85" s="226"/>
      <c r="J85" s="226"/>
      <c r="K85" s="226">
        <f t="shared" si="46"/>
        <v>0</v>
      </c>
      <c r="M85" s="275">
        <v>45903</v>
      </c>
      <c r="N85" s="280"/>
      <c r="O85" s="280"/>
      <c r="P85" s="280"/>
      <c r="Q85" s="282"/>
      <c r="R85" s="282"/>
      <c r="S85" s="278"/>
      <c r="T85" s="283"/>
      <c r="U85" s="226"/>
      <c r="V85" s="226"/>
      <c r="W85" s="226">
        <f t="shared" si="47"/>
        <v>0</v>
      </c>
      <c r="Y85" s="275">
        <v>45903</v>
      </c>
      <c r="Z85" s="277"/>
      <c r="AA85" s="277"/>
      <c r="AB85" s="278"/>
      <c r="AC85" s="283"/>
      <c r="AD85" s="226"/>
      <c r="AE85" s="226"/>
      <c r="AF85" s="226">
        <f t="shared" si="48"/>
        <v>0</v>
      </c>
      <c r="AH85" s="275">
        <v>45903</v>
      </c>
      <c r="AI85" s="277"/>
      <c r="AJ85" s="280"/>
      <c r="AK85" s="278"/>
      <c r="AL85" s="283"/>
      <c r="AM85" s="226"/>
      <c r="AN85" s="226"/>
      <c r="AO85" s="226">
        <f t="shared" si="49"/>
        <v>0</v>
      </c>
      <c r="AQ85" s="275">
        <v>45903</v>
      </c>
      <c r="AR85" s="277"/>
      <c r="AS85" s="280"/>
      <c r="AT85" s="280"/>
      <c r="AU85" s="280"/>
      <c r="AV85" s="282"/>
      <c r="AW85" s="280"/>
      <c r="AX85" s="278"/>
      <c r="AY85" s="283"/>
      <c r="AZ85" s="226"/>
      <c r="BA85" s="226"/>
      <c r="BB85" s="226">
        <f t="shared" si="50"/>
        <v>0</v>
      </c>
      <c r="BD85" s="275">
        <v>45903</v>
      </c>
      <c r="BE85" s="277"/>
      <c r="BF85" s="280"/>
      <c r="BG85" s="278"/>
      <c r="BH85" s="283"/>
      <c r="BI85" s="226"/>
      <c r="BJ85" s="226"/>
      <c r="BK85" s="226">
        <f t="shared" si="51"/>
        <v>0</v>
      </c>
      <c r="BM85" s="275">
        <v>45903</v>
      </c>
      <c r="BN85" s="277"/>
      <c r="BO85" s="276"/>
      <c r="BP85" s="278"/>
      <c r="BQ85" s="283"/>
      <c r="BR85" s="226"/>
      <c r="BS85" s="226"/>
      <c r="BT85" s="226">
        <f t="shared" si="52"/>
        <v>0</v>
      </c>
      <c r="BV85" s="275">
        <v>45903</v>
      </c>
      <c r="BW85" s="277"/>
      <c r="BX85" s="277"/>
      <c r="BY85" s="278"/>
      <c r="BZ85" s="283"/>
      <c r="CA85" s="226"/>
      <c r="CB85" s="226"/>
      <c r="CC85" s="226">
        <f t="shared" si="53"/>
        <v>0</v>
      </c>
    </row>
    <row r="86" spans="2:81" ht="15.75" x14ac:dyDescent="0.25">
      <c r="B86" s="275">
        <v>45904</v>
      </c>
      <c r="C86" s="277"/>
      <c r="D86" s="276"/>
      <c r="E86" s="276"/>
      <c r="F86" s="276"/>
      <c r="G86" s="278"/>
      <c r="H86" s="283"/>
      <c r="I86" s="226"/>
      <c r="J86" s="226"/>
      <c r="K86" s="226">
        <f t="shared" si="46"/>
        <v>0</v>
      </c>
      <c r="M86" s="275">
        <v>45904</v>
      </c>
      <c r="N86" s="280"/>
      <c r="O86" s="280"/>
      <c r="P86" s="280"/>
      <c r="Q86" s="282"/>
      <c r="R86" s="282"/>
      <c r="S86" s="278"/>
      <c r="T86" s="283"/>
      <c r="U86" s="226"/>
      <c r="V86" s="226"/>
      <c r="W86" s="226">
        <f t="shared" si="47"/>
        <v>0</v>
      </c>
      <c r="Y86" s="275">
        <v>45904</v>
      </c>
      <c r="Z86" s="277"/>
      <c r="AA86" s="277"/>
      <c r="AB86" s="278"/>
      <c r="AC86" s="283"/>
      <c r="AD86" s="226"/>
      <c r="AE86" s="226"/>
      <c r="AF86" s="226">
        <f t="shared" si="48"/>
        <v>0</v>
      </c>
      <c r="AH86" s="275">
        <v>45904</v>
      </c>
      <c r="AI86" s="277"/>
      <c r="AJ86" s="280"/>
      <c r="AK86" s="278"/>
      <c r="AL86" s="283"/>
      <c r="AM86" s="226"/>
      <c r="AN86" s="226"/>
      <c r="AO86" s="226">
        <f t="shared" si="49"/>
        <v>0</v>
      </c>
      <c r="AQ86" s="275">
        <v>45904</v>
      </c>
      <c r="AR86" s="277"/>
      <c r="AS86" s="280"/>
      <c r="AT86" s="280"/>
      <c r="AU86" s="280"/>
      <c r="AV86" s="282"/>
      <c r="AW86" s="280"/>
      <c r="AX86" s="278"/>
      <c r="AY86" s="283"/>
      <c r="AZ86" s="226"/>
      <c r="BA86" s="226"/>
      <c r="BB86" s="226">
        <f t="shared" si="50"/>
        <v>0</v>
      </c>
      <c r="BD86" s="275">
        <v>45904</v>
      </c>
      <c r="BE86" s="277"/>
      <c r="BF86" s="280"/>
      <c r="BG86" s="278"/>
      <c r="BH86" s="283"/>
      <c r="BI86" s="226"/>
      <c r="BJ86" s="226"/>
      <c r="BK86" s="226">
        <f t="shared" si="51"/>
        <v>0</v>
      </c>
      <c r="BM86" s="275">
        <v>45904</v>
      </c>
      <c r="BN86" s="277"/>
      <c r="BO86" s="276"/>
      <c r="BP86" s="278"/>
      <c r="BQ86" s="283"/>
      <c r="BR86" s="226"/>
      <c r="BS86" s="226"/>
      <c r="BT86" s="226">
        <f t="shared" si="52"/>
        <v>0</v>
      </c>
      <c r="BV86" s="275">
        <v>45904</v>
      </c>
      <c r="BW86" s="277"/>
      <c r="BX86" s="277"/>
      <c r="BY86" s="278"/>
      <c r="BZ86" s="283"/>
      <c r="CA86" s="226"/>
      <c r="CB86" s="226"/>
      <c r="CC86" s="226">
        <f t="shared" si="53"/>
        <v>0</v>
      </c>
    </row>
    <row r="87" spans="2:81" ht="15.75" x14ac:dyDescent="0.25">
      <c r="B87" s="275">
        <v>45905</v>
      </c>
      <c r="C87" s="277"/>
      <c r="D87" s="276"/>
      <c r="E87" s="276"/>
      <c r="F87" s="276"/>
      <c r="G87" s="278"/>
      <c r="H87" s="283"/>
      <c r="I87" s="226"/>
      <c r="J87" s="226"/>
      <c r="K87" s="226">
        <f t="shared" si="46"/>
        <v>0</v>
      </c>
      <c r="M87" s="275">
        <v>45905</v>
      </c>
      <c r="N87" s="280"/>
      <c r="O87" s="280"/>
      <c r="P87" s="280"/>
      <c r="Q87" s="282"/>
      <c r="R87" s="282"/>
      <c r="S87" s="278"/>
      <c r="T87" s="283"/>
      <c r="U87" s="226"/>
      <c r="V87" s="226"/>
      <c r="W87" s="226">
        <f t="shared" si="47"/>
        <v>0</v>
      </c>
      <c r="Y87" s="275">
        <v>45905</v>
      </c>
      <c r="Z87" s="277"/>
      <c r="AA87" s="277"/>
      <c r="AB87" s="278"/>
      <c r="AC87" s="283"/>
      <c r="AD87" s="226"/>
      <c r="AE87" s="226"/>
      <c r="AF87" s="226">
        <f t="shared" si="48"/>
        <v>0</v>
      </c>
      <c r="AH87" s="275">
        <v>45905</v>
      </c>
      <c r="AI87" s="277"/>
      <c r="AJ87" s="280"/>
      <c r="AK87" s="278"/>
      <c r="AL87" s="283"/>
      <c r="AM87" s="226"/>
      <c r="AN87" s="226"/>
      <c r="AO87" s="226">
        <f t="shared" si="49"/>
        <v>0</v>
      </c>
      <c r="AQ87" s="275">
        <v>45905</v>
      </c>
      <c r="AR87" s="277"/>
      <c r="AS87" s="280"/>
      <c r="AT87" s="280"/>
      <c r="AU87" s="280"/>
      <c r="AV87" s="282"/>
      <c r="AW87" s="280"/>
      <c r="AX87" s="278"/>
      <c r="AY87" s="283"/>
      <c r="AZ87" s="226"/>
      <c r="BA87" s="226"/>
      <c r="BB87" s="226">
        <f t="shared" si="50"/>
        <v>0</v>
      </c>
      <c r="BD87" s="275">
        <v>45905</v>
      </c>
      <c r="BE87" s="280"/>
      <c r="BF87" s="280"/>
      <c r="BG87" s="278"/>
      <c r="BH87" s="283"/>
      <c r="BI87" s="226"/>
      <c r="BJ87" s="226"/>
      <c r="BK87" s="226">
        <f t="shared" si="51"/>
        <v>0</v>
      </c>
      <c r="BM87" s="275">
        <v>45905</v>
      </c>
      <c r="BN87" s="277"/>
      <c r="BO87" s="276"/>
      <c r="BP87" s="278"/>
      <c r="BQ87" s="283"/>
      <c r="BR87" s="226"/>
      <c r="BS87" s="226"/>
      <c r="BT87" s="226">
        <f t="shared" si="52"/>
        <v>0</v>
      </c>
      <c r="BV87" s="275">
        <v>45905</v>
      </c>
      <c r="BW87" s="277"/>
      <c r="BX87" s="277"/>
      <c r="BY87" s="278"/>
      <c r="BZ87" s="283"/>
      <c r="CA87" s="226"/>
      <c r="CB87" s="226"/>
      <c r="CC87" s="226">
        <f t="shared" si="53"/>
        <v>0</v>
      </c>
    </row>
    <row r="88" spans="2:81" ht="15.75" x14ac:dyDescent="0.25">
      <c r="B88" s="275">
        <v>45906</v>
      </c>
      <c r="C88" s="277"/>
      <c r="D88" s="276"/>
      <c r="E88" s="276"/>
      <c r="F88" s="276"/>
      <c r="G88" s="278"/>
      <c r="H88" s="283"/>
      <c r="I88" s="226"/>
      <c r="J88" s="226"/>
      <c r="K88" s="226">
        <f t="shared" si="46"/>
        <v>0</v>
      </c>
      <c r="M88" s="275">
        <v>45906</v>
      </c>
      <c r="N88" s="280"/>
      <c r="O88" s="280"/>
      <c r="P88" s="280"/>
      <c r="Q88" s="282"/>
      <c r="R88" s="282"/>
      <c r="S88" s="278"/>
      <c r="T88" s="283"/>
      <c r="U88" s="226"/>
      <c r="V88" s="226"/>
      <c r="W88" s="226">
        <f t="shared" si="47"/>
        <v>0</v>
      </c>
      <c r="Y88" s="275">
        <v>45906</v>
      </c>
      <c r="Z88" s="277"/>
      <c r="AA88" s="277"/>
      <c r="AB88" s="278"/>
      <c r="AC88" s="283"/>
      <c r="AD88" s="226"/>
      <c r="AE88" s="226"/>
      <c r="AF88" s="226">
        <f t="shared" si="48"/>
        <v>0</v>
      </c>
      <c r="AH88" s="275">
        <v>45906</v>
      </c>
      <c r="AI88" s="277"/>
      <c r="AJ88" s="280"/>
      <c r="AK88" s="278"/>
      <c r="AL88" s="283"/>
      <c r="AM88" s="226"/>
      <c r="AN88" s="226"/>
      <c r="AO88" s="226">
        <f t="shared" si="49"/>
        <v>0</v>
      </c>
      <c r="AQ88" s="275">
        <v>45906</v>
      </c>
      <c r="AR88" s="277"/>
      <c r="AS88" s="280"/>
      <c r="AT88" s="280"/>
      <c r="AU88" s="280"/>
      <c r="AV88" s="282"/>
      <c r="AW88" s="280"/>
      <c r="AX88" s="278"/>
      <c r="AY88" s="283"/>
      <c r="AZ88" s="226"/>
      <c r="BA88" s="226"/>
      <c r="BB88" s="226">
        <f t="shared" si="50"/>
        <v>0</v>
      </c>
      <c r="BD88" s="275">
        <v>45906</v>
      </c>
      <c r="BE88" s="280"/>
      <c r="BF88" s="280"/>
      <c r="BG88" s="278"/>
      <c r="BH88" s="283"/>
      <c r="BI88" s="226"/>
      <c r="BJ88" s="226"/>
      <c r="BK88" s="226">
        <f t="shared" si="51"/>
        <v>0</v>
      </c>
      <c r="BM88" s="275">
        <v>45906</v>
      </c>
      <c r="BN88" s="277"/>
      <c r="BO88" s="276"/>
      <c r="BP88" s="278"/>
      <c r="BQ88" s="283"/>
      <c r="BR88" s="226"/>
      <c r="BS88" s="226"/>
      <c r="BT88" s="226">
        <f t="shared" si="52"/>
        <v>0</v>
      </c>
      <c r="BV88" s="275">
        <v>45906</v>
      </c>
      <c r="BW88" s="277"/>
      <c r="BX88" s="277"/>
      <c r="BY88" s="278"/>
      <c r="BZ88" s="283"/>
      <c r="CA88" s="226"/>
      <c r="CB88" s="226"/>
      <c r="CC88" s="226">
        <f t="shared" si="53"/>
        <v>0</v>
      </c>
    </row>
    <row r="89" spans="2:81" ht="15.75" x14ac:dyDescent="0.25">
      <c r="B89" s="275">
        <v>45907</v>
      </c>
      <c r="C89" s="277"/>
      <c r="D89" s="276"/>
      <c r="E89" s="276"/>
      <c r="F89" s="276"/>
      <c r="G89" s="278"/>
      <c r="H89" s="283"/>
      <c r="I89" s="226"/>
      <c r="J89" s="226"/>
      <c r="K89" s="226">
        <f t="shared" si="46"/>
        <v>0</v>
      </c>
      <c r="M89" s="275">
        <v>45907</v>
      </c>
      <c r="N89" s="280"/>
      <c r="O89" s="280"/>
      <c r="P89" s="280"/>
      <c r="Q89" s="280"/>
      <c r="R89" s="280"/>
      <c r="S89" s="278"/>
      <c r="T89" s="283"/>
      <c r="U89" s="226"/>
      <c r="V89" s="226"/>
      <c r="W89" s="226">
        <f t="shared" si="47"/>
        <v>0</v>
      </c>
      <c r="Y89" s="275">
        <v>45907</v>
      </c>
      <c r="Z89" s="277"/>
      <c r="AA89" s="277"/>
      <c r="AB89" s="278"/>
      <c r="AC89" s="283"/>
      <c r="AD89" s="226"/>
      <c r="AE89" s="226"/>
      <c r="AF89" s="226">
        <f t="shared" si="48"/>
        <v>0</v>
      </c>
      <c r="AH89" s="275">
        <v>45907</v>
      </c>
      <c r="AI89" s="277"/>
      <c r="AJ89" s="280"/>
      <c r="AK89" s="278"/>
      <c r="AL89" s="283"/>
      <c r="AM89" s="226"/>
      <c r="AN89" s="226"/>
      <c r="AO89" s="226">
        <f t="shared" si="49"/>
        <v>0</v>
      </c>
      <c r="AQ89" s="275">
        <v>45907</v>
      </c>
      <c r="AR89" s="277"/>
      <c r="AS89" s="280"/>
      <c r="AT89" s="280"/>
      <c r="AU89" s="280"/>
      <c r="AV89" s="282"/>
      <c r="AW89" s="280"/>
      <c r="AX89" s="278"/>
      <c r="AY89" s="283"/>
      <c r="AZ89" s="226"/>
      <c r="BA89" s="226"/>
      <c r="BB89" s="226">
        <f t="shared" si="50"/>
        <v>0</v>
      </c>
      <c r="BD89" s="275">
        <v>45907</v>
      </c>
      <c r="BE89" s="280"/>
      <c r="BF89" s="280"/>
      <c r="BG89" s="278"/>
      <c r="BH89" s="283"/>
      <c r="BI89" s="226"/>
      <c r="BJ89" s="226"/>
      <c r="BK89" s="226">
        <f t="shared" si="51"/>
        <v>0</v>
      </c>
      <c r="BM89" s="275">
        <v>45907</v>
      </c>
      <c r="BN89" s="277"/>
      <c r="BO89" s="276"/>
      <c r="BP89" s="278"/>
      <c r="BQ89" s="283"/>
      <c r="BR89" s="226"/>
      <c r="BS89" s="226"/>
      <c r="BT89" s="226">
        <f t="shared" si="52"/>
        <v>0</v>
      </c>
      <c r="BV89" s="275">
        <v>45907</v>
      </c>
      <c r="BW89" s="277"/>
      <c r="BX89" s="277"/>
      <c r="BY89" s="278"/>
      <c r="BZ89" s="283"/>
      <c r="CA89" s="226"/>
      <c r="CB89" s="226"/>
      <c r="CC89" s="226">
        <f t="shared" si="53"/>
        <v>0</v>
      </c>
    </row>
    <row r="90" spans="2:81" ht="15.75" x14ac:dyDescent="0.25">
      <c r="B90" s="275">
        <v>45908</v>
      </c>
      <c r="C90" s="277"/>
      <c r="D90" s="276"/>
      <c r="E90" s="276"/>
      <c r="F90" s="276"/>
      <c r="G90" s="278"/>
      <c r="H90" s="283"/>
      <c r="I90" s="226"/>
      <c r="J90" s="226"/>
      <c r="K90" s="226">
        <f t="shared" si="46"/>
        <v>0</v>
      </c>
      <c r="M90" s="275">
        <v>45908</v>
      </c>
      <c r="N90" s="280"/>
      <c r="O90" s="280"/>
      <c r="P90" s="280"/>
      <c r="Q90" s="280"/>
      <c r="R90" s="280"/>
      <c r="S90" s="278"/>
      <c r="T90" s="283"/>
      <c r="U90" s="226"/>
      <c r="V90" s="226"/>
      <c r="W90" s="226">
        <f t="shared" si="47"/>
        <v>0</v>
      </c>
      <c r="Y90" s="275">
        <v>45908</v>
      </c>
      <c r="Z90" s="277"/>
      <c r="AA90" s="277"/>
      <c r="AB90" s="278"/>
      <c r="AC90" s="283"/>
      <c r="AD90" s="226"/>
      <c r="AE90" s="226"/>
      <c r="AF90" s="226">
        <f t="shared" si="48"/>
        <v>0</v>
      </c>
      <c r="AH90" s="275">
        <v>45908</v>
      </c>
      <c r="AI90" s="277"/>
      <c r="AJ90" s="280"/>
      <c r="AK90" s="278"/>
      <c r="AL90" s="283"/>
      <c r="AM90" s="226"/>
      <c r="AN90" s="226"/>
      <c r="AO90" s="226">
        <f t="shared" si="49"/>
        <v>0</v>
      </c>
      <c r="AQ90" s="275">
        <v>45908</v>
      </c>
      <c r="AR90" s="277"/>
      <c r="AS90" s="280"/>
      <c r="AT90" s="280"/>
      <c r="AU90" s="280"/>
      <c r="AV90" s="282"/>
      <c r="AW90" s="280"/>
      <c r="AX90" s="278"/>
      <c r="AY90" s="283"/>
      <c r="AZ90" s="226"/>
      <c r="BA90" s="226"/>
      <c r="BB90" s="226">
        <f t="shared" si="50"/>
        <v>0</v>
      </c>
      <c r="BD90" s="275">
        <v>45908</v>
      </c>
      <c r="BE90" s="280"/>
      <c r="BF90" s="280"/>
      <c r="BG90" s="278"/>
      <c r="BH90" s="283"/>
      <c r="BI90" s="226"/>
      <c r="BJ90" s="226"/>
      <c r="BK90" s="226">
        <f t="shared" si="51"/>
        <v>0</v>
      </c>
      <c r="BM90" s="275">
        <v>45908</v>
      </c>
      <c r="BN90" s="277"/>
      <c r="BO90" s="276"/>
      <c r="BP90" s="278"/>
      <c r="BQ90" s="283"/>
      <c r="BR90" s="226"/>
      <c r="BS90" s="226"/>
      <c r="BT90" s="226">
        <f t="shared" si="52"/>
        <v>0</v>
      </c>
      <c r="BV90" s="275">
        <v>45908</v>
      </c>
      <c r="BW90" s="277"/>
      <c r="BX90" s="277"/>
      <c r="BY90" s="278"/>
      <c r="BZ90" s="283"/>
      <c r="CA90" s="226"/>
      <c r="CB90" s="226"/>
      <c r="CC90" s="226">
        <f t="shared" si="53"/>
        <v>0</v>
      </c>
    </row>
    <row r="91" spans="2:81" ht="15.75" x14ac:dyDescent="0.25">
      <c r="B91" s="275">
        <v>45909</v>
      </c>
      <c r="C91" s="277"/>
      <c r="D91" s="276"/>
      <c r="E91" s="276"/>
      <c r="F91" s="276"/>
      <c r="G91" s="278"/>
      <c r="H91" s="283"/>
      <c r="I91" s="226"/>
      <c r="J91" s="226"/>
      <c r="K91" s="226">
        <f t="shared" si="46"/>
        <v>0</v>
      </c>
      <c r="M91" s="275">
        <v>45909</v>
      </c>
      <c r="N91" s="280"/>
      <c r="O91" s="280"/>
      <c r="P91" s="280"/>
      <c r="Q91" s="280"/>
      <c r="R91" s="280"/>
      <c r="S91" s="278"/>
      <c r="T91" s="283"/>
      <c r="U91" s="226"/>
      <c r="V91" s="226"/>
      <c r="W91" s="226">
        <f t="shared" si="47"/>
        <v>0</v>
      </c>
      <c r="Y91" s="275">
        <v>45909</v>
      </c>
      <c r="Z91" s="277"/>
      <c r="AA91" s="277"/>
      <c r="AB91" s="278"/>
      <c r="AC91" s="283"/>
      <c r="AD91" s="226"/>
      <c r="AE91" s="226"/>
      <c r="AF91" s="226">
        <f t="shared" si="48"/>
        <v>0</v>
      </c>
      <c r="AH91" s="275">
        <v>45909</v>
      </c>
      <c r="AI91" s="277"/>
      <c r="AJ91" s="280"/>
      <c r="AK91" s="278"/>
      <c r="AL91" s="283"/>
      <c r="AM91" s="226"/>
      <c r="AN91" s="226"/>
      <c r="AO91" s="226">
        <f t="shared" si="49"/>
        <v>0</v>
      </c>
      <c r="AQ91" s="275">
        <v>45909</v>
      </c>
      <c r="AR91" s="277"/>
      <c r="AS91" s="280"/>
      <c r="AT91" s="280"/>
      <c r="AU91" s="282"/>
      <c r="AV91" s="282"/>
      <c r="AW91" s="282"/>
      <c r="AX91" s="278"/>
      <c r="AY91" s="283"/>
      <c r="AZ91" s="226"/>
      <c r="BA91" s="226"/>
      <c r="BB91" s="226">
        <f t="shared" si="50"/>
        <v>0</v>
      </c>
      <c r="BD91" s="275">
        <v>45909</v>
      </c>
      <c r="BE91" s="280"/>
      <c r="BF91" s="280"/>
      <c r="BG91" s="278"/>
      <c r="BH91" s="283"/>
      <c r="BI91" s="226"/>
      <c r="BJ91" s="226"/>
      <c r="BK91" s="226">
        <f t="shared" si="51"/>
        <v>0</v>
      </c>
      <c r="BM91" s="275">
        <v>45909</v>
      </c>
      <c r="BN91" s="277"/>
      <c r="BO91" s="276"/>
      <c r="BP91" s="278"/>
      <c r="BQ91" s="283"/>
      <c r="BR91" s="226"/>
      <c r="BS91" s="226"/>
      <c r="BT91" s="226">
        <f t="shared" si="52"/>
        <v>0</v>
      </c>
      <c r="BV91" s="275">
        <v>45909</v>
      </c>
      <c r="BW91" s="277"/>
      <c r="BX91" s="277"/>
      <c r="BY91" s="278"/>
      <c r="BZ91" s="283"/>
      <c r="CA91" s="226"/>
      <c r="CB91" s="226"/>
      <c r="CC91" s="226">
        <f t="shared" si="53"/>
        <v>0</v>
      </c>
    </row>
    <row r="92" spans="2:81" ht="15.75" x14ac:dyDescent="0.25">
      <c r="B92" s="275">
        <v>45910</v>
      </c>
      <c r="C92" s="277"/>
      <c r="D92" s="276"/>
      <c r="E92" s="276"/>
      <c r="F92" s="276"/>
      <c r="G92" s="278"/>
      <c r="H92" s="283"/>
      <c r="I92" s="226"/>
      <c r="J92" s="226"/>
      <c r="K92" s="226">
        <f t="shared" si="46"/>
        <v>0</v>
      </c>
      <c r="M92" s="275">
        <v>45910</v>
      </c>
      <c r="N92" s="280"/>
      <c r="O92" s="280"/>
      <c r="P92" s="280"/>
      <c r="Q92" s="280"/>
      <c r="R92" s="280"/>
      <c r="S92" s="278"/>
      <c r="T92" s="283"/>
      <c r="U92" s="226"/>
      <c r="V92" s="226"/>
      <c r="W92" s="226">
        <f t="shared" si="47"/>
        <v>0</v>
      </c>
      <c r="Y92" s="275">
        <v>45910</v>
      </c>
      <c r="Z92" s="277"/>
      <c r="AA92" s="277"/>
      <c r="AB92" s="278"/>
      <c r="AC92" s="283"/>
      <c r="AD92" s="226"/>
      <c r="AE92" s="226"/>
      <c r="AF92" s="226">
        <f t="shared" si="48"/>
        <v>0</v>
      </c>
      <c r="AH92" s="275">
        <v>45910</v>
      </c>
      <c r="AI92" s="277"/>
      <c r="AJ92" s="280"/>
      <c r="AK92" s="278"/>
      <c r="AL92" s="283"/>
      <c r="AM92" s="226"/>
      <c r="AN92" s="226"/>
      <c r="AO92" s="226">
        <f t="shared" si="49"/>
        <v>0</v>
      </c>
      <c r="AQ92" s="275">
        <v>45910</v>
      </c>
      <c r="AR92" s="277"/>
      <c r="AS92" s="280"/>
      <c r="AT92" s="280"/>
      <c r="AU92" s="282"/>
      <c r="AV92" s="282"/>
      <c r="AW92" s="282"/>
      <c r="AX92" s="278"/>
      <c r="AY92" s="283"/>
      <c r="AZ92" s="226"/>
      <c r="BA92" s="226"/>
      <c r="BB92" s="226">
        <f t="shared" si="50"/>
        <v>0</v>
      </c>
      <c r="BD92" s="275">
        <v>45910</v>
      </c>
      <c r="BE92" s="280"/>
      <c r="BF92" s="280"/>
      <c r="BG92" s="278"/>
      <c r="BH92" s="283"/>
      <c r="BI92" s="226"/>
      <c r="BJ92" s="226"/>
      <c r="BK92" s="226">
        <f t="shared" si="51"/>
        <v>0</v>
      </c>
      <c r="BM92" s="275">
        <v>45910</v>
      </c>
      <c r="BN92" s="277"/>
      <c r="BO92" s="276"/>
      <c r="BP92" s="278"/>
      <c r="BQ92" s="283"/>
      <c r="BR92" s="226"/>
      <c r="BS92" s="226"/>
      <c r="BT92" s="226">
        <f t="shared" si="52"/>
        <v>0</v>
      </c>
      <c r="BV92" s="275">
        <v>45910</v>
      </c>
      <c r="BW92" s="277"/>
      <c r="BX92" s="277"/>
      <c r="BY92" s="278"/>
      <c r="BZ92" s="283"/>
      <c r="CA92" s="226"/>
      <c r="CB92" s="226"/>
      <c r="CC92" s="226">
        <f t="shared" si="53"/>
        <v>0</v>
      </c>
    </row>
    <row r="93" spans="2:81" ht="15.75" x14ac:dyDescent="0.25">
      <c r="B93" s="275">
        <v>45911</v>
      </c>
      <c r="C93" s="277"/>
      <c r="D93" s="276"/>
      <c r="E93" s="276"/>
      <c r="F93" s="276"/>
      <c r="G93" s="278"/>
      <c r="H93" s="283"/>
      <c r="I93" s="226"/>
      <c r="J93" s="226"/>
      <c r="K93" s="226">
        <f t="shared" si="46"/>
        <v>0</v>
      </c>
      <c r="M93" s="275">
        <v>45911</v>
      </c>
      <c r="N93" s="280"/>
      <c r="O93" s="280"/>
      <c r="P93" s="280"/>
      <c r="Q93" s="280"/>
      <c r="R93" s="280"/>
      <c r="S93" s="278"/>
      <c r="T93" s="283"/>
      <c r="U93" s="226"/>
      <c r="V93" s="226"/>
      <c r="W93" s="226">
        <f t="shared" si="47"/>
        <v>0</v>
      </c>
      <c r="Y93" s="275">
        <v>45911</v>
      </c>
      <c r="Z93" s="277"/>
      <c r="AA93" s="277"/>
      <c r="AB93" s="278"/>
      <c r="AC93" s="283"/>
      <c r="AD93" s="226"/>
      <c r="AE93" s="226"/>
      <c r="AF93" s="226">
        <f t="shared" si="48"/>
        <v>0</v>
      </c>
      <c r="AH93" s="275">
        <v>45911</v>
      </c>
      <c r="AI93" s="277"/>
      <c r="AJ93" s="280"/>
      <c r="AK93" s="278"/>
      <c r="AL93" s="283"/>
      <c r="AM93" s="226"/>
      <c r="AN93" s="226"/>
      <c r="AO93" s="226">
        <f t="shared" si="49"/>
        <v>0</v>
      </c>
      <c r="AQ93" s="275">
        <v>45911</v>
      </c>
      <c r="AR93" s="277"/>
      <c r="AS93" s="280"/>
      <c r="AT93" s="280"/>
      <c r="AU93" s="280"/>
      <c r="AV93" s="282"/>
      <c r="AW93" s="280"/>
      <c r="AX93" s="278"/>
      <c r="AY93" s="283"/>
      <c r="AZ93" s="226"/>
      <c r="BA93" s="226"/>
      <c r="BB93" s="226">
        <f t="shared" si="50"/>
        <v>0</v>
      </c>
      <c r="BD93" s="275">
        <v>45911</v>
      </c>
      <c r="BE93" s="280"/>
      <c r="BF93" s="280"/>
      <c r="BG93" s="278"/>
      <c r="BH93" s="283"/>
      <c r="BI93" s="226"/>
      <c r="BJ93" s="226"/>
      <c r="BK93" s="226">
        <f t="shared" si="51"/>
        <v>0</v>
      </c>
      <c r="BM93" s="275">
        <v>45911</v>
      </c>
      <c r="BN93" s="277"/>
      <c r="BO93" s="276"/>
      <c r="BP93" s="278"/>
      <c r="BQ93" s="283"/>
      <c r="BR93" s="226"/>
      <c r="BS93" s="226"/>
      <c r="BT93" s="226">
        <f t="shared" si="52"/>
        <v>0</v>
      </c>
      <c r="BV93" s="275">
        <v>45911</v>
      </c>
      <c r="BW93" s="277"/>
      <c r="BX93" s="277"/>
      <c r="BY93" s="278"/>
      <c r="BZ93" s="283"/>
      <c r="CA93" s="226"/>
      <c r="CB93" s="226"/>
      <c r="CC93" s="226">
        <f t="shared" si="53"/>
        <v>0</v>
      </c>
    </row>
    <row r="94" spans="2:81" ht="15.75" x14ac:dyDescent="0.25">
      <c r="B94" s="275">
        <v>45912</v>
      </c>
      <c r="C94" s="277"/>
      <c r="D94" s="276"/>
      <c r="E94" s="276"/>
      <c r="F94" s="276"/>
      <c r="G94" s="278"/>
      <c r="H94" s="283"/>
      <c r="I94" s="226"/>
      <c r="J94" s="226"/>
      <c r="K94" s="226">
        <f t="shared" si="46"/>
        <v>0</v>
      </c>
      <c r="M94" s="275">
        <v>45912</v>
      </c>
      <c r="N94" s="280"/>
      <c r="O94" s="280"/>
      <c r="P94" s="280"/>
      <c r="Q94" s="280"/>
      <c r="R94" s="280"/>
      <c r="S94" s="278"/>
      <c r="T94" s="283"/>
      <c r="U94" s="226"/>
      <c r="V94" s="226"/>
      <c r="W94" s="226">
        <f t="shared" si="47"/>
        <v>0</v>
      </c>
      <c r="Y94" s="275">
        <v>45912</v>
      </c>
      <c r="Z94" s="277"/>
      <c r="AA94" s="277"/>
      <c r="AB94" s="278"/>
      <c r="AC94" s="283"/>
      <c r="AD94" s="226"/>
      <c r="AE94" s="226"/>
      <c r="AF94" s="226">
        <f t="shared" si="48"/>
        <v>0</v>
      </c>
      <c r="AH94" s="275">
        <v>45912</v>
      </c>
      <c r="AI94" s="277"/>
      <c r="AJ94" s="280"/>
      <c r="AK94" s="278"/>
      <c r="AL94" s="283"/>
      <c r="AM94" s="226"/>
      <c r="AN94" s="226"/>
      <c r="AO94" s="226">
        <f t="shared" si="49"/>
        <v>0</v>
      </c>
      <c r="AQ94" s="275">
        <v>45912</v>
      </c>
      <c r="AR94" s="280"/>
      <c r="AS94" s="280"/>
      <c r="AT94" s="280"/>
      <c r="AU94" s="280"/>
      <c r="AV94" s="280"/>
      <c r="AW94" s="280"/>
      <c r="AX94" s="278"/>
      <c r="AY94" s="283"/>
      <c r="AZ94" s="226"/>
      <c r="BA94" s="226"/>
      <c r="BB94" s="226">
        <f t="shared" si="50"/>
        <v>0</v>
      </c>
      <c r="BD94" s="275">
        <v>45912</v>
      </c>
      <c r="BE94" s="280"/>
      <c r="BF94" s="280"/>
      <c r="BG94" s="278"/>
      <c r="BH94" s="283"/>
      <c r="BI94" s="226"/>
      <c r="BJ94" s="226"/>
      <c r="BK94" s="226">
        <f t="shared" si="51"/>
        <v>0</v>
      </c>
      <c r="BM94" s="275">
        <v>45912</v>
      </c>
      <c r="BN94" s="277"/>
      <c r="BO94" s="276"/>
      <c r="BP94" s="278"/>
      <c r="BQ94" s="283"/>
      <c r="BR94" s="226"/>
      <c r="BS94" s="226"/>
      <c r="BT94" s="226">
        <f t="shared" si="52"/>
        <v>0</v>
      </c>
      <c r="BV94" s="275">
        <v>45912</v>
      </c>
      <c r="BW94" s="277"/>
      <c r="BX94" s="277"/>
      <c r="BY94" s="278"/>
      <c r="BZ94" s="283"/>
      <c r="CA94" s="226"/>
      <c r="CB94" s="226"/>
      <c r="CC94" s="226">
        <f t="shared" si="53"/>
        <v>0</v>
      </c>
    </row>
    <row r="95" spans="2:81" ht="15.75" x14ac:dyDescent="0.25">
      <c r="B95" s="275">
        <v>45913</v>
      </c>
      <c r="C95" s="277"/>
      <c r="D95" s="276"/>
      <c r="E95" s="276"/>
      <c r="F95" s="276"/>
      <c r="G95" s="278"/>
      <c r="H95" s="283"/>
      <c r="I95" s="226"/>
      <c r="J95" s="226"/>
      <c r="K95" s="226">
        <f t="shared" si="46"/>
        <v>0</v>
      </c>
      <c r="M95" s="275">
        <v>45913</v>
      </c>
      <c r="N95" s="280"/>
      <c r="O95" s="280"/>
      <c r="P95" s="280"/>
      <c r="Q95" s="280"/>
      <c r="R95" s="280"/>
      <c r="S95" s="278"/>
      <c r="T95" s="283"/>
      <c r="U95" s="226"/>
      <c r="V95" s="226"/>
      <c r="W95" s="226">
        <f t="shared" si="47"/>
        <v>0</v>
      </c>
      <c r="Y95" s="275">
        <v>45913</v>
      </c>
      <c r="Z95" s="277"/>
      <c r="AA95" s="277"/>
      <c r="AB95" s="278"/>
      <c r="AC95" s="283"/>
      <c r="AD95" s="226"/>
      <c r="AE95" s="226"/>
      <c r="AF95" s="226">
        <f t="shared" si="48"/>
        <v>0</v>
      </c>
      <c r="AH95" s="275">
        <v>45913</v>
      </c>
      <c r="AI95" s="277"/>
      <c r="AJ95" s="280"/>
      <c r="AK95" s="278"/>
      <c r="AL95" s="283"/>
      <c r="AM95" s="226"/>
      <c r="AN95" s="226"/>
      <c r="AO95" s="226">
        <f t="shared" si="49"/>
        <v>0</v>
      </c>
      <c r="AQ95" s="275">
        <v>45913</v>
      </c>
      <c r="AR95" s="280"/>
      <c r="AS95" s="280"/>
      <c r="AT95" s="280"/>
      <c r="AU95" s="280"/>
      <c r="AV95" s="280"/>
      <c r="AW95" s="280"/>
      <c r="AX95" s="278"/>
      <c r="AY95" s="283"/>
      <c r="AZ95" s="226"/>
      <c r="BA95" s="226"/>
      <c r="BB95" s="226">
        <f t="shared" si="50"/>
        <v>0</v>
      </c>
      <c r="BD95" s="275">
        <v>45913</v>
      </c>
      <c r="BE95" s="280"/>
      <c r="BF95" s="280"/>
      <c r="BG95" s="278"/>
      <c r="BH95" s="283"/>
      <c r="BI95" s="226"/>
      <c r="BJ95" s="226"/>
      <c r="BK95" s="226">
        <f t="shared" si="51"/>
        <v>0</v>
      </c>
      <c r="BM95" s="275">
        <v>45913</v>
      </c>
      <c r="BN95" s="277"/>
      <c r="BO95" s="276"/>
      <c r="BP95" s="278"/>
      <c r="BQ95" s="283"/>
      <c r="BR95" s="226"/>
      <c r="BS95" s="226"/>
      <c r="BT95" s="226">
        <f t="shared" si="52"/>
        <v>0</v>
      </c>
      <c r="BV95" s="275">
        <v>45913</v>
      </c>
      <c r="BW95" s="277"/>
      <c r="BX95" s="277"/>
      <c r="BY95" s="278"/>
      <c r="BZ95" s="283"/>
      <c r="CA95" s="226"/>
      <c r="CB95" s="226"/>
      <c r="CC95" s="226">
        <f t="shared" si="53"/>
        <v>0</v>
      </c>
    </row>
    <row r="96" spans="2:81" ht="15.75" x14ac:dyDescent="0.25">
      <c r="B96" s="275">
        <v>45914</v>
      </c>
      <c r="C96" s="277"/>
      <c r="D96" s="276"/>
      <c r="E96" s="276"/>
      <c r="F96" s="276"/>
      <c r="G96" s="278"/>
      <c r="H96" s="283"/>
      <c r="I96" s="226"/>
      <c r="J96" s="226"/>
      <c r="K96" s="226">
        <f t="shared" si="46"/>
        <v>0</v>
      </c>
      <c r="M96" s="275">
        <v>45914</v>
      </c>
      <c r="N96" s="280"/>
      <c r="O96" s="280"/>
      <c r="P96" s="280"/>
      <c r="Q96" s="280"/>
      <c r="R96" s="280"/>
      <c r="S96" s="278"/>
      <c r="T96" s="283"/>
      <c r="U96" s="226"/>
      <c r="V96" s="226"/>
      <c r="W96" s="226">
        <f t="shared" si="47"/>
        <v>0</v>
      </c>
      <c r="Y96" s="275">
        <v>45914</v>
      </c>
      <c r="Z96" s="277"/>
      <c r="AA96" s="277"/>
      <c r="AB96" s="278"/>
      <c r="AC96" s="283"/>
      <c r="AD96" s="226"/>
      <c r="AE96" s="226"/>
      <c r="AF96" s="226">
        <f t="shared" si="48"/>
        <v>0</v>
      </c>
      <c r="AH96" s="275">
        <v>45914</v>
      </c>
      <c r="AI96" s="277"/>
      <c r="AJ96" s="280"/>
      <c r="AK96" s="278"/>
      <c r="AL96" s="283"/>
      <c r="AM96" s="226"/>
      <c r="AN96" s="226"/>
      <c r="AO96" s="226">
        <f t="shared" si="49"/>
        <v>0</v>
      </c>
      <c r="AQ96" s="275">
        <v>45914</v>
      </c>
      <c r="AR96" s="280"/>
      <c r="AS96" s="280"/>
      <c r="AT96" s="280"/>
      <c r="AU96" s="280"/>
      <c r="AV96" s="280"/>
      <c r="AW96" s="280"/>
      <c r="AX96" s="278"/>
      <c r="AY96" s="283"/>
      <c r="AZ96" s="226"/>
      <c r="BA96" s="226"/>
      <c r="BB96" s="226">
        <f t="shared" si="50"/>
        <v>0</v>
      </c>
      <c r="BD96" s="275">
        <v>45914</v>
      </c>
      <c r="BE96" s="280"/>
      <c r="BF96" s="280"/>
      <c r="BG96" s="278"/>
      <c r="BH96" s="283"/>
      <c r="BI96" s="226"/>
      <c r="BJ96" s="226"/>
      <c r="BK96" s="226">
        <f t="shared" si="51"/>
        <v>0</v>
      </c>
      <c r="BM96" s="275">
        <v>45914</v>
      </c>
      <c r="BN96" s="277"/>
      <c r="BO96" s="276"/>
      <c r="BP96" s="278"/>
      <c r="BQ96" s="283"/>
      <c r="BR96" s="226"/>
      <c r="BS96" s="226"/>
      <c r="BT96" s="226">
        <f t="shared" si="52"/>
        <v>0</v>
      </c>
      <c r="BV96" s="275">
        <v>45914</v>
      </c>
      <c r="BW96" s="277"/>
      <c r="BX96" s="277"/>
      <c r="BY96" s="278"/>
      <c r="BZ96" s="283"/>
      <c r="CA96" s="226"/>
      <c r="CB96" s="226"/>
      <c r="CC96" s="226">
        <f t="shared" si="53"/>
        <v>0</v>
      </c>
    </row>
    <row r="97" spans="2:81" ht="15.75" x14ac:dyDescent="0.25">
      <c r="B97" s="275">
        <v>45915</v>
      </c>
      <c r="C97" s="277"/>
      <c r="D97" s="276"/>
      <c r="E97" s="276"/>
      <c r="F97" s="276"/>
      <c r="G97" s="278"/>
      <c r="H97" s="283"/>
      <c r="I97" s="226"/>
      <c r="J97" s="226"/>
      <c r="K97" s="226">
        <f t="shared" si="46"/>
        <v>0</v>
      </c>
      <c r="M97" s="275">
        <v>45915</v>
      </c>
      <c r="N97" s="280"/>
      <c r="O97" s="280"/>
      <c r="P97" s="280"/>
      <c r="Q97" s="280"/>
      <c r="R97" s="280"/>
      <c r="S97" s="278"/>
      <c r="T97" s="283"/>
      <c r="U97" s="226"/>
      <c r="V97" s="226"/>
      <c r="W97" s="226">
        <f t="shared" si="47"/>
        <v>0</v>
      </c>
      <c r="Y97" s="275">
        <v>45915</v>
      </c>
      <c r="Z97" s="277"/>
      <c r="AA97" s="277"/>
      <c r="AB97" s="278"/>
      <c r="AC97" s="283"/>
      <c r="AD97" s="226"/>
      <c r="AE97" s="226"/>
      <c r="AF97" s="226">
        <f t="shared" si="48"/>
        <v>0</v>
      </c>
      <c r="AH97" s="275">
        <v>45915</v>
      </c>
      <c r="AI97" s="277"/>
      <c r="AJ97" s="280"/>
      <c r="AK97" s="278"/>
      <c r="AL97" s="283"/>
      <c r="AM97" s="226"/>
      <c r="AN97" s="226"/>
      <c r="AO97" s="226">
        <f t="shared" si="49"/>
        <v>0</v>
      </c>
      <c r="AQ97" s="275">
        <v>45915</v>
      </c>
      <c r="AR97" s="280"/>
      <c r="AS97" s="280"/>
      <c r="AT97" s="280"/>
      <c r="AU97" s="280"/>
      <c r="AV97" s="280"/>
      <c r="AW97" s="280"/>
      <c r="AX97" s="278"/>
      <c r="AY97" s="283"/>
      <c r="AZ97" s="226"/>
      <c r="BA97" s="226"/>
      <c r="BB97" s="226">
        <f t="shared" si="50"/>
        <v>0</v>
      </c>
      <c r="BD97" s="275">
        <v>45915</v>
      </c>
      <c r="BE97" s="280"/>
      <c r="BF97" s="280"/>
      <c r="BG97" s="278"/>
      <c r="BH97" s="283"/>
      <c r="BI97" s="226"/>
      <c r="BJ97" s="226"/>
      <c r="BK97" s="226">
        <f t="shared" si="51"/>
        <v>0</v>
      </c>
      <c r="BM97" s="275">
        <v>45915</v>
      </c>
      <c r="BN97" s="277"/>
      <c r="BO97" s="276"/>
      <c r="BP97" s="278"/>
      <c r="BQ97" s="283"/>
      <c r="BR97" s="226"/>
      <c r="BS97" s="226"/>
      <c r="BT97" s="226">
        <f t="shared" si="52"/>
        <v>0</v>
      </c>
      <c r="BV97" s="275">
        <v>45915</v>
      </c>
      <c r="BW97" s="277"/>
      <c r="BX97" s="277"/>
      <c r="BY97" s="278"/>
      <c r="BZ97" s="283"/>
      <c r="CA97" s="226"/>
      <c r="CB97" s="226"/>
      <c r="CC97" s="226">
        <f t="shared" si="53"/>
        <v>0</v>
      </c>
    </row>
    <row r="98" spans="2:81" ht="15.75" x14ac:dyDescent="0.25">
      <c r="B98" s="275">
        <v>45916</v>
      </c>
      <c r="C98" s="277"/>
      <c r="D98" s="276"/>
      <c r="E98" s="276"/>
      <c r="F98" s="276"/>
      <c r="G98" s="278"/>
      <c r="H98" s="283"/>
      <c r="I98" s="226"/>
      <c r="J98" s="226"/>
      <c r="K98" s="226">
        <f t="shared" si="46"/>
        <v>0</v>
      </c>
      <c r="M98" s="275">
        <v>45916</v>
      </c>
      <c r="N98" s="280"/>
      <c r="O98" s="280"/>
      <c r="P98" s="280"/>
      <c r="Q98" s="280"/>
      <c r="R98" s="280"/>
      <c r="S98" s="278"/>
      <c r="T98" s="283"/>
      <c r="U98" s="226"/>
      <c r="V98" s="226"/>
      <c r="W98" s="226">
        <f t="shared" si="47"/>
        <v>0</v>
      </c>
      <c r="Y98" s="275">
        <v>45916</v>
      </c>
      <c r="Z98" s="277"/>
      <c r="AA98" s="277"/>
      <c r="AB98" s="278"/>
      <c r="AC98" s="283"/>
      <c r="AD98" s="226"/>
      <c r="AE98" s="226"/>
      <c r="AF98" s="226">
        <f t="shared" si="48"/>
        <v>0</v>
      </c>
      <c r="AH98" s="275">
        <v>45916</v>
      </c>
      <c r="AI98" s="277"/>
      <c r="AJ98" s="280"/>
      <c r="AK98" s="278"/>
      <c r="AL98" s="283"/>
      <c r="AM98" s="226"/>
      <c r="AN98" s="226"/>
      <c r="AO98" s="226">
        <f t="shared" si="49"/>
        <v>0</v>
      </c>
      <c r="AQ98" s="275">
        <v>45916</v>
      </c>
      <c r="AR98" s="280"/>
      <c r="AS98" s="280"/>
      <c r="AT98" s="280"/>
      <c r="AU98" s="280"/>
      <c r="AV98" s="280"/>
      <c r="AW98" s="280"/>
      <c r="AX98" s="278"/>
      <c r="AY98" s="283"/>
      <c r="AZ98" s="226"/>
      <c r="BA98" s="226"/>
      <c r="BB98" s="226">
        <f t="shared" si="50"/>
        <v>0</v>
      </c>
      <c r="BD98" s="275">
        <v>45916</v>
      </c>
      <c r="BE98" s="280"/>
      <c r="BF98" s="280"/>
      <c r="BG98" s="278"/>
      <c r="BH98" s="283"/>
      <c r="BI98" s="226"/>
      <c r="BJ98" s="226"/>
      <c r="BK98" s="226">
        <f t="shared" si="51"/>
        <v>0</v>
      </c>
      <c r="BM98" s="275">
        <v>45916</v>
      </c>
      <c r="BN98" s="277"/>
      <c r="BO98" s="276"/>
      <c r="BP98" s="278"/>
      <c r="BQ98" s="283"/>
      <c r="BR98" s="226"/>
      <c r="BS98" s="226"/>
      <c r="BT98" s="226">
        <f t="shared" si="52"/>
        <v>0</v>
      </c>
      <c r="BV98" s="275">
        <v>45916</v>
      </c>
      <c r="BW98" s="277"/>
      <c r="BX98" s="277"/>
      <c r="BY98" s="278"/>
      <c r="BZ98" s="283"/>
      <c r="CA98" s="226"/>
      <c r="CB98" s="226"/>
      <c r="CC98" s="226">
        <f t="shared" si="53"/>
        <v>0</v>
      </c>
    </row>
    <row r="99" spans="2:81" ht="15.75" x14ac:dyDescent="0.25">
      <c r="B99" s="275">
        <v>45917</v>
      </c>
      <c r="C99" s="277"/>
      <c r="D99" s="276"/>
      <c r="E99" s="276"/>
      <c r="F99" s="276"/>
      <c r="G99" s="278"/>
      <c r="H99" s="283"/>
      <c r="I99" s="226"/>
      <c r="J99" s="226"/>
      <c r="K99" s="226">
        <f t="shared" si="46"/>
        <v>0</v>
      </c>
      <c r="M99" s="275">
        <v>45917</v>
      </c>
      <c r="N99" s="280"/>
      <c r="O99" s="280"/>
      <c r="P99" s="280"/>
      <c r="Q99" s="280"/>
      <c r="R99" s="280"/>
      <c r="S99" s="278"/>
      <c r="T99" s="283"/>
      <c r="U99" s="226"/>
      <c r="V99" s="226"/>
      <c r="W99" s="226">
        <f t="shared" si="47"/>
        <v>0</v>
      </c>
      <c r="Y99" s="275">
        <v>45917</v>
      </c>
      <c r="Z99" s="277"/>
      <c r="AA99" s="277"/>
      <c r="AB99" s="278"/>
      <c r="AC99" s="283"/>
      <c r="AD99" s="226"/>
      <c r="AE99" s="226"/>
      <c r="AF99" s="226">
        <f t="shared" si="48"/>
        <v>0</v>
      </c>
      <c r="AH99" s="275">
        <v>45917</v>
      </c>
      <c r="AI99" s="277"/>
      <c r="AJ99" s="280"/>
      <c r="AK99" s="278"/>
      <c r="AL99" s="283"/>
      <c r="AM99" s="226"/>
      <c r="AN99" s="226"/>
      <c r="AO99" s="226">
        <f t="shared" si="49"/>
        <v>0</v>
      </c>
      <c r="AQ99" s="275">
        <v>45917</v>
      </c>
      <c r="AR99" s="280"/>
      <c r="AS99" s="280"/>
      <c r="AT99" s="280"/>
      <c r="AU99" s="280"/>
      <c r="AV99" s="280"/>
      <c r="AW99" s="280"/>
      <c r="AX99" s="278"/>
      <c r="AY99" s="283"/>
      <c r="AZ99" s="226"/>
      <c r="BA99" s="226"/>
      <c r="BB99" s="226">
        <f t="shared" si="50"/>
        <v>0</v>
      </c>
      <c r="BD99" s="275">
        <v>45917</v>
      </c>
      <c r="BE99" s="280"/>
      <c r="BF99" s="280"/>
      <c r="BG99" s="278"/>
      <c r="BH99" s="283"/>
      <c r="BI99" s="226"/>
      <c r="BJ99" s="226"/>
      <c r="BK99" s="226">
        <f t="shared" si="51"/>
        <v>0</v>
      </c>
      <c r="BM99" s="275">
        <v>45917</v>
      </c>
      <c r="BN99" s="277"/>
      <c r="BO99" s="276"/>
      <c r="BP99" s="278"/>
      <c r="BQ99" s="283"/>
      <c r="BR99" s="226"/>
      <c r="BS99" s="226"/>
      <c r="BT99" s="226">
        <f t="shared" si="52"/>
        <v>0</v>
      </c>
      <c r="BV99" s="275">
        <v>45917</v>
      </c>
      <c r="BW99" s="277"/>
      <c r="BX99" s="277"/>
      <c r="BY99" s="278"/>
      <c r="BZ99" s="283"/>
      <c r="CA99" s="226"/>
      <c r="CB99" s="226"/>
      <c r="CC99" s="226">
        <f t="shared" si="53"/>
        <v>0</v>
      </c>
    </row>
    <row r="100" spans="2:81" ht="15.75" x14ac:dyDescent="0.25">
      <c r="B100" s="275">
        <v>45918</v>
      </c>
      <c r="C100" s="277"/>
      <c r="D100" s="276"/>
      <c r="E100" s="276"/>
      <c r="F100" s="276"/>
      <c r="G100" s="278"/>
      <c r="H100" s="283"/>
      <c r="I100" s="226"/>
      <c r="J100" s="226"/>
      <c r="K100" s="226">
        <f t="shared" si="46"/>
        <v>0</v>
      </c>
      <c r="M100" s="275">
        <v>45918</v>
      </c>
      <c r="N100" s="280"/>
      <c r="O100" s="280"/>
      <c r="P100" s="280"/>
      <c r="Q100" s="280"/>
      <c r="R100" s="280"/>
      <c r="S100" s="278"/>
      <c r="T100" s="283"/>
      <c r="U100" s="226"/>
      <c r="V100" s="226"/>
      <c r="W100" s="226">
        <f t="shared" si="47"/>
        <v>0</v>
      </c>
      <c r="Y100" s="275">
        <v>45918</v>
      </c>
      <c r="Z100" s="277"/>
      <c r="AA100" s="277"/>
      <c r="AB100" s="278"/>
      <c r="AC100" s="283"/>
      <c r="AD100" s="226"/>
      <c r="AE100" s="226"/>
      <c r="AF100" s="226">
        <f t="shared" si="48"/>
        <v>0</v>
      </c>
      <c r="AH100" s="275">
        <v>45918</v>
      </c>
      <c r="AI100" s="277"/>
      <c r="AJ100" s="280"/>
      <c r="AK100" s="278"/>
      <c r="AL100" s="283"/>
      <c r="AM100" s="226"/>
      <c r="AN100" s="226"/>
      <c r="AO100" s="226">
        <f t="shared" si="49"/>
        <v>0</v>
      </c>
      <c r="AQ100" s="275">
        <v>45918</v>
      </c>
      <c r="AR100" s="280"/>
      <c r="AS100" s="280"/>
      <c r="AT100" s="280"/>
      <c r="AU100" s="280"/>
      <c r="AV100" s="280"/>
      <c r="AW100" s="280"/>
      <c r="AX100" s="278"/>
      <c r="AY100" s="283"/>
      <c r="AZ100" s="226"/>
      <c r="BA100" s="226"/>
      <c r="BB100" s="226">
        <f t="shared" si="50"/>
        <v>0</v>
      </c>
      <c r="BD100" s="275">
        <v>45918</v>
      </c>
      <c r="BE100" s="280"/>
      <c r="BF100" s="280"/>
      <c r="BG100" s="278"/>
      <c r="BH100" s="283"/>
      <c r="BI100" s="226"/>
      <c r="BJ100" s="226"/>
      <c r="BK100" s="226">
        <f t="shared" si="51"/>
        <v>0</v>
      </c>
      <c r="BM100" s="275">
        <v>45918</v>
      </c>
      <c r="BN100" s="277"/>
      <c r="BO100" s="276"/>
      <c r="BP100" s="278"/>
      <c r="BQ100" s="283"/>
      <c r="BR100" s="226"/>
      <c r="BS100" s="226"/>
      <c r="BT100" s="226">
        <f t="shared" si="52"/>
        <v>0</v>
      </c>
      <c r="BV100" s="275">
        <v>45918</v>
      </c>
      <c r="BW100" s="277"/>
      <c r="BX100" s="277"/>
      <c r="BY100" s="278"/>
      <c r="BZ100" s="283"/>
      <c r="CA100" s="226"/>
      <c r="CB100" s="226"/>
      <c r="CC100" s="226">
        <f t="shared" si="53"/>
        <v>0</v>
      </c>
    </row>
    <row r="101" spans="2:81" ht="15.75" x14ac:dyDescent="0.25">
      <c r="B101" s="275">
        <v>45919</v>
      </c>
      <c r="C101" s="277"/>
      <c r="D101" s="276"/>
      <c r="E101" s="276"/>
      <c r="F101" s="276"/>
      <c r="G101" s="278"/>
      <c r="H101" s="283"/>
      <c r="I101" s="226"/>
      <c r="J101" s="226"/>
      <c r="K101" s="226">
        <f t="shared" si="46"/>
        <v>0</v>
      </c>
      <c r="M101" s="275">
        <v>45919</v>
      </c>
      <c r="N101" s="280"/>
      <c r="O101" s="280"/>
      <c r="P101" s="280"/>
      <c r="Q101" s="280"/>
      <c r="R101" s="280"/>
      <c r="S101" s="278"/>
      <c r="T101" s="283"/>
      <c r="U101" s="226"/>
      <c r="V101" s="226"/>
      <c r="W101" s="226">
        <f t="shared" si="47"/>
        <v>0</v>
      </c>
      <c r="Y101" s="275">
        <v>45919</v>
      </c>
      <c r="Z101" s="277"/>
      <c r="AA101" s="277"/>
      <c r="AB101" s="278"/>
      <c r="AC101" s="283"/>
      <c r="AD101" s="226"/>
      <c r="AE101" s="226"/>
      <c r="AF101" s="226">
        <f t="shared" si="48"/>
        <v>0</v>
      </c>
      <c r="AH101" s="275">
        <v>45919</v>
      </c>
      <c r="AI101" s="277"/>
      <c r="AJ101" s="280"/>
      <c r="AK101" s="278"/>
      <c r="AL101" s="283"/>
      <c r="AM101" s="226"/>
      <c r="AN101" s="226"/>
      <c r="AO101" s="226">
        <f t="shared" si="49"/>
        <v>0</v>
      </c>
      <c r="AQ101" s="275">
        <v>45919</v>
      </c>
      <c r="AR101" s="280"/>
      <c r="AS101" s="280"/>
      <c r="AT101" s="280"/>
      <c r="AU101" s="280"/>
      <c r="AV101" s="280"/>
      <c r="AW101" s="280"/>
      <c r="AX101" s="278"/>
      <c r="AY101" s="283"/>
      <c r="AZ101" s="226"/>
      <c r="BA101" s="226"/>
      <c r="BB101" s="226">
        <f t="shared" si="50"/>
        <v>0</v>
      </c>
      <c r="BD101" s="275">
        <v>45919</v>
      </c>
      <c r="BE101" s="280"/>
      <c r="BF101" s="280"/>
      <c r="BG101" s="278"/>
      <c r="BH101" s="283"/>
      <c r="BI101" s="226"/>
      <c r="BJ101" s="226"/>
      <c r="BK101" s="226">
        <f t="shared" si="51"/>
        <v>0</v>
      </c>
      <c r="BM101" s="275">
        <v>45919</v>
      </c>
      <c r="BN101" s="277"/>
      <c r="BO101" s="276"/>
      <c r="BP101" s="278"/>
      <c r="BQ101" s="283"/>
      <c r="BR101" s="226"/>
      <c r="BS101" s="226"/>
      <c r="BT101" s="226">
        <f t="shared" si="52"/>
        <v>0</v>
      </c>
      <c r="BV101" s="275">
        <v>45919</v>
      </c>
      <c r="BW101" s="277"/>
      <c r="BX101" s="277"/>
      <c r="BY101" s="278"/>
      <c r="BZ101" s="283"/>
      <c r="CA101" s="226"/>
      <c r="CB101" s="226"/>
      <c r="CC101" s="226">
        <f t="shared" si="53"/>
        <v>0</v>
      </c>
    </row>
    <row r="102" spans="2:81" ht="15.75" x14ac:dyDescent="0.25">
      <c r="B102" s="275">
        <v>45920</v>
      </c>
      <c r="C102" s="277"/>
      <c r="D102" s="276"/>
      <c r="E102" s="276"/>
      <c r="F102" s="276"/>
      <c r="G102" s="278"/>
      <c r="H102" s="283"/>
      <c r="I102" s="226"/>
      <c r="J102" s="226"/>
      <c r="K102" s="226">
        <f t="shared" si="46"/>
        <v>0</v>
      </c>
      <c r="M102" s="275">
        <v>45920</v>
      </c>
      <c r="N102" s="280"/>
      <c r="O102" s="280"/>
      <c r="P102" s="280"/>
      <c r="Q102" s="280"/>
      <c r="R102" s="280"/>
      <c r="S102" s="278"/>
      <c r="T102" s="283"/>
      <c r="U102" s="226"/>
      <c r="V102" s="226"/>
      <c r="W102" s="226">
        <f t="shared" si="47"/>
        <v>0</v>
      </c>
      <c r="Y102" s="275">
        <v>45920</v>
      </c>
      <c r="Z102" s="277"/>
      <c r="AA102" s="277"/>
      <c r="AB102" s="278"/>
      <c r="AC102" s="283"/>
      <c r="AD102" s="226"/>
      <c r="AE102" s="226"/>
      <c r="AF102" s="226">
        <f t="shared" si="48"/>
        <v>0</v>
      </c>
      <c r="AH102" s="275">
        <v>45920</v>
      </c>
      <c r="AI102" s="277"/>
      <c r="AJ102" s="280"/>
      <c r="AK102" s="278"/>
      <c r="AL102" s="283"/>
      <c r="AM102" s="226"/>
      <c r="AN102" s="226"/>
      <c r="AO102" s="226">
        <f t="shared" si="49"/>
        <v>0</v>
      </c>
      <c r="AQ102" s="275">
        <v>45920</v>
      </c>
      <c r="AR102" s="280"/>
      <c r="AS102" s="280"/>
      <c r="AT102" s="280"/>
      <c r="AU102" s="280"/>
      <c r="AV102" s="280"/>
      <c r="AW102" s="280"/>
      <c r="AX102" s="278"/>
      <c r="AY102" s="283"/>
      <c r="AZ102" s="226"/>
      <c r="BA102" s="226"/>
      <c r="BB102" s="226">
        <f t="shared" si="50"/>
        <v>0</v>
      </c>
      <c r="BD102" s="275">
        <v>45920</v>
      </c>
      <c r="BE102" s="280"/>
      <c r="BF102" s="280"/>
      <c r="BG102" s="278"/>
      <c r="BH102" s="283"/>
      <c r="BI102" s="226"/>
      <c r="BJ102" s="226"/>
      <c r="BK102" s="226">
        <f t="shared" si="51"/>
        <v>0</v>
      </c>
      <c r="BM102" s="275">
        <v>45920</v>
      </c>
      <c r="BN102" s="277"/>
      <c r="BO102" s="276"/>
      <c r="BP102" s="278"/>
      <c r="BQ102" s="283"/>
      <c r="BR102" s="226"/>
      <c r="BS102" s="226"/>
      <c r="BT102" s="226">
        <f t="shared" si="52"/>
        <v>0</v>
      </c>
      <c r="BV102" s="275">
        <v>45920</v>
      </c>
      <c r="BW102" s="295"/>
      <c r="BX102" s="277"/>
      <c r="BY102" s="278"/>
      <c r="BZ102" s="283"/>
      <c r="CA102" s="226"/>
      <c r="CB102" s="226"/>
      <c r="CC102" s="226">
        <f t="shared" si="53"/>
        <v>0</v>
      </c>
    </row>
    <row r="103" spans="2:81" ht="15.75" x14ac:dyDescent="0.25">
      <c r="B103" s="275">
        <v>45921</v>
      </c>
      <c r="C103" s="277"/>
      <c r="D103" s="276"/>
      <c r="E103" s="276"/>
      <c r="F103" s="276"/>
      <c r="G103" s="278"/>
      <c r="H103" s="283"/>
      <c r="I103" s="226"/>
      <c r="J103" s="226"/>
      <c r="K103" s="226">
        <f t="shared" si="46"/>
        <v>0</v>
      </c>
      <c r="M103" s="275">
        <v>45921</v>
      </c>
      <c r="N103" s="280"/>
      <c r="O103" s="280"/>
      <c r="P103" s="280"/>
      <c r="Q103" s="280"/>
      <c r="R103" s="280"/>
      <c r="S103" s="278"/>
      <c r="T103" s="283"/>
      <c r="U103" s="226"/>
      <c r="V103" s="226"/>
      <c r="W103" s="226">
        <f t="shared" si="47"/>
        <v>0</v>
      </c>
      <c r="Y103" s="275">
        <v>45921</v>
      </c>
      <c r="Z103" s="277"/>
      <c r="AA103" s="277"/>
      <c r="AB103" s="278"/>
      <c r="AC103" s="283"/>
      <c r="AD103" s="226"/>
      <c r="AE103" s="226"/>
      <c r="AF103" s="226">
        <f t="shared" si="48"/>
        <v>0</v>
      </c>
      <c r="AH103" s="275">
        <v>45921</v>
      </c>
      <c r="AI103" s="277"/>
      <c r="AJ103" s="280"/>
      <c r="AK103" s="278"/>
      <c r="AL103" s="283"/>
      <c r="AM103" s="226"/>
      <c r="AN103" s="226"/>
      <c r="AO103" s="226">
        <f t="shared" si="49"/>
        <v>0</v>
      </c>
      <c r="AQ103" s="275">
        <v>45921</v>
      </c>
      <c r="AR103" s="280"/>
      <c r="AS103" s="280"/>
      <c r="AT103" s="280"/>
      <c r="AU103" s="280"/>
      <c r="AV103" s="280"/>
      <c r="AW103" s="280"/>
      <c r="AX103" s="278"/>
      <c r="AY103" s="283"/>
      <c r="AZ103" s="226"/>
      <c r="BA103" s="226"/>
      <c r="BB103" s="226">
        <f t="shared" si="50"/>
        <v>0</v>
      </c>
      <c r="BD103" s="275">
        <v>45921</v>
      </c>
      <c r="BE103" s="280"/>
      <c r="BF103" s="280"/>
      <c r="BG103" s="278"/>
      <c r="BH103" s="283"/>
      <c r="BI103" s="226"/>
      <c r="BJ103" s="226"/>
      <c r="BK103" s="226">
        <f t="shared" si="51"/>
        <v>0</v>
      </c>
      <c r="BM103" s="275">
        <v>45921</v>
      </c>
      <c r="BN103" s="277"/>
      <c r="BO103" s="276"/>
      <c r="BP103" s="278"/>
      <c r="BQ103" s="283"/>
      <c r="BR103" s="226"/>
      <c r="BS103" s="226"/>
      <c r="BT103" s="226">
        <f t="shared" si="52"/>
        <v>0</v>
      </c>
      <c r="BV103" s="275">
        <v>45921</v>
      </c>
      <c r="BW103" s="295"/>
      <c r="BX103" s="280"/>
      <c r="BY103" s="278"/>
      <c r="BZ103" s="283"/>
      <c r="CA103" s="226"/>
      <c r="CB103" s="226"/>
      <c r="CC103" s="226">
        <f t="shared" si="53"/>
        <v>0</v>
      </c>
    </row>
    <row r="104" spans="2:81" ht="15.75" x14ac:dyDescent="0.25">
      <c r="B104" s="275">
        <v>45922</v>
      </c>
      <c r="C104" s="277"/>
      <c r="D104" s="276"/>
      <c r="E104" s="276"/>
      <c r="F104" s="276"/>
      <c r="G104" s="278"/>
      <c r="H104" s="283"/>
      <c r="I104" s="226"/>
      <c r="J104" s="226"/>
      <c r="K104" s="226">
        <f t="shared" si="46"/>
        <v>0</v>
      </c>
      <c r="M104" s="275">
        <v>45922</v>
      </c>
      <c r="N104" s="280"/>
      <c r="O104" s="280"/>
      <c r="P104" s="280"/>
      <c r="Q104" s="280"/>
      <c r="R104" s="280"/>
      <c r="S104" s="278"/>
      <c r="T104" s="283"/>
      <c r="U104" s="226"/>
      <c r="V104" s="226"/>
      <c r="W104" s="226">
        <f t="shared" si="47"/>
        <v>0</v>
      </c>
      <c r="Y104" s="275">
        <v>45922</v>
      </c>
      <c r="Z104" s="277"/>
      <c r="AA104" s="277"/>
      <c r="AB104" s="278"/>
      <c r="AC104" s="283"/>
      <c r="AD104" s="226"/>
      <c r="AE104" s="226"/>
      <c r="AF104" s="226">
        <f t="shared" si="48"/>
        <v>0</v>
      </c>
      <c r="AH104" s="275">
        <v>45922</v>
      </c>
      <c r="AI104" s="277"/>
      <c r="AJ104" s="280"/>
      <c r="AK104" s="278"/>
      <c r="AL104" s="283"/>
      <c r="AM104" s="226"/>
      <c r="AN104" s="226"/>
      <c r="AO104" s="226">
        <f t="shared" si="49"/>
        <v>0</v>
      </c>
      <c r="AQ104" s="275">
        <v>45922</v>
      </c>
      <c r="AR104" s="280"/>
      <c r="AS104" s="280"/>
      <c r="AT104" s="280"/>
      <c r="AU104" s="280"/>
      <c r="AV104" s="280"/>
      <c r="AW104" s="280"/>
      <c r="AX104" s="278"/>
      <c r="AY104" s="283"/>
      <c r="AZ104" s="226"/>
      <c r="BA104" s="226"/>
      <c r="BB104" s="226">
        <f t="shared" si="50"/>
        <v>0</v>
      </c>
      <c r="BD104" s="275">
        <v>45922</v>
      </c>
      <c r="BE104" s="280"/>
      <c r="BF104" s="280"/>
      <c r="BG104" s="278"/>
      <c r="BH104" s="283"/>
      <c r="BI104" s="226"/>
      <c r="BJ104" s="226"/>
      <c r="BK104" s="226">
        <f t="shared" si="51"/>
        <v>0</v>
      </c>
      <c r="BM104" s="275">
        <v>45922</v>
      </c>
      <c r="BN104" s="277"/>
      <c r="BO104" s="276"/>
      <c r="BP104" s="278"/>
      <c r="BQ104" s="283"/>
      <c r="BR104" s="226"/>
      <c r="BS104" s="226"/>
      <c r="BT104" s="226">
        <f t="shared" si="52"/>
        <v>0</v>
      </c>
      <c r="BV104" s="275">
        <v>45922</v>
      </c>
      <c r="BW104" s="295"/>
      <c r="BX104" s="280"/>
      <c r="BY104" s="278"/>
      <c r="BZ104" s="283"/>
      <c r="CA104" s="226"/>
      <c r="CB104" s="226"/>
      <c r="CC104" s="226">
        <f t="shared" si="53"/>
        <v>0</v>
      </c>
    </row>
    <row r="105" spans="2:81" ht="15.75" x14ac:dyDescent="0.25">
      <c r="B105" s="275">
        <v>45923</v>
      </c>
      <c r="C105" s="277"/>
      <c r="D105" s="276"/>
      <c r="E105" s="276"/>
      <c r="F105" s="276"/>
      <c r="G105" s="278"/>
      <c r="H105" s="283"/>
      <c r="I105" s="226"/>
      <c r="J105" s="226"/>
      <c r="K105" s="226">
        <f t="shared" si="46"/>
        <v>0</v>
      </c>
      <c r="M105" s="275">
        <v>45923</v>
      </c>
      <c r="N105" s="280"/>
      <c r="O105" s="280"/>
      <c r="P105" s="280"/>
      <c r="Q105" s="280"/>
      <c r="R105" s="280"/>
      <c r="S105" s="278"/>
      <c r="T105" s="283"/>
      <c r="U105" s="226"/>
      <c r="V105" s="226"/>
      <c r="W105" s="226">
        <f t="shared" si="47"/>
        <v>0</v>
      </c>
      <c r="Y105" s="275">
        <v>45923</v>
      </c>
      <c r="Z105" s="277"/>
      <c r="AA105" s="277"/>
      <c r="AB105" s="278"/>
      <c r="AC105" s="283"/>
      <c r="AD105" s="226"/>
      <c r="AE105" s="226"/>
      <c r="AF105" s="226">
        <f t="shared" si="48"/>
        <v>0</v>
      </c>
      <c r="AH105" s="275">
        <v>45923</v>
      </c>
      <c r="AI105" s="277"/>
      <c r="AJ105" s="280"/>
      <c r="AK105" s="278"/>
      <c r="AL105" s="283"/>
      <c r="AM105" s="226"/>
      <c r="AN105" s="226"/>
      <c r="AO105" s="226">
        <f t="shared" si="49"/>
        <v>0</v>
      </c>
      <c r="AQ105" s="275">
        <v>45923</v>
      </c>
      <c r="AR105" s="280"/>
      <c r="AS105" s="280"/>
      <c r="AT105" s="280"/>
      <c r="AU105" s="280"/>
      <c r="AV105" s="280"/>
      <c r="AW105" s="280"/>
      <c r="AX105" s="278"/>
      <c r="AY105" s="283"/>
      <c r="AZ105" s="226"/>
      <c r="BA105" s="226"/>
      <c r="BB105" s="226">
        <f t="shared" si="50"/>
        <v>0</v>
      </c>
      <c r="BD105" s="275">
        <v>45923</v>
      </c>
      <c r="BE105" s="280"/>
      <c r="BF105" s="280"/>
      <c r="BG105" s="278"/>
      <c r="BH105" s="283"/>
      <c r="BI105" s="226"/>
      <c r="BJ105" s="226"/>
      <c r="BK105" s="226">
        <f t="shared" si="51"/>
        <v>0</v>
      </c>
      <c r="BM105" s="275">
        <v>45923</v>
      </c>
      <c r="BN105" s="277"/>
      <c r="BO105" s="276"/>
      <c r="BP105" s="278"/>
      <c r="BQ105" s="283"/>
      <c r="BR105" s="226"/>
      <c r="BS105" s="226"/>
      <c r="BT105" s="226">
        <f t="shared" si="52"/>
        <v>0</v>
      </c>
      <c r="BV105" s="275">
        <v>45923</v>
      </c>
      <c r="BW105" s="295"/>
      <c r="BX105" s="280"/>
      <c r="BY105" s="278"/>
      <c r="BZ105" s="283"/>
      <c r="CA105" s="226"/>
      <c r="CB105" s="226"/>
      <c r="CC105" s="226">
        <f t="shared" si="53"/>
        <v>0</v>
      </c>
    </row>
    <row r="106" spans="2:81" ht="15.75" x14ac:dyDescent="0.25">
      <c r="B106" s="275">
        <v>45924</v>
      </c>
      <c r="C106" s="277"/>
      <c r="D106" s="276"/>
      <c r="E106" s="276"/>
      <c r="F106" s="276"/>
      <c r="G106" s="278"/>
      <c r="H106" s="283"/>
      <c r="I106" s="226"/>
      <c r="J106" s="226"/>
      <c r="K106" s="226">
        <f t="shared" si="46"/>
        <v>0</v>
      </c>
      <c r="M106" s="275">
        <v>45924</v>
      </c>
      <c r="N106" s="280"/>
      <c r="O106" s="280"/>
      <c r="P106" s="280"/>
      <c r="Q106" s="280"/>
      <c r="R106" s="280"/>
      <c r="S106" s="278"/>
      <c r="T106" s="283"/>
      <c r="U106" s="226"/>
      <c r="V106" s="226"/>
      <c r="W106" s="226">
        <f t="shared" si="47"/>
        <v>0</v>
      </c>
      <c r="Y106" s="275">
        <v>45924</v>
      </c>
      <c r="Z106" s="277"/>
      <c r="AA106" s="277"/>
      <c r="AB106" s="278"/>
      <c r="AC106" s="283"/>
      <c r="AD106" s="226"/>
      <c r="AE106" s="226"/>
      <c r="AF106" s="226">
        <f t="shared" si="48"/>
        <v>0</v>
      </c>
      <c r="AH106" s="275">
        <v>45924</v>
      </c>
      <c r="AI106" s="277"/>
      <c r="AJ106" s="280"/>
      <c r="AK106" s="278"/>
      <c r="AL106" s="283"/>
      <c r="AM106" s="226"/>
      <c r="AN106" s="226"/>
      <c r="AO106" s="226">
        <f t="shared" si="49"/>
        <v>0</v>
      </c>
      <c r="AQ106" s="275">
        <v>45924</v>
      </c>
      <c r="AR106" s="280"/>
      <c r="AS106" s="280"/>
      <c r="AT106" s="280"/>
      <c r="AU106" s="280"/>
      <c r="AV106" s="280"/>
      <c r="AW106" s="280"/>
      <c r="AX106" s="278"/>
      <c r="AY106" s="283"/>
      <c r="AZ106" s="226"/>
      <c r="BA106" s="226"/>
      <c r="BB106" s="226">
        <f t="shared" si="50"/>
        <v>0</v>
      </c>
      <c r="BD106" s="275">
        <v>45924</v>
      </c>
      <c r="BE106" s="280"/>
      <c r="BF106" s="280"/>
      <c r="BG106" s="278"/>
      <c r="BH106" s="283"/>
      <c r="BI106" s="226"/>
      <c r="BJ106" s="226"/>
      <c r="BK106" s="226">
        <f t="shared" si="51"/>
        <v>0</v>
      </c>
      <c r="BM106" s="275">
        <v>45924</v>
      </c>
      <c r="BN106" s="277"/>
      <c r="BO106" s="276"/>
      <c r="BP106" s="278"/>
      <c r="BQ106" s="283"/>
      <c r="BR106" s="226"/>
      <c r="BS106" s="226"/>
      <c r="BT106" s="226">
        <f t="shared" si="52"/>
        <v>0</v>
      </c>
      <c r="BV106" s="275">
        <v>45924</v>
      </c>
      <c r="BW106" s="295"/>
      <c r="BX106" s="280"/>
      <c r="BY106" s="278"/>
      <c r="BZ106" s="283"/>
      <c r="CA106" s="226"/>
      <c r="CB106" s="226"/>
      <c r="CC106" s="226">
        <f t="shared" si="53"/>
        <v>0</v>
      </c>
    </row>
    <row r="107" spans="2:81" ht="15.75" x14ac:dyDescent="0.25">
      <c r="B107" s="275">
        <v>45925</v>
      </c>
      <c r="C107" s="277"/>
      <c r="D107" s="276"/>
      <c r="E107" s="276"/>
      <c r="F107" s="276"/>
      <c r="G107" s="278"/>
      <c r="H107" s="283"/>
      <c r="I107" s="226"/>
      <c r="J107" s="226"/>
      <c r="K107" s="226">
        <f t="shared" si="46"/>
        <v>0</v>
      </c>
      <c r="M107" s="275">
        <v>45925</v>
      </c>
      <c r="N107" s="280"/>
      <c r="O107" s="280"/>
      <c r="P107" s="280"/>
      <c r="Q107" s="280"/>
      <c r="R107" s="280"/>
      <c r="S107" s="278"/>
      <c r="T107" s="283"/>
      <c r="U107" s="226"/>
      <c r="V107" s="226"/>
      <c r="W107" s="226">
        <f t="shared" si="47"/>
        <v>0</v>
      </c>
      <c r="Y107" s="275">
        <v>45925</v>
      </c>
      <c r="Z107" s="277"/>
      <c r="AA107" s="277"/>
      <c r="AB107" s="278"/>
      <c r="AC107" s="283"/>
      <c r="AD107" s="226"/>
      <c r="AE107" s="226"/>
      <c r="AF107" s="226">
        <f t="shared" si="48"/>
        <v>0</v>
      </c>
      <c r="AH107" s="275">
        <v>45925</v>
      </c>
      <c r="AI107" s="277"/>
      <c r="AJ107" s="280"/>
      <c r="AK107" s="278"/>
      <c r="AL107" s="283"/>
      <c r="AM107" s="226"/>
      <c r="AN107" s="226"/>
      <c r="AO107" s="226">
        <f t="shared" si="49"/>
        <v>0</v>
      </c>
      <c r="AQ107" s="275">
        <v>45925</v>
      </c>
      <c r="AR107" s="280"/>
      <c r="AS107" s="280"/>
      <c r="AT107" s="280"/>
      <c r="AU107" s="280"/>
      <c r="AV107" s="280"/>
      <c r="AW107" s="280"/>
      <c r="AX107" s="278"/>
      <c r="AY107" s="283"/>
      <c r="AZ107" s="226"/>
      <c r="BA107" s="226"/>
      <c r="BB107" s="226">
        <f t="shared" si="50"/>
        <v>0</v>
      </c>
      <c r="BD107" s="275">
        <v>45925</v>
      </c>
      <c r="BE107" s="280"/>
      <c r="BF107" s="280"/>
      <c r="BG107" s="278"/>
      <c r="BH107" s="283"/>
      <c r="BI107" s="226"/>
      <c r="BJ107" s="226"/>
      <c r="BK107" s="226">
        <f t="shared" si="51"/>
        <v>0</v>
      </c>
      <c r="BM107" s="275">
        <v>45925</v>
      </c>
      <c r="BN107" s="277"/>
      <c r="BO107" s="276"/>
      <c r="BP107" s="278"/>
      <c r="BQ107" s="283"/>
      <c r="BR107" s="226"/>
      <c r="BS107" s="226"/>
      <c r="BT107" s="226">
        <f t="shared" si="52"/>
        <v>0</v>
      </c>
      <c r="BV107" s="275">
        <v>45925</v>
      </c>
      <c r="BW107" s="295"/>
      <c r="BX107" s="280"/>
      <c r="BY107" s="278"/>
      <c r="BZ107" s="283"/>
      <c r="CA107" s="226"/>
      <c r="CB107" s="226"/>
      <c r="CC107" s="226">
        <f t="shared" si="53"/>
        <v>0</v>
      </c>
    </row>
    <row r="108" spans="2:81" ht="15.75" x14ac:dyDescent="0.25">
      <c r="B108" s="275">
        <v>45926</v>
      </c>
      <c r="C108" s="277"/>
      <c r="D108" s="276"/>
      <c r="E108" s="276"/>
      <c r="F108" s="276"/>
      <c r="G108" s="278"/>
      <c r="H108" s="283"/>
      <c r="I108" s="226"/>
      <c r="J108" s="226"/>
      <c r="K108" s="226">
        <f t="shared" si="46"/>
        <v>0</v>
      </c>
      <c r="M108" s="275">
        <v>45926</v>
      </c>
      <c r="N108" s="280"/>
      <c r="O108" s="280"/>
      <c r="P108" s="280"/>
      <c r="Q108" s="280"/>
      <c r="R108" s="280"/>
      <c r="S108" s="278"/>
      <c r="T108" s="283"/>
      <c r="U108" s="226"/>
      <c r="V108" s="226"/>
      <c r="W108" s="226">
        <f t="shared" si="47"/>
        <v>0</v>
      </c>
      <c r="Y108" s="275">
        <v>45926</v>
      </c>
      <c r="Z108" s="277"/>
      <c r="AA108" s="277"/>
      <c r="AB108" s="278"/>
      <c r="AC108" s="283"/>
      <c r="AD108" s="226"/>
      <c r="AE108" s="226"/>
      <c r="AF108" s="226">
        <f t="shared" si="48"/>
        <v>0</v>
      </c>
      <c r="AH108" s="275">
        <v>45926</v>
      </c>
      <c r="AI108" s="277"/>
      <c r="AJ108" s="280"/>
      <c r="AK108" s="278"/>
      <c r="AL108" s="283"/>
      <c r="AM108" s="226"/>
      <c r="AN108" s="226"/>
      <c r="AO108" s="226">
        <f t="shared" si="49"/>
        <v>0</v>
      </c>
      <c r="AQ108" s="275">
        <v>45926</v>
      </c>
      <c r="AR108" s="280"/>
      <c r="AS108" s="280"/>
      <c r="AT108" s="280"/>
      <c r="AU108" s="280"/>
      <c r="AV108" s="280"/>
      <c r="AW108" s="280"/>
      <c r="AX108" s="278"/>
      <c r="AY108" s="283"/>
      <c r="AZ108" s="226"/>
      <c r="BA108" s="226"/>
      <c r="BB108" s="226">
        <f t="shared" si="50"/>
        <v>0</v>
      </c>
      <c r="BD108" s="275">
        <v>45926</v>
      </c>
      <c r="BE108" s="280"/>
      <c r="BF108" s="280"/>
      <c r="BG108" s="278"/>
      <c r="BH108" s="283"/>
      <c r="BI108" s="226"/>
      <c r="BJ108" s="226"/>
      <c r="BK108" s="226">
        <f t="shared" si="51"/>
        <v>0</v>
      </c>
      <c r="BM108" s="275">
        <v>45926</v>
      </c>
      <c r="BN108" s="277"/>
      <c r="BO108" s="276"/>
      <c r="BP108" s="278"/>
      <c r="BQ108" s="283"/>
      <c r="BR108" s="226"/>
      <c r="BS108" s="226"/>
      <c r="BT108" s="226">
        <f t="shared" si="52"/>
        <v>0</v>
      </c>
      <c r="BV108" s="275">
        <v>45926</v>
      </c>
      <c r="BW108" s="295"/>
      <c r="BX108" s="280"/>
      <c r="BY108" s="278"/>
      <c r="BZ108" s="283"/>
      <c r="CA108" s="226"/>
      <c r="CB108" s="226"/>
      <c r="CC108" s="226">
        <f t="shared" si="53"/>
        <v>0</v>
      </c>
    </row>
    <row r="109" spans="2:81" ht="15.75" x14ac:dyDescent="0.25">
      <c r="B109" s="275">
        <v>45927</v>
      </c>
      <c r="C109" s="277"/>
      <c r="D109" s="276"/>
      <c r="E109" s="276"/>
      <c r="F109" s="276"/>
      <c r="G109" s="278"/>
      <c r="H109" s="283"/>
      <c r="I109" s="226"/>
      <c r="J109" s="226"/>
      <c r="K109" s="226">
        <f t="shared" si="46"/>
        <v>0</v>
      </c>
      <c r="M109" s="275">
        <v>45927</v>
      </c>
      <c r="N109" s="280"/>
      <c r="O109" s="280"/>
      <c r="P109" s="280"/>
      <c r="Q109" s="280"/>
      <c r="R109" s="280"/>
      <c r="S109" s="278"/>
      <c r="T109" s="283"/>
      <c r="U109" s="226"/>
      <c r="V109" s="226"/>
      <c r="W109" s="226">
        <f t="shared" si="47"/>
        <v>0</v>
      </c>
      <c r="Y109" s="275">
        <v>45927</v>
      </c>
      <c r="Z109" s="277"/>
      <c r="AA109" s="277"/>
      <c r="AB109" s="278"/>
      <c r="AC109" s="283"/>
      <c r="AD109" s="226"/>
      <c r="AE109" s="226"/>
      <c r="AF109" s="226">
        <f t="shared" si="48"/>
        <v>0</v>
      </c>
      <c r="AH109" s="275">
        <v>45927</v>
      </c>
      <c r="AI109" s="277"/>
      <c r="AJ109" s="280"/>
      <c r="AK109" s="278"/>
      <c r="AL109" s="283"/>
      <c r="AM109" s="226"/>
      <c r="AN109" s="226"/>
      <c r="AO109" s="226">
        <f t="shared" si="49"/>
        <v>0</v>
      </c>
      <c r="AQ109" s="275">
        <v>45927</v>
      </c>
      <c r="AR109" s="280"/>
      <c r="AS109" s="280"/>
      <c r="AT109" s="280"/>
      <c r="AU109" s="280"/>
      <c r="AV109" s="280"/>
      <c r="AW109" s="280"/>
      <c r="AX109" s="278"/>
      <c r="AY109" s="283"/>
      <c r="AZ109" s="226"/>
      <c r="BA109" s="226"/>
      <c r="BB109" s="226">
        <f t="shared" si="50"/>
        <v>0</v>
      </c>
      <c r="BD109" s="275">
        <v>45927</v>
      </c>
      <c r="BE109" s="280"/>
      <c r="BF109" s="280"/>
      <c r="BG109" s="278"/>
      <c r="BH109" s="283"/>
      <c r="BI109" s="226"/>
      <c r="BJ109" s="226"/>
      <c r="BK109" s="226">
        <f t="shared" si="51"/>
        <v>0</v>
      </c>
      <c r="BM109" s="275">
        <v>45927</v>
      </c>
      <c r="BN109" s="277"/>
      <c r="BO109" s="276"/>
      <c r="BP109" s="278"/>
      <c r="BQ109" s="283"/>
      <c r="BR109" s="226"/>
      <c r="BS109" s="226"/>
      <c r="BT109" s="226">
        <f t="shared" si="52"/>
        <v>0</v>
      </c>
      <c r="BV109" s="275">
        <v>45927</v>
      </c>
      <c r="BW109" s="295"/>
      <c r="BX109" s="280"/>
      <c r="BY109" s="278"/>
      <c r="BZ109" s="283"/>
      <c r="CA109" s="226"/>
      <c r="CB109" s="226"/>
      <c r="CC109" s="226">
        <f t="shared" si="53"/>
        <v>0</v>
      </c>
    </row>
    <row r="110" spans="2:81" ht="15.75" x14ac:dyDescent="0.25">
      <c r="B110" s="275">
        <v>45928</v>
      </c>
      <c r="C110" s="277"/>
      <c r="D110" s="276"/>
      <c r="E110" s="276"/>
      <c r="F110" s="276"/>
      <c r="G110" s="278"/>
      <c r="H110" s="283"/>
      <c r="I110" s="226"/>
      <c r="J110" s="226"/>
      <c r="K110" s="226">
        <f t="shared" si="46"/>
        <v>0</v>
      </c>
      <c r="M110" s="275">
        <v>45928</v>
      </c>
      <c r="N110" s="280"/>
      <c r="O110" s="280"/>
      <c r="P110" s="280"/>
      <c r="Q110" s="280"/>
      <c r="R110" s="280"/>
      <c r="S110" s="278"/>
      <c r="T110" s="283"/>
      <c r="U110" s="226"/>
      <c r="V110" s="226"/>
      <c r="W110" s="226">
        <f t="shared" si="47"/>
        <v>0</v>
      </c>
      <c r="Y110" s="275">
        <v>45928</v>
      </c>
      <c r="Z110" s="277"/>
      <c r="AA110" s="277"/>
      <c r="AB110" s="278"/>
      <c r="AC110" s="283"/>
      <c r="AD110" s="226"/>
      <c r="AE110" s="226"/>
      <c r="AF110" s="226">
        <f t="shared" si="48"/>
        <v>0</v>
      </c>
      <c r="AH110" s="275">
        <v>45928</v>
      </c>
      <c r="AI110" s="277"/>
      <c r="AJ110" s="280"/>
      <c r="AK110" s="278"/>
      <c r="AL110" s="283"/>
      <c r="AM110" s="226"/>
      <c r="AN110" s="226"/>
      <c r="AO110" s="226">
        <f t="shared" si="49"/>
        <v>0</v>
      </c>
      <c r="AQ110" s="275">
        <v>45928</v>
      </c>
      <c r="AR110" s="280"/>
      <c r="AS110" s="280"/>
      <c r="AT110" s="280"/>
      <c r="AU110" s="280"/>
      <c r="AV110" s="280"/>
      <c r="AW110" s="280"/>
      <c r="AX110" s="278"/>
      <c r="AY110" s="283"/>
      <c r="AZ110" s="226"/>
      <c r="BA110" s="226"/>
      <c r="BB110" s="226">
        <f t="shared" si="50"/>
        <v>0</v>
      </c>
      <c r="BD110" s="275">
        <v>45928</v>
      </c>
      <c r="BE110" s="280"/>
      <c r="BF110" s="280"/>
      <c r="BG110" s="278"/>
      <c r="BH110" s="283"/>
      <c r="BI110" s="226"/>
      <c r="BJ110" s="226"/>
      <c r="BK110" s="226">
        <f t="shared" si="51"/>
        <v>0</v>
      </c>
      <c r="BM110" s="275">
        <v>45928</v>
      </c>
      <c r="BN110" s="277"/>
      <c r="BO110" s="276"/>
      <c r="BP110" s="278"/>
      <c r="BQ110" s="283"/>
      <c r="BR110" s="226"/>
      <c r="BS110" s="226"/>
      <c r="BT110" s="226">
        <f t="shared" si="52"/>
        <v>0</v>
      </c>
      <c r="BV110" s="275">
        <v>45928</v>
      </c>
      <c r="BW110" s="295"/>
      <c r="BX110" s="280"/>
      <c r="BY110" s="278"/>
      <c r="BZ110" s="283"/>
      <c r="CA110" s="226"/>
      <c r="CB110" s="226"/>
      <c r="CC110" s="226">
        <f t="shared" si="53"/>
        <v>0</v>
      </c>
    </row>
    <row r="111" spans="2:81" ht="15.75" x14ac:dyDescent="0.25">
      <c r="B111" s="275">
        <v>45929</v>
      </c>
      <c r="C111" s="277"/>
      <c r="D111" s="276"/>
      <c r="E111" s="276"/>
      <c r="F111" s="276"/>
      <c r="G111" s="278"/>
      <c r="H111" s="283"/>
      <c r="I111" s="226"/>
      <c r="J111" s="226"/>
      <c r="K111" s="226">
        <f t="shared" si="46"/>
        <v>0</v>
      </c>
      <c r="M111" s="275">
        <v>45929</v>
      </c>
      <c r="N111" s="280"/>
      <c r="O111" s="280"/>
      <c r="P111" s="280"/>
      <c r="Q111" s="280"/>
      <c r="R111" s="280"/>
      <c r="S111" s="278"/>
      <c r="T111" s="283"/>
      <c r="U111" s="226"/>
      <c r="V111" s="226"/>
      <c r="W111" s="226">
        <f t="shared" si="47"/>
        <v>0</v>
      </c>
      <c r="Y111" s="275">
        <v>45929</v>
      </c>
      <c r="Z111" s="277"/>
      <c r="AA111" s="277"/>
      <c r="AB111" s="278"/>
      <c r="AC111" s="283"/>
      <c r="AD111" s="226"/>
      <c r="AE111" s="226"/>
      <c r="AF111" s="226">
        <f t="shared" si="48"/>
        <v>0</v>
      </c>
      <c r="AH111" s="275">
        <v>45929</v>
      </c>
      <c r="AI111" s="277"/>
      <c r="AJ111" s="280"/>
      <c r="AK111" s="278"/>
      <c r="AL111" s="283"/>
      <c r="AM111" s="226"/>
      <c r="AN111" s="226"/>
      <c r="AO111" s="226">
        <f t="shared" si="49"/>
        <v>0</v>
      </c>
      <c r="AQ111" s="275">
        <v>45929</v>
      </c>
      <c r="AR111" s="280"/>
      <c r="AS111" s="280"/>
      <c r="AT111" s="280"/>
      <c r="AU111" s="280"/>
      <c r="AV111" s="280"/>
      <c r="AW111" s="280"/>
      <c r="AX111" s="278"/>
      <c r="AY111" s="283"/>
      <c r="AZ111" s="226"/>
      <c r="BA111" s="226"/>
      <c r="BB111" s="226">
        <f t="shared" si="50"/>
        <v>0</v>
      </c>
      <c r="BD111" s="275">
        <v>45929</v>
      </c>
      <c r="BE111" s="280"/>
      <c r="BF111" s="280"/>
      <c r="BG111" s="278"/>
      <c r="BH111" s="283"/>
      <c r="BI111" s="226"/>
      <c r="BJ111" s="226"/>
      <c r="BK111" s="226">
        <f t="shared" si="51"/>
        <v>0</v>
      </c>
      <c r="BM111" s="275">
        <v>45929</v>
      </c>
      <c r="BN111" s="277"/>
      <c r="BO111" s="276"/>
      <c r="BP111" s="278"/>
      <c r="BQ111" s="283"/>
      <c r="BR111" s="226"/>
      <c r="BS111" s="226"/>
      <c r="BT111" s="226">
        <f t="shared" si="52"/>
        <v>0</v>
      </c>
      <c r="BV111" s="275">
        <v>45929</v>
      </c>
      <c r="BW111" s="295"/>
      <c r="BX111" s="280"/>
      <c r="BY111" s="278"/>
      <c r="BZ111" s="283"/>
      <c r="CA111" s="226"/>
      <c r="CB111" s="226"/>
      <c r="CC111" s="226">
        <f t="shared" si="53"/>
        <v>0</v>
      </c>
    </row>
    <row r="112" spans="2:81" ht="15.75" x14ac:dyDescent="0.25">
      <c r="B112" s="275">
        <v>45930</v>
      </c>
      <c r="C112" s="277"/>
      <c r="D112" s="276"/>
      <c r="E112" s="276"/>
      <c r="F112" s="276"/>
      <c r="G112" s="278"/>
      <c r="H112" s="283"/>
      <c r="I112" s="226"/>
      <c r="J112" s="226"/>
      <c r="K112" s="226">
        <f t="shared" si="46"/>
        <v>0</v>
      </c>
      <c r="M112" s="275">
        <v>45930</v>
      </c>
      <c r="N112" s="280"/>
      <c r="O112" s="280"/>
      <c r="P112" s="280"/>
      <c r="Q112" s="280"/>
      <c r="R112" s="280"/>
      <c r="S112" s="278"/>
      <c r="T112" s="283"/>
      <c r="U112" s="226"/>
      <c r="V112" s="226"/>
      <c r="W112" s="226">
        <f t="shared" si="47"/>
        <v>0</v>
      </c>
      <c r="Y112" s="275">
        <v>45930</v>
      </c>
      <c r="Z112" s="277"/>
      <c r="AA112" s="277"/>
      <c r="AB112" s="278"/>
      <c r="AC112" s="283"/>
      <c r="AD112" s="226"/>
      <c r="AE112" s="226"/>
      <c r="AF112" s="226">
        <f t="shared" si="48"/>
        <v>0</v>
      </c>
      <c r="AH112" s="275">
        <v>45930</v>
      </c>
      <c r="AI112" s="277"/>
      <c r="AJ112" s="280"/>
      <c r="AK112" s="278"/>
      <c r="AL112" s="283"/>
      <c r="AM112" s="226"/>
      <c r="AN112" s="226"/>
      <c r="AO112" s="226">
        <f t="shared" si="49"/>
        <v>0</v>
      </c>
      <c r="AQ112" s="275">
        <v>45930</v>
      </c>
      <c r="AR112" s="280"/>
      <c r="AS112" s="280"/>
      <c r="AT112" s="280"/>
      <c r="AU112" s="280"/>
      <c r="AV112" s="280"/>
      <c r="AW112" s="280"/>
      <c r="AX112" s="278"/>
      <c r="AY112" s="283"/>
      <c r="AZ112" s="226"/>
      <c r="BA112" s="226"/>
      <c r="BB112" s="226">
        <f t="shared" si="50"/>
        <v>0</v>
      </c>
      <c r="BD112" s="275">
        <v>45930</v>
      </c>
      <c r="BE112" s="280"/>
      <c r="BF112" s="280"/>
      <c r="BG112" s="278"/>
      <c r="BH112" s="283"/>
      <c r="BI112" s="226"/>
      <c r="BJ112" s="226"/>
      <c r="BK112" s="226">
        <f t="shared" si="51"/>
        <v>0</v>
      </c>
      <c r="BM112" s="275">
        <v>45930</v>
      </c>
      <c r="BN112" s="277"/>
      <c r="BO112" s="276"/>
      <c r="BP112" s="278"/>
      <c r="BQ112" s="283"/>
      <c r="BR112" s="226"/>
      <c r="BS112" s="226"/>
      <c r="BT112" s="226">
        <f t="shared" si="52"/>
        <v>0</v>
      </c>
      <c r="BV112" s="275">
        <v>45930</v>
      </c>
      <c r="BW112" s="295"/>
      <c r="BX112" s="280"/>
      <c r="BY112" s="278"/>
      <c r="BZ112" s="283"/>
      <c r="CA112" s="226"/>
      <c r="CB112" s="226"/>
      <c r="CC112" s="226">
        <f t="shared" si="53"/>
        <v>0</v>
      </c>
    </row>
    <row r="113" spans="2:81" ht="16.5" thickBot="1" x14ac:dyDescent="0.3">
      <c r="B113" s="275"/>
      <c r="C113" s="277"/>
      <c r="D113" s="276"/>
      <c r="E113" s="276"/>
      <c r="F113" s="276"/>
      <c r="G113" s="278"/>
      <c r="H113" s="284"/>
      <c r="I113" s="227"/>
      <c r="J113" s="227"/>
      <c r="K113" s="227">
        <f t="shared" si="46"/>
        <v>0</v>
      </c>
      <c r="M113" s="275"/>
      <c r="N113" s="277"/>
      <c r="O113" s="277"/>
      <c r="P113" s="277"/>
      <c r="Q113" s="276"/>
      <c r="R113" s="276"/>
      <c r="S113" s="278"/>
      <c r="T113" s="284"/>
      <c r="U113" s="227"/>
      <c r="V113" s="227"/>
      <c r="W113" s="227">
        <f t="shared" si="47"/>
        <v>0</v>
      </c>
      <c r="Y113" s="275"/>
      <c r="Z113" s="277"/>
      <c r="AA113" s="277"/>
      <c r="AB113" s="278"/>
      <c r="AC113" s="284"/>
      <c r="AD113" s="227"/>
      <c r="AE113" s="227"/>
      <c r="AF113" s="227">
        <f t="shared" si="48"/>
        <v>0</v>
      </c>
      <c r="AH113" s="275"/>
      <c r="AI113" s="277"/>
      <c r="AJ113" s="282"/>
      <c r="AK113" s="278"/>
      <c r="AL113" s="284"/>
      <c r="AM113" s="227"/>
      <c r="AN113" s="227"/>
      <c r="AO113" s="227">
        <f t="shared" si="49"/>
        <v>0</v>
      </c>
      <c r="AQ113" s="275"/>
      <c r="AR113" s="280"/>
      <c r="AS113" s="280"/>
      <c r="AT113" s="280"/>
      <c r="AU113" s="280"/>
      <c r="AV113" s="280"/>
      <c r="AW113" s="280"/>
      <c r="AX113" s="278"/>
      <c r="AY113" s="284"/>
      <c r="AZ113" s="227"/>
      <c r="BA113" s="227"/>
      <c r="BB113" s="227">
        <f t="shared" si="50"/>
        <v>0</v>
      </c>
      <c r="BD113" s="275"/>
      <c r="BE113" s="282"/>
      <c r="BF113" s="282"/>
      <c r="BG113" s="278"/>
      <c r="BH113" s="284"/>
      <c r="BI113" s="227"/>
      <c r="BJ113" s="227"/>
      <c r="BK113" s="227">
        <f t="shared" si="51"/>
        <v>0</v>
      </c>
      <c r="BM113" s="275"/>
      <c r="BN113" s="277"/>
      <c r="BO113" s="276"/>
      <c r="BP113" s="278"/>
      <c r="BQ113" s="284"/>
      <c r="BR113" s="227"/>
      <c r="BS113" s="227"/>
      <c r="BT113" s="227">
        <f t="shared" si="52"/>
        <v>0</v>
      </c>
      <c r="BV113" s="275"/>
      <c r="BW113" s="296"/>
      <c r="BX113" s="282"/>
      <c r="BY113" s="278"/>
      <c r="BZ113" s="284"/>
      <c r="CA113" s="227"/>
      <c r="CB113" s="227"/>
      <c r="CC113" s="227">
        <f t="shared" si="53"/>
        <v>0</v>
      </c>
    </row>
    <row r="114" spans="2:81" ht="19.5" thickBot="1" x14ac:dyDescent="0.35">
      <c r="B114" s="297"/>
      <c r="C114" s="285">
        <f t="shared" ref="C114:F114" si="54">SUM(C83:C113)</f>
        <v>0</v>
      </c>
      <c r="D114" s="285">
        <f t="shared" si="54"/>
        <v>0</v>
      </c>
      <c r="E114" s="285">
        <f t="shared" si="54"/>
        <v>0</v>
      </c>
      <c r="F114" s="285">
        <f t="shared" si="54"/>
        <v>0</v>
      </c>
      <c r="G114" s="250"/>
      <c r="H114" s="248">
        <f t="shared" ref="H114:K114" si="55">SUM(H83:H113)</f>
        <v>0</v>
      </c>
      <c r="I114" s="245">
        <f t="shared" si="55"/>
        <v>0</v>
      </c>
      <c r="J114" s="245">
        <f t="shared" si="55"/>
        <v>0</v>
      </c>
      <c r="K114" s="245">
        <f t="shared" si="55"/>
        <v>0</v>
      </c>
      <c r="M114" s="1"/>
      <c r="N114" s="285">
        <f t="shared" ref="N114:R114" si="56">SUM(N83:N113)</f>
        <v>0</v>
      </c>
      <c r="O114" s="285">
        <f t="shared" si="56"/>
        <v>0</v>
      </c>
      <c r="P114" s="285">
        <f t="shared" si="56"/>
        <v>0</v>
      </c>
      <c r="Q114" s="286">
        <f t="shared" si="56"/>
        <v>0</v>
      </c>
      <c r="R114" s="286">
        <f t="shared" si="56"/>
        <v>0</v>
      </c>
      <c r="S114" s="250"/>
      <c r="T114" s="248">
        <f t="shared" ref="T114:W114" si="57">SUM(T83:T113)</f>
        <v>0</v>
      </c>
      <c r="U114" s="245">
        <f t="shared" si="57"/>
        <v>0</v>
      </c>
      <c r="V114" s="245">
        <f t="shared" si="57"/>
        <v>0</v>
      </c>
      <c r="W114" s="245">
        <f t="shared" si="57"/>
        <v>0</v>
      </c>
      <c r="Z114" s="287">
        <f t="shared" ref="Z114" si="58">SUM(Z83:Z113)</f>
        <v>0</v>
      </c>
      <c r="AA114" s="288">
        <f>SUM(AA83:AA113)</f>
        <v>0</v>
      </c>
      <c r="AB114" s="250"/>
      <c r="AC114" s="248">
        <f t="shared" ref="AC114:AF114" si="59">SUM(AC83:AC113)</f>
        <v>0</v>
      </c>
      <c r="AD114" s="245">
        <f t="shared" si="59"/>
        <v>0</v>
      </c>
      <c r="AE114" s="245">
        <f t="shared" si="59"/>
        <v>0</v>
      </c>
      <c r="AF114" s="245">
        <f t="shared" si="59"/>
        <v>0</v>
      </c>
      <c r="AH114" s="298"/>
      <c r="AI114" s="289">
        <f t="shared" ref="AI114:AJ114" si="60">SUM(AI83:AI113)</f>
        <v>0</v>
      </c>
      <c r="AJ114" s="289">
        <f t="shared" si="60"/>
        <v>0</v>
      </c>
      <c r="AK114" s="250"/>
      <c r="AL114" s="248">
        <f t="shared" ref="AL114:AO114" si="61">SUM(AL83:AL113)</f>
        <v>0</v>
      </c>
      <c r="AM114" s="245">
        <f t="shared" si="61"/>
        <v>0</v>
      </c>
      <c r="AN114" s="245">
        <f t="shared" si="61"/>
        <v>0</v>
      </c>
      <c r="AO114" s="245">
        <f t="shared" si="61"/>
        <v>0</v>
      </c>
      <c r="AQ114" s="299"/>
      <c r="AR114" s="289">
        <f t="shared" ref="AR114:AT114" si="62">SUM(AR83:AR113)</f>
        <v>0</v>
      </c>
      <c r="AS114" s="289">
        <f t="shared" si="62"/>
        <v>0</v>
      </c>
      <c r="AT114" s="289">
        <f t="shared" si="62"/>
        <v>0</v>
      </c>
      <c r="AU114" s="289">
        <f>SUM(AU83:AU113)</f>
        <v>0</v>
      </c>
      <c r="AV114" s="289">
        <f>SUM(AV83:AV113)</f>
        <v>0</v>
      </c>
      <c r="AW114" s="289">
        <f>SUM(AW83:AW113)</f>
        <v>0</v>
      </c>
      <c r="AX114" s="250"/>
      <c r="AY114" s="248">
        <f t="shared" ref="AY114:BB114" si="63">SUM(AY83:AY113)</f>
        <v>0</v>
      </c>
      <c r="AZ114" s="245">
        <f t="shared" si="63"/>
        <v>0</v>
      </c>
      <c r="BA114" s="245">
        <f t="shared" si="63"/>
        <v>0</v>
      </c>
      <c r="BB114" s="245">
        <f t="shared" si="63"/>
        <v>0</v>
      </c>
      <c r="BD114" s="298"/>
      <c r="BE114" s="289">
        <f t="shared" ref="BE114:BF114" si="64">SUM(BE83:BE113)</f>
        <v>0</v>
      </c>
      <c r="BF114" s="289">
        <f t="shared" si="64"/>
        <v>0</v>
      </c>
      <c r="BG114" s="250"/>
      <c r="BH114" s="248">
        <f t="shared" ref="BH114:BK114" si="65">SUM(BH83:BH113)</f>
        <v>0</v>
      </c>
      <c r="BI114" s="245">
        <f t="shared" si="65"/>
        <v>0</v>
      </c>
      <c r="BJ114" s="245">
        <f t="shared" si="65"/>
        <v>0</v>
      </c>
      <c r="BK114" s="245">
        <f t="shared" si="65"/>
        <v>0</v>
      </c>
      <c r="BM114" s="298"/>
      <c r="BN114" s="289">
        <f t="shared" ref="BN114:BO114" si="66">SUM(BN83:BN113)</f>
        <v>0</v>
      </c>
      <c r="BO114" s="289">
        <f t="shared" si="66"/>
        <v>0</v>
      </c>
      <c r="BP114" s="250"/>
      <c r="BQ114" s="248">
        <f t="shared" ref="BQ114:BT114" si="67">SUM(BQ83:BQ113)</f>
        <v>0</v>
      </c>
      <c r="BR114" s="245">
        <f t="shared" si="67"/>
        <v>0</v>
      </c>
      <c r="BS114" s="245">
        <f t="shared" si="67"/>
        <v>0</v>
      </c>
      <c r="BT114" s="245">
        <f t="shared" si="67"/>
        <v>0</v>
      </c>
      <c r="BV114" s="298"/>
      <c r="BW114" s="289">
        <f t="shared" ref="BW114:BX114" si="68">SUM(BW83:BW113)</f>
        <v>0</v>
      </c>
      <c r="BX114" s="289">
        <f t="shared" si="68"/>
        <v>0</v>
      </c>
      <c r="BY114" s="250"/>
      <c r="BZ114" s="248">
        <f t="shared" ref="BZ114:CC114" si="69">SUM(BZ83:BZ113)</f>
        <v>0</v>
      </c>
      <c r="CA114" s="245">
        <f t="shared" si="69"/>
        <v>0</v>
      </c>
      <c r="CB114" s="245">
        <f t="shared" si="69"/>
        <v>0</v>
      </c>
      <c r="CC114" s="245">
        <f t="shared" si="69"/>
        <v>0</v>
      </c>
    </row>
    <row r="117" spans="2:81" s="301" customFormat="1" ht="26.25" x14ac:dyDescent="0.4">
      <c r="B117" s="300" t="s">
        <v>81</v>
      </c>
      <c r="C117" s="300"/>
      <c r="D117" s="300"/>
      <c r="E117" s="300"/>
      <c r="F117" s="300"/>
      <c r="G117" s="300"/>
      <c r="H117" s="300"/>
      <c r="I117" s="300"/>
      <c r="J117" s="300"/>
      <c r="K117" s="300"/>
      <c r="M117" s="300"/>
      <c r="N117" s="300" t="s">
        <v>82</v>
      </c>
      <c r="O117" s="300"/>
      <c r="P117" s="300"/>
      <c r="Q117" s="300"/>
      <c r="R117" s="300"/>
      <c r="S117" s="300"/>
      <c r="T117" s="300"/>
      <c r="U117" s="300"/>
      <c r="V117" s="300"/>
      <c r="W117" s="300"/>
      <c r="Y117" s="300" t="s">
        <v>83</v>
      </c>
      <c r="AB117" s="300"/>
      <c r="AC117" s="300"/>
      <c r="AD117" s="300"/>
      <c r="AE117" s="300"/>
      <c r="AF117" s="300"/>
      <c r="AH117" s="300" t="s">
        <v>84</v>
      </c>
      <c r="AI117" s="300"/>
      <c r="AK117" s="300"/>
      <c r="AL117" s="300"/>
      <c r="AM117" s="300"/>
      <c r="AN117" s="300"/>
      <c r="AO117" s="300"/>
      <c r="AQ117" s="300" t="s">
        <v>85</v>
      </c>
      <c r="AR117" s="300"/>
      <c r="AS117" s="300"/>
      <c r="AT117" s="300"/>
      <c r="AU117" s="300"/>
      <c r="AV117" s="300"/>
      <c r="AW117" s="300"/>
      <c r="AX117" s="300"/>
      <c r="AY117" s="300"/>
      <c r="AZ117" s="300"/>
      <c r="BA117" s="300"/>
      <c r="BB117" s="300"/>
      <c r="BD117" s="300" t="s">
        <v>86</v>
      </c>
      <c r="BE117" s="300"/>
      <c r="BG117" s="300"/>
      <c r="BH117" s="300"/>
      <c r="BI117" s="300"/>
      <c r="BJ117" s="300"/>
      <c r="BK117" s="300"/>
      <c r="BM117" s="300" t="s">
        <v>87</v>
      </c>
      <c r="BN117" s="300"/>
      <c r="BP117" s="300"/>
      <c r="BQ117" s="300"/>
      <c r="BR117" s="300"/>
      <c r="BS117" s="300"/>
      <c r="BT117" s="300"/>
      <c r="BV117" s="300" t="s">
        <v>88</v>
      </c>
      <c r="BW117" s="300"/>
      <c r="BY117" s="300"/>
      <c r="BZ117" s="300"/>
      <c r="CA117" s="300"/>
      <c r="CB117" s="300"/>
      <c r="CC117" s="300"/>
    </row>
    <row r="118" spans="2:81" ht="9" customHeight="1" thickBot="1" x14ac:dyDescent="0.4">
      <c r="B118" s="1"/>
      <c r="C118" s="1"/>
      <c r="D118" s="1"/>
      <c r="E118" s="1"/>
      <c r="F118" s="1"/>
      <c r="G118" s="1"/>
      <c r="H118" s="1"/>
      <c r="I118" s="1"/>
      <c r="J118" s="1"/>
      <c r="K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AB118" s="1"/>
      <c r="AC118" s="1"/>
      <c r="AD118" s="1"/>
      <c r="AE118" s="1"/>
      <c r="AF118" s="1"/>
      <c r="AH118" s="302"/>
      <c r="AK118" s="1"/>
      <c r="AL118" s="1"/>
      <c r="AM118" s="1"/>
      <c r="AN118" s="1"/>
      <c r="AO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G118" s="1"/>
      <c r="BH118" s="1"/>
      <c r="BI118" s="1"/>
      <c r="BJ118" s="1"/>
      <c r="BK118" s="1"/>
      <c r="BP118" s="1"/>
      <c r="BQ118" s="1"/>
      <c r="BR118" s="1"/>
      <c r="BS118" s="1"/>
      <c r="BT118" s="1"/>
      <c r="BY118" s="1"/>
      <c r="BZ118" s="1"/>
      <c r="CA118" s="1"/>
      <c r="CB118" s="1"/>
      <c r="CC118" s="1"/>
    </row>
    <row r="119" spans="2:81" ht="15.75" thickBot="1" x14ac:dyDescent="0.3">
      <c r="B119" s="1"/>
      <c r="C119" s="258" t="s">
        <v>77</v>
      </c>
      <c r="D119" s="258" t="s">
        <v>77</v>
      </c>
      <c r="E119" s="258" t="s">
        <v>77</v>
      </c>
      <c r="F119" s="258" t="s">
        <v>78</v>
      </c>
      <c r="G119" s="259"/>
      <c r="H119" s="290" t="s">
        <v>17</v>
      </c>
      <c r="I119" s="291" t="s">
        <v>17</v>
      </c>
      <c r="J119" s="292" t="s">
        <v>17</v>
      </c>
      <c r="K119" s="263" t="s">
        <v>23</v>
      </c>
      <c r="M119" s="1"/>
      <c r="N119" s="264" t="s">
        <v>16</v>
      </c>
      <c r="O119" s="264" t="s">
        <v>16</v>
      </c>
      <c r="P119" s="264" t="s">
        <v>16</v>
      </c>
      <c r="Q119" s="265" t="s">
        <v>67</v>
      </c>
      <c r="R119" s="265" t="s">
        <v>78</v>
      </c>
      <c r="S119" s="259"/>
      <c r="T119" s="290" t="s">
        <v>17</v>
      </c>
      <c r="U119" s="291" t="s">
        <v>17</v>
      </c>
      <c r="V119" s="292" t="s">
        <v>17</v>
      </c>
      <c r="W119" s="263" t="s">
        <v>23</v>
      </c>
      <c r="Z119" s="266" t="s">
        <v>16</v>
      </c>
      <c r="AA119" s="267" t="s">
        <v>67</v>
      </c>
      <c r="AB119" s="259"/>
      <c r="AC119" s="290" t="s">
        <v>17</v>
      </c>
      <c r="AD119" s="291" t="s">
        <v>17</v>
      </c>
      <c r="AE119" s="292" t="s">
        <v>17</v>
      </c>
      <c r="AF119" s="263" t="s">
        <v>23</v>
      </c>
      <c r="AI119" s="258" t="s">
        <v>77</v>
      </c>
      <c r="AJ119" s="258" t="s">
        <v>78</v>
      </c>
      <c r="AK119" s="259"/>
      <c r="AL119" s="290" t="s">
        <v>17</v>
      </c>
      <c r="AM119" s="291" t="s">
        <v>17</v>
      </c>
      <c r="AN119" s="292" t="s">
        <v>17</v>
      </c>
      <c r="AO119" s="263" t="s">
        <v>23</v>
      </c>
      <c r="AQ119" s="1"/>
      <c r="AR119" s="258" t="s">
        <v>77</v>
      </c>
      <c r="AS119" s="258" t="s">
        <v>77</v>
      </c>
      <c r="AT119" s="258" t="s">
        <v>77</v>
      </c>
      <c r="AU119" s="258" t="s">
        <v>78</v>
      </c>
      <c r="AV119" s="258" t="s">
        <v>78</v>
      </c>
      <c r="AW119" s="258" t="s">
        <v>78</v>
      </c>
      <c r="AX119" s="259"/>
      <c r="AY119" s="290" t="s">
        <v>17</v>
      </c>
      <c r="AZ119" s="291" t="s">
        <v>17</v>
      </c>
      <c r="BA119" s="292" t="s">
        <v>17</v>
      </c>
      <c r="BB119" s="263" t="s">
        <v>23</v>
      </c>
      <c r="BE119" s="258" t="s">
        <v>77</v>
      </c>
      <c r="BF119" s="258" t="s">
        <v>78</v>
      </c>
      <c r="BG119" s="259"/>
      <c r="BH119" s="290" t="s">
        <v>17</v>
      </c>
      <c r="BI119" s="291" t="s">
        <v>17</v>
      </c>
      <c r="BJ119" s="292" t="s">
        <v>17</v>
      </c>
      <c r="BK119" s="263" t="s">
        <v>23</v>
      </c>
      <c r="BN119" s="258" t="s">
        <v>77</v>
      </c>
      <c r="BO119" s="258" t="s">
        <v>78</v>
      </c>
      <c r="BP119" s="259"/>
      <c r="BQ119" s="290" t="s">
        <v>17</v>
      </c>
      <c r="BR119" s="291" t="s">
        <v>17</v>
      </c>
      <c r="BS119" s="292" t="s">
        <v>17</v>
      </c>
      <c r="BT119" s="263" t="s">
        <v>23</v>
      </c>
      <c r="BW119" s="258" t="s">
        <v>77</v>
      </c>
      <c r="BX119" s="258" t="s">
        <v>78</v>
      </c>
      <c r="BY119" s="259"/>
      <c r="BZ119" s="290" t="s">
        <v>17</v>
      </c>
      <c r="CA119" s="291" t="s">
        <v>17</v>
      </c>
      <c r="CB119" s="292" t="s">
        <v>17</v>
      </c>
      <c r="CC119" s="263" t="s">
        <v>23</v>
      </c>
    </row>
    <row r="120" spans="2:81" ht="15.75" thickBot="1" x14ac:dyDescent="0.3">
      <c r="B120" s="1"/>
      <c r="C120" s="268" t="s">
        <v>19</v>
      </c>
      <c r="D120" s="268" t="s">
        <v>20</v>
      </c>
      <c r="E120" s="268" t="s">
        <v>22</v>
      </c>
      <c r="F120" s="268" t="s">
        <v>19</v>
      </c>
      <c r="G120" s="259"/>
      <c r="H120" s="269" t="s">
        <v>64</v>
      </c>
      <c r="I120" s="270" t="s">
        <v>65</v>
      </c>
      <c r="J120" s="293" t="s">
        <v>66</v>
      </c>
      <c r="K120" s="294" t="s">
        <v>67</v>
      </c>
      <c r="M120" s="1"/>
      <c r="N120" s="272" t="s">
        <v>19</v>
      </c>
      <c r="O120" s="272" t="s">
        <v>20</v>
      </c>
      <c r="P120" s="272" t="s">
        <v>22</v>
      </c>
      <c r="Q120" s="272" t="s">
        <v>22</v>
      </c>
      <c r="R120" s="272" t="s">
        <v>19</v>
      </c>
      <c r="S120" s="259"/>
      <c r="T120" s="269" t="s">
        <v>64</v>
      </c>
      <c r="U120" s="270" t="s">
        <v>65</v>
      </c>
      <c r="V120" s="293" t="s">
        <v>66</v>
      </c>
      <c r="W120" s="294" t="s">
        <v>67</v>
      </c>
      <c r="Z120" s="273" t="s">
        <v>19</v>
      </c>
      <c r="AA120" s="274" t="s">
        <v>19</v>
      </c>
      <c r="AB120" s="259"/>
      <c r="AC120" s="269" t="s">
        <v>64</v>
      </c>
      <c r="AD120" s="270" t="s">
        <v>65</v>
      </c>
      <c r="AE120" s="293" t="s">
        <v>66</v>
      </c>
      <c r="AF120" s="294" t="s">
        <v>67</v>
      </c>
      <c r="AI120" s="268" t="s">
        <v>19</v>
      </c>
      <c r="AJ120" s="268" t="s">
        <v>19</v>
      </c>
      <c r="AK120" s="259"/>
      <c r="AL120" s="269" t="s">
        <v>64</v>
      </c>
      <c r="AM120" s="270" t="s">
        <v>65</v>
      </c>
      <c r="AN120" s="293" t="s">
        <v>66</v>
      </c>
      <c r="AO120" s="294" t="s">
        <v>67</v>
      </c>
      <c r="AQ120" s="1"/>
      <c r="AR120" s="268" t="s">
        <v>19</v>
      </c>
      <c r="AS120" s="268" t="s">
        <v>20</v>
      </c>
      <c r="AT120" s="268" t="s">
        <v>22</v>
      </c>
      <c r="AU120" s="268" t="s">
        <v>20</v>
      </c>
      <c r="AV120" s="268" t="s">
        <v>22</v>
      </c>
      <c r="AW120" s="268" t="s">
        <v>19</v>
      </c>
      <c r="AX120" s="259"/>
      <c r="AY120" s="269" t="s">
        <v>64</v>
      </c>
      <c r="AZ120" s="270" t="s">
        <v>65</v>
      </c>
      <c r="BA120" s="293" t="s">
        <v>66</v>
      </c>
      <c r="BB120" s="294" t="s">
        <v>67</v>
      </c>
      <c r="BE120" s="268" t="s">
        <v>19</v>
      </c>
      <c r="BF120" s="268" t="s">
        <v>19</v>
      </c>
      <c r="BG120" s="259"/>
      <c r="BH120" s="269" t="s">
        <v>64</v>
      </c>
      <c r="BI120" s="270" t="s">
        <v>65</v>
      </c>
      <c r="BJ120" s="293" t="s">
        <v>66</v>
      </c>
      <c r="BK120" s="294" t="s">
        <v>67</v>
      </c>
      <c r="BN120" s="268" t="s">
        <v>19</v>
      </c>
      <c r="BO120" s="268" t="s">
        <v>19</v>
      </c>
      <c r="BP120" s="259"/>
      <c r="BQ120" s="269" t="s">
        <v>64</v>
      </c>
      <c r="BR120" s="270" t="s">
        <v>65</v>
      </c>
      <c r="BS120" s="293" t="s">
        <v>66</v>
      </c>
      <c r="BT120" s="294" t="s">
        <v>67</v>
      </c>
      <c r="BW120" s="268" t="s">
        <v>19</v>
      </c>
      <c r="BX120" s="268" t="s">
        <v>19</v>
      </c>
      <c r="BY120" s="259"/>
      <c r="BZ120" s="269" t="s">
        <v>64</v>
      </c>
      <c r="CA120" s="270" t="s">
        <v>65</v>
      </c>
      <c r="CB120" s="293" t="s">
        <v>66</v>
      </c>
      <c r="CC120" s="294" t="s">
        <v>67</v>
      </c>
    </row>
    <row r="121" spans="2:81" ht="15.75" x14ac:dyDescent="0.25">
      <c r="B121" s="275">
        <v>45931</v>
      </c>
      <c r="C121" s="277"/>
      <c r="D121" s="276"/>
      <c r="E121" s="276"/>
      <c r="F121" s="276"/>
      <c r="G121" s="278"/>
      <c r="H121" s="279"/>
      <c r="I121" s="225"/>
      <c r="J121" s="225"/>
      <c r="K121" s="225">
        <f t="shared" ref="K121:K151" si="70">SUM(F121:J121)</f>
        <v>0</v>
      </c>
      <c r="M121" s="275">
        <f t="shared" ref="M121:M151" si="71">+B121</f>
        <v>45931</v>
      </c>
      <c r="N121" s="280"/>
      <c r="O121" s="280"/>
      <c r="P121" s="280"/>
      <c r="Q121" s="282"/>
      <c r="R121" s="282"/>
      <c r="S121" s="278"/>
      <c r="T121" s="279"/>
      <c r="U121" s="225"/>
      <c r="V121" s="225"/>
      <c r="W121" s="225">
        <f t="shared" ref="W121:W151" si="72">SUM(R121:V121)</f>
        <v>0</v>
      </c>
      <c r="Y121" s="275">
        <f>+M121</f>
        <v>45931</v>
      </c>
      <c r="Z121" s="277"/>
      <c r="AA121" s="277"/>
      <c r="AB121" s="278"/>
      <c r="AC121" s="279"/>
      <c r="AD121" s="225"/>
      <c r="AE121" s="225"/>
      <c r="AF121" s="225">
        <f t="shared" ref="AF121:AF151" si="73">SUM(AA121:AE121)</f>
        <v>0</v>
      </c>
      <c r="AH121" s="275">
        <f>+M121</f>
        <v>45931</v>
      </c>
      <c r="AI121" s="277"/>
      <c r="AJ121" s="280"/>
      <c r="AK121" s="278"/>
      <c r="AL121" s="279"/>
      <c r="AM121" s="225"/>
      <c r="AN121" s="225"/>
      <c r="AO121" s="225">
        <f t="shared" ref="AO121:AO151" si="74">SUM(AJ121:AN121)</f>
        <v>0</v>
      </c>
      <c r="AQ121" s="275">
        <f>+AH121</f>
        <v>45931</v>
      </c>
      <c r="AR121" s="277"/>
      <c r="AS121" s="280"/>
      <c r="AT121" s="280"/>
      <c r="AU121" s="280"/>
      <c r="AV121" s="282"/>
      <c r="AW121" s="280"/>
      <c r="AX121" s="278"/>
      <c r="AY121" s="279"/>
      <c r="AZ121" s="225"/>
      <c r="BA121" s="225"/>
      <c r="BB121" s="225">
        <f t="shared" ref="BB121:BB151" si="75">SUM(AW121:BA121)</f>
        <v>0</v>
      </c>
      <c r="BD121" s="275">
        <f>+AQ121</f>
        <v>45931</v>
      </c>
      <c r="BE121" s="277"/>
      <c r="BF121" s="280"/>
      <c r="BG121" s="278"/>
      <c r="BH121" s="279"/>
      <c r="BI121" s="225"/>
      <c r="BJ121" s="225"/>
      <c r="BK121" s="225">
        <f t="shared" ref="BK121:BK151" si="76">SUM(BF121:BJ121)</f>
        <v>0</v>
      </c>
      <c r="BM121" s="275">
        <f>+BD121</f>
        <v>45931</v>
      </c>
      <c r="BN121" s="277"/>
      <c r="BO121" s="276"/>
      <c r="BP121" s="278"/>
      <c r="BQ121" s="279"/>
      <c r="BR121" s="225"/>
      <c r="BS121" s="225"/>
      <c r="BT121" s="225">
        <f t="shared" ref="BT121:BT151" si="77">SUM(BO121:BS121)</f>
        <v>0</v>
      </c>
      <c r="BV121" s="275">
        <f>+BM121</f>
        <v>45931</v>
      </c>
      <c r="BW121" s="277"/>
      <c r="BX121" s="277"/>
      <c r="BY121" s="278"/>
      <c r="BZ121" s="279"/>
      <c r="CA121" s="225"/>
      <c r="CB121" s="225"/>
      <c r="CC121" s="225">
        <f t="shared" ref="CC121:CC151" si="78">SUM(BX121:CB121)</f>
        <v>0</v>
      </c>
    </row>
    <row r="122" spans="2:81" ht="15.75" x14ac:dyDescent="0.25">
      <c r="B122" s="275">
        <v>45932</v>
      </c>
      <c r="C122" s="277"/>
      <c r="D122" s="276"/>
      <c r="E122" s="276"/>
      <c r="F122" s="276"/>
      <c r="G122" s="278"/>
      <c r="H122" s="283"/>
      <c r="I122" s="226"/>
      <c r="J122" s="226"/>
      <c r="K122" s="226">
        <f t="shared" si="70"/>
        <v>0</v>
      </c>
      <c r="M122" s="275">
        <f t="shared" si="71"/>
        <v>45932</v>
      </c>
      <c r="N122" s="280"/>
      <c r="O122" s="280"/>
      <c r="P122" s="280"/>
      <c r="Q122" s="282"/>
      <c r="R122" s="282"/>
      <c r="S122" s="278"/>
      <c r="T122" s="283"/>
      <c r="U122" s="226"/>
      <c r="V122" s="226"/>
      <c r="W122" s="226">
        <f t="shared" si="72"/>
        <v>0</v>
      </c>
      <c r="Y122" s="275">
        <f t="shared" ref="Y122:Y151" si="79">+M122</f>
        <v>45932</v>
      </c>
      <c r="Z122" s="277"/>
      <c r="AA122" s="277"/>
      <c r="AB122" s="278"/>
      <c r="AC122" s="283"/>
      <c r="AD122" s="226"/>
      <c r="AE122" s="226"/>
      <c r="AF122" s="226">
        <f t="shared" si="73"/>
        <v>0</v>
      </c>
      <c r="AH122" s="275">
        <f t="shared" ref="AH122:AH151" si="80">+M122</f>
        <v>45932</v>
      </c>
      <c r="AI122" s="277"/>
      <c r="AJ122" s="280"/>
      <c r="AK122" s="278"/>
      <c r="AL122" s="283"/>
      <c r="AM122" s="226"/>
      <c r="AN122" s="226"/>
      <c r="AO122" s="226">
        <f t="shared" si="74"/>
        <v>0</v>
      </c>
      <c r="AQ122" s="275">
        <f t="shared" ref="AQ122:AQ151" si="81">+AH122</f>
        <v>45932</v>
      </c>
      <c r="AR122" s="277"/>
      <c r="AS122" s="280"/>
      <c r="AT122" s="280"/>
      <c r="AU122" s="280"/>
      <c r="AV122" s="282"/>
      <c r="AW122" s="280"/>
      <c r="AX122" s="278"/>
      <c r="AY122" s="283"/>
      <c r="AZ122" s="226"/>
      <c r="BA122" s="226"/>
      <c r="BB122" s="226">
        <f t="shared" si="75"/>
        <v>0</v>
      </c>
      <c r="BD122" s="275">
        <f t="shared" ref="BD122:BD151" si="82">+AQ122</f>
        <v>45932</v>
      </c>
      <c r="BE122" s="277"/>
      <c r="BF122" s="280"/>
      <c r="BG122" s="278"/>
      <c r="BH122" s="283"/>
      <c r="BI122" s="226"/>
      <c r="BJ122" s="226"/>
      <c r="BK122" s="226">
        <f t="shared" si="76"/>
        <v>0</v>
      </c>
      <c r="BM122" s="275">
        <f t="shared" ref="BM122:BM151" si="83">+BD122</f>
        <v>45932</v>
      </c>
      <c r="BN122" s="277"/>
      <c r="BO122" s="276"/>
      <c r="BP122" s="278"/>
      <c r="BQ122" s="283"/>
      <c r="BR122" s="226"/>
      <c r="BS122" s="226"/>
      <c r="BT122" s="226">
        <f t="shared" si="77"/>
        <v>0</v>
      </c>
      <c r="BV122" s="275">
        <f t="shared" ref="BV122:BV151" si="84">+BM122</f>
        <v>45932</v>
      </c>
      <c r="BW122" s="277"/>
      <c r="BX122" s="277"/>
      <c r="BY122" s="278"/>
      <c r="BZ122" s="283"/>
      <c r="CA122" s="226"/>
      <c r="CB122" s="226"/>
      <c r="CC122" s="226">
        <f t="shared" si="78"/>
        <v>0</v>
      </c>
    </row>
    <row r="123" spans="2:81" ht="15.75" x14ac:dyDescent="0.25">
      <c r="B123" s="275">
        <v>45933</v>
      </c>
      <c r="C123" s="277"/>
      <c r="D123" s="276"/>
      <c r="E123" s="276"/>
      <c r="F123" s="276"/>
      <c r="G123" s="278"/>
      <c r="H123" s="283"/>
      <c r="I123" s="226"/>
      <c r="J123" s="226"/>
      <c r="K123" s="226">
        <f t="shared" si="70"/>
        <v>0</v>
      </c>
      <c r="M123" s="275">
        <f t="shared" si="71"/>
        <v>45933</v>
      </c>
      <c r="N123" s="280"/>
      <c r="O123" s="280"/>
      <c r="P123" s="280"/>
      <c r="Q123" s="282"/>
      <c r="R123" s="282"/>
      <c r="S123" s="278"/>
      <c r="T123" s="283"/>
      <c r="U123" s="226"/>
      <c r="V123" s="226"/>
      <c r="W123" s="226">
        <f t="shared" si="72"/>
        <v>0</v>
      </c>
      <c r="Y123" s="275">
        <f t="shared" si="79"/>
        <v>45933</v>
      </c>
      <c r="Z123" s="277"/>
      <c r="AA123" s="277"/>
      <c r="AB123" s="278"/>
      <c r="AC123" s="283"/>
      <c r="AD123" s="226"/>
      <c r="AE123" s="226"/>
      <c r="AF123" s="226">
        <f t="shared" si="73"/>
        <v>0</v>
      </c>
      <c r="AH123" s="275">
        <f t="shared" si="80"/>
        <v>45933</v>
      </c>
      <c r="AI123" s="277"/>
      <c r="AJ123" s="280"/>
      <c r="AK123" s="278"/>
      <c r="AL123" s="283"/>
      <c r="AM123" s="226"/>
      <c r="AN123" s="226"/>
      <c r="AO123" s="226">
        <f t="shared" si="74"/>
        <v>0</v>
      </c>
      <c r="AQ123" s="275">
        <f t="shared" si="81"/>
        <v>45933</v>
      </c>
      <c r="AR123" s="277"/>
      <c r="AS123" s="280"/>
      <c r="AT123" s="280"/>
      <c r="AU123" s="280"/>
      <c r="AV123" s="282"/>
      <c r="AW123" s="280"/>
      <c r="AX123" s="278"/>
      <c r="AY123" s="283"/>
      <c r="AZ123" s="226"/>
      <c r="BA123" s="226"/>
      <c r="BB123" s="226">
        <f t="shared" si="75"/>
        <v>0</v>
      </c>
      <c r="BD123" s="275">
        <f t="shared" si="82"/>
        <v>45933</v>
      </c>
      <c r="BE123" s="277"/>
      <c r="BF123" s="280"/>
      <c r="BG123" s="278"/>
      <c r="BH123" s="283"/>
      <c r="BI123" s="226"/>
      <c r="BJ123" s="226"/>
      <c r="BK123" s="226">
        <f t="shared" si="76"/>
        <v>0</v>
      </c>
      <c r="BM123" s="275">
        <f t="shared" si="83"/>
        <v>45933</v>
      </c>
      <c r="BN123" s="277"/>
      <c r="BO123" s="276"/>
      <c r="BP123" s="278"/>
      <c r="BQ123" s="283"/>
      <c r="BR123" s="226"/>
      <c r="BS123" s="226"/>
      <c r="BT123" s="226">
        <f t="shared" si="77"/>
        <v>0</v>
      </c>
      <c r="BV123" s="275">
        <f t="shared" si="84"/>
        <v>45933</v>
      </c>
      <c r="BW123" s="277"/>
      <c r="BX123" s="277"/>
      <c r="BY123" s="278"/>
      <c r="BZ123" s="283"/>
      <c r="CA123" s="226"/>
      <c r="CB123" s="226"/>
      <c r="CC123" s="226">
        <f t="shared" si="78"/>
        <v>0</v>
      </c>
    </row>
    <row r="124" spans="2:81" ht="15.75" x14ac:dyDescent="0.25">
      <c r="B124" s="275">
        <v>45934</v>
      </c>
      <c r="C124" s="277"/>
      <c r="D124" s="276"/>
      <c r="E124" s="276"/>
      <c r="F124" s="276"/>
      <c r="G124" s="278"/>
      <c r="H124" s="283"/>
      <c r="I124" s="226"/>
      <c r="J124" s="226"/>
      <c r="K124" s="226">
        <f t="shared" si="70"/>
        <v>0</v>
      </c>
      <c r="M124" s="275">
        <f t="shared" si="71"/>
        <v>45934</v>
      </c>
      <c r="N124" s="280"/>
      <c r="O124" s="280"/>
      <c r="P124" s="280"/>
      <c r="Q124" s="282"/>
      <c r="R124" s="282"/>
      <c r="S124" s="278"/>
      <c r="T124" s="283"/>
      <c r="U124" s="226"/>
      <c r="V124" s="226"/>
      <c r="W124" s="226">
        <f t="shared" si="72"/>
        <v>0</v>
      </c>
      <c r="Y124" s="275">
        <f t="shared" si="79"/>
        <v>45934</v>
      </c>
      <c r="Z124" s="277"/>
      <c r="AA124" s="277"/>
      <c r="AB124" s="278"/>
      <c r="AC124" s="283"/>
      <c r="AD124" s="226"/>
      <c r="AE124" s="226"/>
      <c r="AF124" s="226">
        <f t="shared" si="73"/>
        <v>0</v>
      </c>
      <c r="AH124" s="275">
        <f t="shared" si="80"/>
        <v>45934</v>
      </c>
      <c r="AI124" s="277"/>
      <c r="AJ124" s="280"/>
      <c r="AK124" s="278"/>
      <c r="AL124" s="283"/>
      <c r="AM124" s="226"/>
      <c r="AN124" s="226"/>
      <c r="AO124" s="226">
        <f t="shared" si="74"/>
        <v>0</v>
      </c>
      <c r="AQ124" s="275">
        <f t="shared" si="81"/>
        <v>45934</v>
      </c>
      <c r="AR124" s="277"/>
      <c r="AS124" s="280"/>
      <c r="AT124" s="280"/>
      <c r="AU124" s="280"/>
      <c r="AV124" s="282"/>
      <c r="AW124" s="280"/>
      <c r="AX124" s="278"/>
      <c r="AY124" s="283"/>
      <c r="AZ124" s="226"/>
      <c r="BA124" s="226"/>
      <c r="BB124" s="226">
        <f t="shared" si="75"/>
        <v>0</v>
      </c>
      <c r="BD124" s="275">
        <f t="shared" si="82"/>
        <v>45934</v>
      </c>
      <c r="BE124" s="277"/>
      <c r="BF124" s="280"/>
      <c r="BG124" s="278"/>
      <c r="BH124" s="283"/>
      <c r="BI124" s="226"/>
      <c r="BJ124" s="226"/>
      <c r="BK124" s="226">
        <f t="shared" si="76"/>
        <v>0</v>
      </c>
      <c r="BM124" s="275">
        <f t="shared" si="83"/>
        <v>45934</v>
      </c>
      <c r="BN124" s="277"/>
      <c r="BO124" s="276"/>
      <c r="BP124" s="278"/>
      <c r="BQ124" s="283"/>
      <c r="BR124" s="226"/>
      <c r="BS124" s="226"/>
      <c r="BT124" s="226">
        <f t="shared" si="77"/>
        <v>0</v>
      </c>
      <c r="BV124" s="275">
        <f t="shared" si="84"/>
        <v>45934</v>
      </c>
      <c r="BW124" s="277"/>
      <c r="BX124" s="277"/>
      <c r="BY124" s="278"/>
      <c r="BZ124" s="283"/>
      <c r="CA124" s="226"/>
      <c r="CB124" s="226"/>
      <c r="CC124" s="226">
        <f t="shared" si="78"/>
        <v>0</v>
      </c>
    </row>
    <row r="125" spans="2:81" ht="15.75" x14ac:dyDescent="0.25">
      <c r="B125" s="275">
        <v>45935</v>
      </c>
      <c r="C125" s="277"/>
      <c r="D125" s="276"/>
      <c r="E125" s="276"/>
      <c r="F125" s="276"/>
      <c r="G125" s="278"/>
      <c r="H125" s="283"/>
      <c r="I125" s="226"/>
      <c r="J125" s="226"/>
      <c r="K125" s="226">
        <f t="shared" si="70"/>
        <v>0</v>
      </c>
      <c r="M125" s="275">
        <f t="shared" si="71"/>
        <v>45935</v>
      </c>
      <c r="N125" s="280"/>
      <c r="O125" s="280"/>
      <c r="P125" s="280"/>
      <c r="Q125" s="282"/>
      <c r="R125" s="282"/>
      <c r="S125" s="278"/>
      <c r="T125" s="283"/>
      <c r="U125" s="226"/>
      <c r="V125" s="226"/>
      <c r="W125" s="226">
        <f t="shared" si="72"/>
        <v>0</v>
      </c>
      <c r="Y125" s="275">
        <f t="shared" si="79"/>
        <v>45935</v>
      </c>
      <c r="Z125" s="277"/>
      <c r="AA125" s="277"/>
      <c r="AB125" s="278"/>
      <c r="AC125" s="283"/>
      <c r="AD125" s="226"/>
      <c r="AE125" s="226"/>
      <c r="AF125" s="226">
        <f t="shared" si="73"/>
        <v>0</v>
      </c>
      <c r="AH125" s="275">
        <f t="shared" si="80"/>
        <v>45935</v>
      </c>
      <c r="AI125" s="277"/>
      <c r="AJ125" s="280"/>
      <c r="AK125" s="278"/>
      <c r="AL125" s="283"/>
      <c r="AM125" s="226"/>
      <c r="AN125" s="226"/>
      <c r="AO125" s="226">
        <f t="shared" si="74"/>
        <v>0</v>
      </c>
      <c r="AQ125" s="275">
        <f t="shared" si="81"/>
        <v>45935</v>
      </c>
      <c r="AR125" s="277"/>
      <c r="AS125" s="280"/>
      <c r="AT125" s="280"/>
      <c r="AU125" s="280"/>
      <c r="AV125" s="282"/>
      <c r="AW125" s="280"/>
      <c r="AX125" s="278"/>
      <c r="AY125" s="283"/>
      <c r="AZ125" s="226"/>
      <c r="BA125" s="226"/>
      <c r="BB125" s="226">
        <f t="shared" si="75"/>
        <v>0</v>
      </c>
      <c r="BD125" s="275">
        <f t="shared" si="82"/>
        <v>45935</v>
      </c>
      <c r="BE125" s="277"/>
      <c r="BF125" s="280"/>
      <c r="BG125" s="278"/>
      <c r="BH125" s="283"/>
      <c r="BI125" s="226"/>
      <c r="BJ125" s="226"/>
      <c r="BK125" s="226">
        <f t="shared" si="76"/>
        <v>0</v>
      </c>
      <c r="BM125" s="275">
        <f t="shared" si="83"/>
        <v>45935</v>
      </c>
      <c r="BN125" s="277"/>
      <c r="BO125" s="276"/>
      <c r="BP125" s="278"/>
      <c r="BQ125" s="283"/>
      <c r="BR125" s="226"/>
      <c r="BS125" s="226"/>
      <c r="BT125" s="226">
        <f t="shared" si="77"/>
        <v>0</v>
      </c>
      <c r="BV125" s="275">
        <f t="shared" si="84"/>
        <v>45935</v>
      </c>
      <c r="BW125" s="277"/>
      <c r="BX125" s="277"/>
      <c r="BY125" s="278"/>
      <c r="BZ125" s="283"/>
      <c r="CA125" s="226"/>
      <c r="CB125" s="226"/>
      <c r="CC125" s="226">
        <f t="shared" si="78"/>
        <v>0</v>
      </c>
    </row>
    <row r="126" spans="2:81" ht="15.75" x14ac:dyDescent="0.25">
      <c r="B126" s="275">
        <v>45936</v>
      </c>
      <c r="C126" s="277"/>
      <c r="D126" s="276"/>
      <c r="E126" s="276"/>
      <c r="F126" s="276"/>
      <c r="G126" s="278"/>
      <c r="H126" s="283"/>
      <c r="I126" s="226"/>
      <c r="J126" s="226"/>
      <c r="K126" s="226">
        <f t="shared" si="70"/>
        <v>0</v>
      </c>
      <c r="M126" s="275">
        <f t="shared" si="71"/>
        <v>45936</v>
      </c>
      <c r="N126" s="280"/>
      <c r="O126" s="280"/>
      <c r="P126" s="280"/>
      <c r="Q126" s="282"/>
      <c r="R126" s="282"/>
      <c r="S126" s="278"/>
      <c r="T126" s="283"/>
      <c r="U126" s="226"/>
      <c r="V126" s="226"/>
      <c r="W126" s="226">
        <f t="shared" si="72"/>
        <v>0</v>
      </c>
      <c r="Y126" s="275">
        <f t="shared" si="79"/>
        <v>45936</v>
      </c>
      <c r="Z126" s="277"/>
      <c r="AA126" s="277"/>
      <c r="AB126" s="278"/>
      <c r="AC126" s="283"/>
      <c r="AD126" s="226"/>
      <c r="AE126" s="226"/>
      <c r="AF126" s="226">
        <f t="shared" si="73"/>
        <v>0</v>
      </c>
      <c r="AH126" s="275">
        <f t="shared" si="80"/>
        <v>45936</v>
      </c>
      <c r="AI126" s="277"/>
      <c r="AJ126" s="280"/>
      <c r="AK126" s="278"/>
      <c r="AL126" s="283"/>
      <c r="AM126" s="226"/>
      <c r="AN126" s="226"/>
      <c r="AO126" s="226">
        <f t="shared" si="74"/>
        <v>0</v>
      </c>
      <c r="AQ126" s="275">
        <f t="shared" si="81"/>
        <v>45936</v>
      </c>
      <c r="AR126" s="277"/>
      <c r="AS126" s="280"/>
      <c r="AT126" s="280"/>
      <c r="AU126" s="280"/>
      <c r="AV126" s="282"/>
      <c r="AW126" s="280"/>
      <c r="AX126" s="278"/>
      <c r="AY126" s="283"/>
      <c r="AZ126" s="226"/>
      <c r="BA126" s="226"/>
      <c r="BB126" s="226">
        <f t="shared" si="75"/>
        <v>0</v>
      </c>
      <c r="BD126" s="275">
        <f t="shared" si="82"/>
        <v>45936</v>
      </c>
      <c r="BE126" s="277"/>
      <c r="BF126" s="280"/>
      <c r="BG126" s="278"/>
      <c r="BH126" s="283"/>
      <c r="BI126" s="226"/>
      <c r="BJ126" s="226"/>
      <c r="BK126" s="226">
        <f t="shared" si="76"/>
        <v>0</v>
      </c>
      <c r="BM126" s="275">
        <f t="shared" si="83"/>
        <v>45936</v>
      </c>
      <c r="BN126" s="277"/>
      <c r="BO126" s="276"/>
      <c r="BP126" s="278"/>
      <c r="BQ126" s="283"/>
      <c r="BR126" s="226"/>
      <c r="BS126" s="226"/>
      <c r="BT126" s="226">
        <f t="shared" si="77"/>
        <v>0</v>
      </c>
      <c r="BV126" s="275">
        <f t="shared" si="84"/>
        <v>45936</v>
      </c>
      <c r="BW126" s="277"/>
      <c r="BX126" s="277"/>
      <c r="BY126" s="278"/>
      <c r="BZ126" s="283"/>
      <c r="CA126" s="226"/>
      <c r="CB126" s="226"/>
      <c r="CC126" s="226">
        <f t="shared" si="78"/>
        <v>0</v>
      </c>
    </row>
    <row r="127" spans="2:81" ht="15.75" x14ac:dyDescent="0.25">
      <c r="B127" s="275">
        <v>45937</v>
      </c>
      <c r="C127" s="277"/>
      <c r="D127" s="276"/>
      <c r="E127" s="276"/>
      <c r="F127" s="276"/>
      <c r="G127" s="278"/>
      <c r="H127" s="283"/>
      <c r="I127" s="226"/>
      <c r="J127" s="226"/>
      <c r="K127" s="226">
        <f t="shared" si="70"/>
        <v>0</v>
      </c>
      <c r="M127" s="275">
        <f t="shared" si="71"/>
        <v>45937</v>
      </c>
      <c r="N127" s="280"/>
      <c r="O127" s="280"/>
      <c r="P127" s="280"/>
      <c r="Q127" s="282"/>
      <c r="R127" s="282"/>
      <c r="S127" s="278"/>
      <c r="T127" s="283"/>
      <c r="U127" s="226"/>
      <c r="V127" s="226"/>
      <c r="W127" s="226">
        <f t="shared" si="72"/>
        <v>0</v>
      </c>
      <c r="Y127" s="275">
        <f t="shared" si="79"/>
        <v>45937</v>
      </c>
      <c r="Z127" s="277"/>
      <c r="AA127" s="277"/>
      <c r="AB127" s="278"/>
      <c r="AC127" s="283"/>
      <c r="AD127" s="226"/>
      <c r="AE127" s="226"/>
      <c r="AF127" s="226">
        <f t="shared" si="73"/>
        <v>0</v>
      </c>
      <c r="AH127" s="275">
        <f t="shared" si="80"/>
        <v>45937</v>
      </c>
      <c r="AI127" s="277"/>
      <c r="AJ127" s="280"/>
      <c r="AK127" s="278"/>
      <c r="AL127" s="283"/>
      <c r="AM127" s="226"/>
      <c r="AN127" s="226"/>
      <c r="AO127" s="226">
        <f t="shared" si="74"/>
        <v>0</v>
      </c>
      <c r="AQ127" s="275">
        <f t="shared" si="81"/>
        <v>45937</v>
      </c>
      <c r="AR127" s="277"/>
      <c r="AS127" s="280"/>
      <c r="AT127" s="280"/>
      <c r="AU127" s="280"/>
      <c r="AV127" s="282"/>
      <c r="AW127" s="280"/>
      <c r="AX127" s="278"/>
      <c r="AY127" s="283"/>
      <c r="AZ127" s="226"/>
      <c r="BA127" s="226"/>
      <c r="BB127" s="226">
        <f t="shared" si="75"/>
        <v>0</v>
      </c>
      <c r="BD127" s="275">
        <f t="shared" si="82"/>
        <v>45937</v>
      </c>
      <c r="BE127" s="277"/>
      <c r="BF127" s="280"/>
      <c r="BG127" s="278"/>
      <c r="BH127" s="283"/>
      <c r="BI127" s="226"/>
      <c r="BJ127" s="226"/>
      <c r="BK127" s="226">
        <f t="shared" si="76"/>
        <v>0</v>
      </c>
      <c r="BM127" s="275">
        <f t="shared" si="83"/>
        <v>45937</v>
      </c>
      <c r="BN127" s="277"/>
      <c r="BO127" s="276"/>
      <c r="BP127" s="278"/>
      <c r="BQ127" s="283"/>
      <c r="BR127" s="226"/>
      <c r="BS127" s="226"/>
      <c r="BT127" s="226">
        <f t="shared" si="77"/>
        <v>0</v>
      </c>
      <c r="BV127" s="275">
        <f t="shared" si="84"/>
        <v>45937</v>
      </c>
      <c r="BW127" s="277"/>
      <c r="BX127" s="277"/>
      <c r="BY127" s="278"/>
      <c r="BZ127" s="283"/>
      <c r="CA127" s="226"/>
      <c r="CB127" s="226"/>
      <c r="CC127" s="226">
        <f t="shared" si="78"/>
        <v>0</v>
      </c>
    </row>
    <row r="128" spans="2:81" ht="15.75" x14ac:dyDescent="0.25">
      <c r="B128" s="275">
        <v>45938</v>
      </c>
      <c r="C128" s="277"/>
      <c r="D128" s="276"/>
      <c r="E128" s="276"/>
      <c r="F128" s="276"/>
      <c r="G128" s="278"/>
      <c r="H128" s="283"/>
      <c r="I128" s="226"/>
      <c r="J128" s="226"/>
      <c r="K128" s="226">
        <f t="shared" si="70"/>
        <v>0</v>
      </c>
      <c r="M128" s="275">
        <f t="shared" si="71"/>
        <v>45938</v>
      </c>
      <c r="N128" s="280"/>
      <c r="O128" s="280"/>
      <c r="P128" s="280"/>
      <c r="Q128" s="282"/>
      <c r="R128" s="282"/>
      <c r="S128" s="278"/>
      <c r="T128" s="283"/>
      <c r="U128" s="226"/>
      <c r="V128" s="226"/>
      <c r="W128" s="226">
        <f t="shared" si="72"/>
        <v>0</v>
      </c>
      <c r="Y128" s="275">
        <f t="shared" si="79"/>
        <v>45938</v>
      </c>
      <c r="Z128" s="277"/>
      <c r="AA128" s="277"/>
      <c r="AB128" s="278"/>
      <c r="AC128" s="283"/>
      <c r="AD128" s="226"/>
      <c r="AE128" s="226"/>
      <c r="AF128" s="226">
        <f t="shared" si="73"/>
        <v>0</v>
      </c>
      <c r="AH128" s="275">
        <f t="shared" si="80"/>
        <v>45938</v>
      </c>
      <c r="AI128" s="277"/>
      <c r="AJ128" s="280"/>
      <c r="AK128" s="278"/>
      <c r="AL128" s="283"/>
      <c r="AM128" s="226"/>
      <c r="AN128" s="226"/>
      <c r="AO128" s="226">
        <f t="shared" si="74"/>
        <v>0</v>
      </c>
      <c r="AQ128" s="275">
        <f t="shared" si="81"/>
        <v>45938</v>
      </c>
      <c r="AR128" s="277"/>
      <c r="AS128" s="280"/>
      <c r="AT128" s="280"/>
      <c r="AU128" s="280"/>
      <c r="AV128" s="282"/>
      <c r="AW128" s="280"/>
      <c r="AX128" s="278"/>
      <c r="AY128" s="283"/>
      <c r="AZ128" s="226"/>
      <c r="BA128" s="226"/>
      <c r="BB128" s="226">
        <f t="shared" si="75"/>
        <v>0</v>
      </c>
      <c r="BD128" s="275">
        <f t="shared" si="82"/>
        <v>45938</v>
      </c>
      <c r="BE128" s="277"/>
      <c r="BF128" s="280"/>
      <c r="BG128" s="278"/>
      <c r="BH128" s="283"/>
      <c r="BI128" s="226"/>
      <c r="BJ128" s="226"/>
      <c r="BK128" s="226">
        <f t="shared" si="76"/>
        <v>0</v>
      </c>
      <c r="BM128" s="275">
        <f t="shared" si="83"/>
        <v>45938</v>
      </c>
      <c r="BN128" s="277"/>
      <c r="BO128" s="276"/>
      <c r="BP128" s="278"/>
      <c r="BQ128" s="283"/>
      <c r="BR128" s="226"/>
      <c r="BS128" s="226"/>
      <c r="BT128" s="226">
        <f t="shared" si="77"/>
        <v>0</v>
      </c>
      <c r="BV128" s="275">
        <f t="shared" si="84"/>
        <v>45938</v>
      </c>
      <c r="BW128" s="277"/>
      <c r="BX128" s="277"/>
      <c r="BY128" s="278"/>
      <c r="BZ128" s="283"/>
      <c r="CA128" s="226"/>
      <c r="CB128" s="226"/>
      <c r="CC128" s="226">
        <f t="shared" si="78"/>
        <v>0</v>
      </c>
    </row>
    <row r="129" spans="2:81" ht="15.75" x14ac:dyDescent="0.25">
      <c r="B129" s="275">
        <v>45939</v>
      </c>
      <c r="C129" s="277"/>
      <c r="D129" s="276"/>
      <c r="E129" s="276"/>
      <c r="F129" s="276"/>
      <c r="G129" s="278"/>
      <c r="H129" s="283"/>
      <c r="I129" s="226"/>
      <c r="J129" s="226"/>
      <c r="K129" s="226">
        <f t="shared" si="70"/>
        <v>0</v>
      </c>
      <c r="M129" s="275">
        <f t="shared" si="71"/>
        <v>45939</v>
      </c>
      <c r="N129" s="280"/>
      <c r="O129" s="280"/>
      <c r="P129" s="280"/>
      <c r="Q129" s="282"/>
      <c r="R129" s="282"/>
      <c r="S129" s="278"/>
      <c r="T129" s="283"/>
      <c r="U129" s="226"/>
      <c r="V129" s="226"/>
      <c r="W129" s="226">
        <f t="shared" si="72"/>
        <v>0</v>
      </c>
      <c r="Y129" s="275">
        <f t="shared" si="79"/>
        <v>45939</v>
      </c>
      <c r="Z129" s="277"/>
      <c r="AA129" s="277"/>
      <c r="AB129" s="278"/>
      <c r="AC129" s="283"/>
      <c r="AD129" s="226"/>
      <c r="AE129" s="226"/>
      <c r="AF129" s="226">
        <f t="shared" si="73"/>
        <v>0</v>
      </c>
      <c r="AH129" s="275">
        <f t="shared" si="80"/>
        <v>45939</v>
      </c>
      <c r="AI129" s="277"/>
      <c r="AJ129" s="280"/>
      <c r="AK129" s="278"/>
      <c r="AL129" s="283"/>
      <c r="AM129" s="226"/>
      <c r="AN129" s="226"/>
      <c r="AO129" s="226">
        <f t="shared" si="74"/>
        <v>0</v>
      </c>
      <c r="AQ129" s="275">
        <f t="shared" si="81"/>
        <v>45939</v>
      </c>
      <c r="AR129" s="277"/>
      <c r="AS129" s="280"/>
      <c r="AT129" s="280"/>
      <c r="AU129" s="280"/>
      <c r="AV129" s="282"/>
      <c r="AW129" s="280"/>
      <c r="AX129" s="278"/>
      <c r="AY129" s="283"/>
      <c r="AZ129" s="226"/>
      <c r="BA129" s="226"/>
      <c r="BB129" s="226">
        <f t="shared" si="75"/>
        <v>0</v>
      </c>
      <c r="BD129" s="275">
        <f t="shared" si="82"/>
        <v>45939</v>
      </c>
      <c r="BE129" s="277"/>
      <c r="BF129" s="280"/>
      <c r="BG129" s="278"/>
      <c r="BH129" s="283"/>
      <c r="BI129" s="226"/>
      <c r="BJ129" s="226"/>
      <c r="BK129" s="226">
        <f t="shared" si="76"/>
        <v>0</v>
      </c>
      <c r="BM129" s="275">
        <f t="shared" si="83"/>
        <v>45939</v>
      </c>
      <c r="BN129" s="277"/>
      <c r="BO129" s="276"/>
      <c r="BP129" s="278"/>
      <c r="BQ129" s="283"/>
      <c r="BR129" s="226"/>
      <c r="BS129" s="226"/>
      <c r="BT129" s="226">
        <f t="shared" si="77"/>
        <v>0</v>
      </c>
      <c r="BV129" s="275">
        <f t="shared" si="84"/>
        <v>45939</v>
      </c>
      <c r="BW129" s="277"/>
      <c r="BX129" s="277"/>
      <c r="BY129" s="278"/>
      <c r="BZ129" s="283"/>
      <c r="CA129" s="226"/>
      <c r="CB129" s="226"/>
      <c r="CC129" s="226">
        <f t="shared" si="78"/>
        <v>0</v>
      </c>
    </row>
    <row r="130" spans="2:81" ht="15.75" x14ac:dyDescent="0.25">
      <c r="B130" s="275">
        <v>45940</v>
      </c>
      <c r="C130" s="277"/>
      <c r="D130" s="276"/>
      <c r="E130" s="276"/>
      <c r="F130" s="276"/>
      <c r="G130" s="278"/>
      <c r="H130" s="283"/>
      <c r="I130" s="226"/>
      <c r="J130" s="226"/>
      <c r="K130" s="226">
        <f t="shared" si="70"/>
        <v>0</v>
      </c>
      <c r="M130" s="275">
        <f t="shared" si="71"/>
        <v>45940</v>
      </c>
      <c r="N130" s="280"/>
      <c r="O130" s="280"/>
      <c r="P130" s="280"/>
      <c r="Q130" s="282"/>
      <c r="R130" s="282"/>
      <c r="S130" s="278"/>
      <c r="T130" s="283"/>
      <c r="U130" s="226"/>
      <c r="V130" s="226"/>
      <c r="W130" s="226">
        <f t="shared" si="72"/>
        <v>0</v>
      </c>
      <c r="Y130" s="275">
        <f t="shared" si="79"/>
        <v>45940</v>
      </c>
      <c r="Z130" s="277"/>
      <c r="AA130" s="277"/>
      <c r="AB130" s="278"/>
      <c r="AC130" s="283"/>
      <c r="AD130" s="226"/>
      <c r="AE130" s="226"/>
      <c r="AF130" s="226">
        <f t="shared" si="73"/>
        <v>0</v>
      </c>
      <c r="AH130" s="275">
        <f t="shared" si="80"/>
        <v>45940</v>
      </c>
      <c r="AI130" s="277"/>
      <c r="AJ130" s="280"/>
      <c r="AK130" s="278"/>
      <c r="AL130" s="283"/>
      <c r="AM130" s="226"/>
      <c r="AN130" s="226"/>
      <c r="AO130" s="226">
        <f t="shared" si="74"/>
        <v>0</v>
      </c>
      <c r="AQ130" s="275">
        <f t="shared" si="81"/>
        <v>45940</v>
      </c>
      <c r="AR130" s="277"/>
      <c r="AS130" s="280"/>
      <c r="AT130" s="280"/>
      <c r="AU130" s="280"/>
      <c r="AV130" s="282"/>
      <c r="AW130" s="280"/>
      <c r="AX130" s="278"/>
      <c r="AY130" s="283"/>
      <c r="AZ130" s="226"/>
      <c r="BA130" s="226"/>
      <c r="BB130" s="226">
        <f t="shared" si="75"/>
        <v>0</v>
      </c>
      <c r="BD130" s="275">
        <f t="shared" si="82"/>
        <v>45940</v>
      </c>
      <c r="BE130" s="277"/>
      <c r="BF130" s="280"/>
      <c r="BG130" s="278"/>
      <c r="BH130" s="283"/>
      <c r="BI130" s="226"/>
      <c r="BJ130" s="226"/>
      <c r="BK130" s="226">
        <f t="shared" si="76"/>
        <v>0</v>
      </c>
      <c r="BM130" s="275">
        <f t="shared" si="83"/>
        <v>45940</v>
      </c>
      <c r="BN130" s="277"/>
      <c r="BO130" s="276"/>
      <c r="BP130" s="278"/>
      <c r="BQ130" s="283"/>
      <c r="BR130" s="226"/>
      <c r="BS130" s="226"/>
      <c r="BT130" s="226">
        <f t="shared" si="77"/>
        <v>0</v>
      </c>
      <c r="BV130" s="275">
        <f t="shared" si="84"/>
        <v>45940</v>
      </c>
      <c r="BW130" s="277"/>
      <c r="BX130" s="277"/>
      <c r="BY130" s="278"/>
      <c r="BZ130" s="283"/>
      <c r="CA130" s="226"/>
      <c r="CB130" s="226"/>
      <c r="CC130" s="226">
        <f t="shared" si="78"/>
        <v>0</v>
      </c>
    </row>
    <row r="131" spans="2:81" ht="15.75" x14ac:dyDescent="0.25">
      <c r="B131" s="275">
        <v>45941</v>
      </c>
      <c r="C131" s="277"/>
      <c r="D131" s="276"/>
      <c r="E131" s="276"/>
      <c r="F131" s="276"/>
      <c r="G131" s="278"/>
      <c r="H131" s="283"/>
      <c r="I131" s="226"/>
      <c r="J131" s="226"/>
      <c r="K131" s="226">
        <f t="shared" si="70"/>
        <v>0</v>
      </c>
      <c r="M131" s="275">
        <f t="shared" si="71"/>
        <v>45941</v>
      </c>
      <c r="N131" s="280"/>
      <c r="O131" s="280"/>
      <c r="P131" s="280"/>
      <c r="Q131" s="282"/>
      <c r="R131" s="282"/>
      <c r="S131" s="278"/>
      <c r="T131" s="283"/>
      <c r="U131" s="226"/>
      <c r="V131" s="226"/>
      <c r="W131" s="226">
        <f t="shared" si="72"/>
        <v>0</v>
      </c>
      <c r="Y131" s="275">
        <f t="shared" si="79"/>
        <v>45941</v>
      </c>
      <c r="Z131" s="277"/>
      <c r="AA131" s="277"/>
      <c r="AB131" s="278"/>
      <c r="AC131" s="283"/>
      <c r="AD131" s="226"/>
      <c r="AE131" s="226"/>
      <c r="AF131" s="226">
        <f t="shared" si="73"/>
        <v>0</v>
      </c>
      <c r="AH131" s="275">
        <f t="shared" si="80"/>
        <v>45941</v>
      </c>
      <c r="AI131" s="277"/>
      <c r="AJ131" s="280"/>
      <c r="AK131" s="278"/>
      <c r="AL131" s="283"/>
      <c r="AM131" s="226"/>
      <c r="AN131" s="226"/>
      <c r="AO131" s="226">
        <f t="shared" si="74"/>
        <v>0</v>
      </c>
      <c r="AQ131" s="275">
        <f t="shared" si="81"/>
        <v>45941</v>
      </c>
      <c r="AR131" s="277"/>
      <c r="AS131" s="280"/>
      <c r="AT131" s="280"/>
      <c r="AU131" s="280"/>
      <c r="AV131" s="282"/>
      <c r="AW131" s="280"/>
      <c r="AX131" s="278"/>
      <c r="AY131" s="283"/>
      <c r="AZ131" s="226"/>
      <c r="BA131" s="226"/>
      <c r="BB131" s="226">
        <f t="shared" si="75"/>
        <v>0</v>
      </c>
      <c r="BD131" s="275">
        <f t="shared" si="82"/>
        <v>45941</v>
      </c>
      <c r="BE131" s="277"/>
      <c r="BF131" s="280"/>
      <c r="BG131" s="278"/>
      <c r="BH131" s="283"/>
      <c r="BI131" s="226"/>
      <c r="BJ131" s="226"/>
      <c r="BK131" s="226">
        <f t="shared" si="76"/>
        <v>0</v>
      </c>
      <c r="BM131" s="275">
        <f t="shared" si="83"/>
        <v>45941</v>
      </c>
      <c r="BN131" s="277"/>
      <c r="BO131" s="276"/>
      <c r="BP131" s="278"/>
      <c r="BQ131" s="283"/>
      <c r="BR131" s="226"/>
      <c r="BS131" s="226"/>
      <c r="BT131" s="226">
        <f t="shared" si="77"/>
        <v>0</v>
      </c>
      <c r="BV131" s="275">
        <f t="shared" si="84"/>
        <v>45941</v>
      </c>
      <c r="BW131" s="277"/>
      <c r="BX131" s="277"/>
      <c r="BY131" s="278"/>
      <c r="BZ131" s="283"/>
      <c r="CA131" s="226"/>
      <c r="CB131" s="226"/>
      <c r="CC131" s="226">
        <f t="shared" si="78"/>
        <v>0</v>
      </c>
    </row>
    <row r="132" spans="2:81" ht="15.75" x14ac:dyDescent="0.25">
      <c r="B132" s="275">
        <v>45942</v>
      </c>
      <c r="C132" s="277"/>
      <c r="D132" s="276"/>
      <c r="E132" s="276"/>
      <c r="F132" s="276"/>
      <c r="G132" s="278"/>
      <c r="H132" s="283"/>
      <c r="I132" s="226"/>
      <c r="J132" s="226"/>
      <c r="K132" s="226">
        <f t="shared" si="70"/>
        <v>0</v>
      </c>
      <c r="M132" s="275">
        <f t="shared" si="71"/>
        <v>45942</v>
      </c>
      <c r="N132" s="280"/>
      <c r="O132" s="280"/>
      <c r="P132" s="280"/>
      <c r="Q132" s="282"/>
      <c r="R132" s="282"/>
      <c r="S132" s="278"/>
      <c r="T132" s="283"/>
      <c r="U132" s="226"/>
      <c r="V132" s="226"/>
      <c r="W132" s="226">
        <f t="shared" si="72"/>
        <v>0</v>
      </c>
      <c r="Y132" s="275">
        <f t="shared" si="79"/>
        <v>45942</v>
      </c>
      <c r="Z132" s="277"/>
      <c r="AA132" s="277"/>
      <c r="AB132" s="278"/>
      <c r="AC132" s="283"/>
      <c r="AD132" s="226"/>
      <c r="AE132" s="226"/>
      <c r="AF132" s="226">
        <f t="shared" si="73"/>
        <v>0</v>
      </c>
      <c r="AH132" s="275">
        <f t="shared" si="80"/>
        <v>45942</v>
      </c>
      <c r="AI132" s="277"/>
      <c r="AJ132" s="280"/>
      <c r="AK132" s="278"/>
      <c r="AL132" s="283"/>
      <c r="AM132" s="226"/>
      <c r="AN132" s="226"/>
      <c r="AO132" s="226">
        <f t="shared" si="74"/>
        <v>0</v>
      </c>
      <c r="AQ132" s="275">
        <f t="shared" si="81"/>
        <v>45942</v>
      </c>
      <c r="AR132" s="277"/>
      <c r="AS132" s="280"/>
      <c r="AT132" s="280"/>
      <c r="AU132" s="280"/>
      <c r="AV132" s="282"/>
      <c r="AW132" s="280"/>
      <c r="AX132" s="278"/>
      <c r="AY132" s="283"/>
      <c r="AZ132" s="226"/>
      <c r="BA132" s="226"/>
      <c r="BB132" s="226">
        <f t="shared" si="75"/>
        <v>0</v>
      </c>
      <c r="BD132" s="275">
        <f t="shared" si="82"/>
        <v>45942</v>
      </c>
      <c r="BE132" s="277"/>
      <c r="BF132" s="280"/>
      <c r="BG132" s="278"/>
      <c r="BH132" s="283"/>
      <c r="BI132" s="226"/>
      <c r="BJ132" s="226"/>
      <c r="BK132" s="226">
        <f t="shared" si="76"/>
        <v>0</v>
      </c>
      <c r="BM132" s="275">
        <f t="shared" si="83"/>
        <v>45942</v>
      </c>
      <c r="BN132" s="277"/>
      <c r="BO132" s="276"/>
      <c r="BP132" s="278"/>
      <c r="BQ132" s="283"/>
      <c r="BR132" s="226"/>
      <c r="BS132" s="226"/>
      <c r="BT132" s="226">
        <f t="shared" si="77"/>
        <v>0</v>
      </c>
      <c r="BV132" s="275">
        <f t="shared" si="84"/>
        <v>45942</v>
      </c>
      <c r="BW132" s="277"/>
      <c r="BX132" s="277"/>
      <c r="BY132" s="278"/>
      <c r="BZ132" s="283"/>
      <c r="CA132" s="226"/>
      <c r="CB132" s="226"/>
      <c r="CC132" s="226">
        <f t="shared" si="78"/>
        <v>0</v>
      </c>
    </row>
    <row r="133" spans="2:81" ht="15.75" x14ac:dyDescent="0.25">
      <c r="B133" s="275">
        <v>45943</v>
      </c>
      <c r="C133" s="277"/>
      <c r="D133" s="276"/>
      <c r="E133" s="276"/>
      <c r="F133" s="276"/>
      <c r="G133" s="278"/>
      <c r="H133" s="283"/>
      <c r="I133" s="226"/>
      <c r="J133" s="226"/>
      <c r="K133" s="226">
        <f t="shared" si="70"/>
        <v>0</v>
      </c>
      <c r="M133" s="275">
        <f t="shared" si="71"/>
        <v>45943</v>
      </c>
      <c r="N133" s="280"/>
      <c r="O133" s="280"/>
      <c r="P133" s="280"/>
      <c r="Q133" s="282"/>
      <c r="R133" s="282"/>
      <c r="S133" s="278"/>
      <c r="T133" s="283"/>
      <c r="U133" s="226"/>
      <c r="V133" s="226"/>
      <c r="W133" s="226">
        <f t="shared" si="72"/>
        <v>0</v>
      </c>
      <c r="Y133" s="275">
        <f t="shared" si="79"/>
        <v>45943</v>
      </c>
      <c r="Z133" s="277"/>
      <c r="AA133" s="277"/>
      <c r="AB133" s="278"/>
      <c r="AC133" s="283"/>
      <c r="AD133" s="226"/>
      <c r="AE133" s="226"/>
      <c r="AF133" s="226">
        <f t="shared" si="73"/>
        <v>0</v>
      </c>
      <c r="AH133" s="275">
        <f t="shared" si="80"/>
        <v>45943</v>
      </c>
      <c r="AI133" s="277"/>
      <c r="AJ133" s="280"/>
      <c r="AK133" s="278"/>
      <c r="AL133" s="283"/>
      <c r="AM133" s="226"/>
      <c r="AN133" s="226"/>
      <c r="AO133" s="226">
        <f t="shared" si="74"/>
        <v>0</v>
      </c>
      <c r="AQ133" s="275">
        <f t="shared" si="81"/>
        <v>45943</v>
      </c>
      <c r="AR133" s="277"/>
      <c r="AS133" s="280"/>
      <c r="AT133" s="280"/>
      <c r="AU133" s="280"/>
      <c r="AV133" s="282"/>
      <c r="AW133" s="280"/>
      <c r="AX133" s="278"/>
      <c r="AY133" s="283"/>
      <c r="AZ133" s="226"/>
      <c r="BA133" s="226"/>
      <c r="BB133" s="226">
        <f t="shared" si="75"/>
        <v>0</v>
      </c>
      <c r="BD133" s="275">
        <f t="shared" si="82"/>
        <v>45943</v>
      </c>
      <c r="BE133" s="277"/>
      <c r="BF133" s="280"/>
      <c r="BG133" s="278"/>
      <c r="BH133" s="283"/>
      <c r="BI133" s="226"/>
      <c r="BJ133" s="226"/>
      <c r="BK133" s="226">
        <f t="shared" si="76"/>
        <v>0</v>
      </c>
      <c r="BM133" s="275">
        <f t="shared" si="83"/>
        <v>45943</v>
      </c>
      <c r="BN133" s="277"/>
      <c r="BO133" s="276"/>
      <c r="BP133" s="278"/>
      <c r="BQ133" s="283"/>
      <c r="BR133" s="226"/>
      <c r="BS133" s="226"/>
      <c r="BT133" s="226">
        <f t="shared" si="77"/>
        <v>0</v>
      </c>
      <c r="BV133" s="275">
        <f t="shared" si="84"/>
        <v>45943</v>
      </c>
      <c r="BW133" s="277"/>
      <c r="BX133" s="277"/>
      <c r="BY133" s="278"/>
      <c r="BZ133" s="283"/>
      <c r="CA133" s="226"/>
      <c r="CB133" s="226"/>
      <c r="CC133" s="226">
        <f t="shared" si="78"/>
        <v>0</v>
      </c>
    </row>
    <row r="134" spans="2:81" ht="15.75" x14ac:dyDescent="0.25">
      <c r="B134" s="275">
        <v>45944</v>
      </c>
      <c r="C134" s="277"/>
      <c r="D134" s="276"/>
      <c r="E134" s="276"/>
      <c r="F134" s="276"/>
      <c r="G134" s="278"/>
      <c r="H134" s="283"/>
      <c r="I134" s="226"/>
      <c r="J134" s="226"/>
      <c r="K134" s="226">
        <f t="shared" si="70"/>
        <v>0</v>
      </c>
      <c r="M134" s="275">
        <f t="shared" si="71"/>
        <v>45944</v>
      </c>
      <c r="N134" s="280"/>
      <c r="O134" s="280"/>
      <c r="P134" s="280"/>
      <c r="Q134" s="282"/>
      <c r="R134" s="282"/>
      <c r="S134" s="278"/>
      <c r="T134" s="283"/>
      <c r="U134" s="226"/>
      <c r="V134" s="226"/>
      <c r="W134" s="226">
        <f t="shared" si="72"/>
        <v>0</v>
      </c>
      <c r="Y134" s="275">
        <f t="shared" si="79"/>
        <v>45944</v>
      </c>
      <c r="Z134" s="277"/>
      <c r="AA134" s="277"/>
      <c r="AB134" s="278"/>
      <c r="AC134" s="283"/>
      <c r="AD134" s="226"/>
      <c r="AE134" s="226"/>
      <c r="AF134" s="226">
        <f t="shared" si="73"/>
        <v>0</v>
      </c>
      <c r="AH134" s="275">
        <f t="shared" si="80"/>
        <v>45944</v>
      </c>
      <c r="AI134" s="277"/>
      <c r="AJ134" s="280"/>
      <c r="AK134" s="278"/>
      <c r="AL134" s="283"/>
      <c r="AM134" s="226"/>
      <c r="AN134" s="226"/>
      <c r="AO134" s="226">
        <f t="shared" si="74"/>
        <v>0</v>
      </c>
      <c r="AQ134" s="275">
        <f t="shared" si="81"/>
        <v>45944</v>
      </c>
      <c r="AR134" s="277"/>
      <c r="AS134" s="280"/>
      <c r="AT134" s="280"/>
      <c r="AU134" s="280"/>
      <c r="AV134" s="282"/>
      <c r="AW134" s="280"/>
      <c r="AX134" s="278"/>
      <c r="AY134" s="283"/>
      <c r="AZ134" s="226"/>
      <c r="BA134" s="226"/>
      <c r="BB134" s="226">
        <f t="shared" si="75"/>
        <v>0</v>
      </c>
      <c r="BD134" s="275">
        <f t="shared" si="82"/>
        <v>45944</v>
      </c>
      <c r="BE134" s="277"/>
      <c r="BF134" s="280"/>
      <c r="BG134" s="278"/>
      <c r="BH134" s="283"/>
      <c r="BI134" s="226"/>
      <c r="BJ134" s="226"/>
      <c r="BK134" s="226">
        <f t="shared" si="76"/>
        <v>0</v>
      </c>
      <c r="BM134" s="275">
        <f t="shared" si="83"/>
        <v>45944</v>
      </c>
      <c r="BN134" s="277"/>
      <c r="BO134" s="276"/>
      <c r="BP134" s="278"/>
      <c r="BQ134" s="283"/>
      <c r="BR134" s="226"/>
      <c r="BS134" s="226"/>
      <c r="BT134" s="226">
        <f t="shared" si="77"/>
        <v>0</v>
      </c>
      <c r="BV134" s="275">
        <f t="shared" si="84"/>
        <v>45944</v>
      </c>
      <c r="BW134" s="277"/>
      <c r="BX134" s="277"/>
      <c r="BY134" s="278"/>
      <c r="BZ134" s="283"/>
      <c r="CA134" s="226"/>
      <c r="CB134" s="226"/>
      <c r="CC134" s="226">
        <f t="shared" si="78"/>
        <v>0</v>
      </c>
    </row>
    <row r="135" spans="2:81" ht="15.75" x14ac:dyDescent="0.25">
      <c r="B135" s="275">
        <v>45945</v>
      </c>
      <c r="C135" s="277"/>
      <c r="D135" s="276"/>
      <c r="E135" s="276"/>
      <c r="F135" s="276"/>
      <c r="G135" s="278"/>
      <c r="H135" s="283"/>
      <c r="I135" s="226"/>
      <c r="J135" s="226"/>
      <c r="K135" s="226">
        <f t="shared" si="70"/>
        <v>0</v>
      </c>
      <c r="M135" s="275">
        <f t="shared" si="71"/>
        <v>45945</v>
      </c>
      <c r="N135" s="280"/>
      <c r="O135" s="280"/>
      <c r="P135" s="280"/>
      <c r="Q135" s="282"/>
      <c r="R135" s="282"/>
      <c r="S135" s="278"/>
      <c r="T135" s="283"/>
      <c r="U135" s="226"/>
      <c r="V135" s="226"/>
      <c r="W135" s="226">
        <f t="shared" si="72"/>
        <v>0</v>
      </c>
      <c r="Y135" s="275">
        <f t="shared" si="79"/>
        <v>45945</v>
      </c>
      <c r="Z135" s="277"/>
      <c r="AA135" s="277"/>
      <c r="AB135" s="278"/>
      <c r="AC135" s="283"/>
      <c r="AD135" s="226"/>
      <c r="AE135" s="226"/>
      <c r="AF135" s="226">
        <f t="shared" si="73"/>
        <v>0</v>
      </c>
      <c r="AH135" s="275">
        <f t="shared" si="80"/>
        <v>45945</v>
      </c>
      <c r="AI135" s="277"/>
      <c r="AJ135" s="280"/>
      <c r="AK135" s="278"/>
      <c r="AL135" s="283"/>
      <c r="AM135" s="226"/>
      <c r="AN135" s="226"/>
      <c r="AO135" s="226">
        <f t="shared" si="74"/>
        <v>0</v>
      </c>
      <c r="AQ135" s="275">
        <f t="shared" si="81"/>
        <v>45945</v>
      </c>
      <c r="AR135" s="277"/>
      <c r="AS135" s="280"/>
      <c r="AT135" s="280"/>
      <c r="AU135" s="280"/>
      <c r="AV135" s="282"/>
      <c r="AW135" s="280"/>
      <c r="AX135" s="278"/>
      <c r="AY135" s="283"/>
      <c r="AZ135" s="226"/>
      <c r="BA135" s="226"/>
      <c r="BB135" s="226">
        <f t="shared" si="75"/>
        <v>0</v>
      </c>
      <c r="BD135" s="275">
        <f t="shared" si="82"/>
        <v>45945</v>
      </c>
      <c r="BE135" s="277"/>
      <c r="BF135" s="280"/>
      <c r="BG135" s="278"/>
      <c r="BH135" s="283"/>
      <c r="BI135" s="226"/>
      <c r="BJ135" s="226"/>
      <c r="BK135" s="226">
        <f t="shared" si="76"/>
        <v>0</v>
      </c>
      <c r="BM135" s="275">
        <f t="shared" si="83"/>
        <v>45945</v>
      </c>
      <c r="BN135" s="277"/>
      <c r="BO135" s="276"/>
      <c r="BP135" s="278"/>
      <c r="BQ135" s="283"/>
      <c r="BR135" s="226"/>
      <c r="BS135" s="226"/>
      <c r="BT135" s="226">
        <f t="shared" si="77"/>
        <v>0</v>
      </c>
      <c r="BV135" s="275">
        <f t="shared" si="84"/>
        <v>45945</v>
      </c>
      <c r="BW135" s="277"/>
      <c r="BX135" s="277"/>
      <c r="BY135" s="278"/>
      <c r="BZ135" s="283"/>
      <c r="CA135" s="226"/>
      <c r="CB135" s="226"/>
      <c r="CC135" s="226">
        <f t="shared" si="78"/>
        <v>0</v>
      </c>
    </row>
    <row r="136" spans="2:81" ht="15.75" x14ac:dyDescent="0.25">
      <c r="B136" s="275">
        <v>45946</v>
      </c>
      <c r="C136" s="277"/>
      <c r="D136" s="276"/>
      <c r="E136" s="276"/>
      <c r="F136" s="276"/>
      <c r="G136" s="278"/>
      <c r="H136" s="283"/>
      <c r="I136" s="226"/>
      <c r="J136" s="226"/>
      <c r="K136" s="226">
        <f t="shared" si="70"/>
        <v>0</v>
      </c>
      <c r="M136" s="275">
        <f t="shared" si="71"/>
        <v>45946</v>
      </c>
      <c r="N136" s="280"/>
      <c r="O136" s="280"/>
      <c r="P136" s="280"/>
      <c r="Q136" s="282"/>
      <c r="R136" s="282"/>
      <c r="S136" s="278"/>
      <c r="T136" s="283"/>
      <c r="U136" s="226"/>
      <c r="V136" s="226"/>
      <c r="W136" s="226">
        <f t="shared" si="72"/>
        <v>0</v>
      </c>
      <c r="Y136" s="275">
        <f t="shared" si="79"/>
        <v>45946</v>
      </c>
      <c r="Z136" s="277"/>
      <c r="AA136" s="277"/>
      <c r="AB136" s="278"/>
      <c r="AC136" s="283"/>
      <c r="AD136" s="226"/>
      <c r="AE136" s="226"/>
      <c r="AF136" s="226">
        <f t="shared" si="73"/>
        <v>0</v>
      </c>
      <c r="AH136" s="275">
        <f t="shared" si="80"/>
        <v>45946</v>
      </c>
      <c r="AI136" s="277"/>
      <c r="AJ136" s="280"/>
      <c r="AK136" s="278"/>
      <c r="AL136" s="283"/>
      <c r="AM136" s="226"/>
      <c r="AN136" s="226"/>
      <c r="AO136" s="226">
        <f t="shared" si="74"/>
        <v>0</v>
      </c>
      <c r="AQ136" s="275">
        <f t="shared" si="81"/>
        <v>45946</v>
      </c>
      <c r="AR136" s="277"/>
      <c r="AS136" s="280"/>
      <c r="AT136" s="280"/>
      <c r="AU136" s="280"/>
      <c r="AV136" s="282"/>
      <c r="AW136" s="280"/>
      <c r="AX136" s="278"/>
      <c r="AY136" s="283"/>
      <c r="AZ136" s="226"/>
      <c r="BA136" s="226"/>
      <c r="BB136" s="226">
        <f t="shared" si="75"/>
        <v>0</v>
      </c>
      <c r="BD136" s="275">
        <f t="shared" si="82"/>
        <v>45946</v>
      </c>
      <c r="BE136" s="277"/>
      <c r="BF136" s="280"/>
      <c r="BG136" s="278"/>
      <c r="BH136" s="283"/>
      <c r="BI136" s="226"/>
      <c r="BJ136" s="226"/>
      <c r="BK136" s="226">
        <f t="shared" si="76"/>
        <v>0</v>
      </c>
      <c r="BM136" s="275">
        <f t="shared" si="83"/>
        <v>45946</v>
      </c>
      <c r="BN136" s="277"/>
      <c r="BO136" s="276"/>
      <c r="BP136" s="278"/>
      <c r="BQ136" s="283"/>
      <c r="BR136" s="226"/>
      <c r="BS136" s="226"/>
      <c r="BT136" s="226">
        <f t="shared" si="77"/>
        <v>0</v>
      </c>
      <c r="BV136" s="275">
        <f t="shared" si="84"/>
        <v>45946</v>
      </c>
      <c r="BW136" s="277"/>
      <c r="BX136" s="277"/>
      <c r="BY136" s="278"/>
      <c r="BZ136" s="283"/>
      <c r="CA136" s="226"/>
      <c r="CB136" s="226"/>
      <c r="CC136" s="226">
        <f t="shared" si="78"/>
        <v>0</v>
      </c>
    </row>
    <row r="137" spans="2:81" ht="15.75" x14ac:dyDescent="0.25">
      <c r="B137" s="275">
        <v>45947</v>
      </c>
      <c r="C137" s="277"/>
      <c r="D137" s="276"/>
      <c r="E137" s="276"/>
      <c r="F137" s="276"/>
      <c r="G137" s="278"/>
      <c r="H137" s="283"/>
      <c r="I137" s="226"/>
      <c r="J137" s="226"/>
      <c r="K137" s="226">
        <f t="shared" si="70"/>
        <v>0</v>
      </c>
      <c r="M137" s="275">
        <f t="shared" si="71"/>
        <v>45947</v>
      </c>
      <c r="N137" s="280"/>
      <c r="O137" s="280"/>
      <c r="P137" s="280"/>
      <c r="Q137" s="282"/>
      <c r="R137" s="282"/>
      <c r="S137" s="278"/>
      <c r="T137" s="283"/>
      <c r="U137" s="226"/>
      <c r="V137" s="226"/>
      <c r="W137" s="226">
        <f t="shared" si="72"/>
        <v>0</v>
      </c>
      <c r="Y137" s="275">
        <f t="shared" si="79"/>
        <v>45947</v>
      </c>
      <c r="Z137" s="277"/>
      <c r="AA137" s="277"/>
      <c r="AB137" s="278"/>
      <c r="AC137" s="283"/>
      <c r="AD137" s="226"/>
      <c r="AE137" s="226"/>
      <c r="AF137" s="226">
        <f t="shared" si="73"/>
        <v>0</v>
      </c>
      <c r="AH137" s="275">
        <f t="shared" si="80"/>
        <v>45947</v>
      </c>
      <c r="AI137" s="277"/>
      <c r="AJ137" s="280"/>
      <c r="AK137" s="278"/>
      <c r="AL137" s="283"/>
      <c r="AM137" s="226"/>
      <c r="AN137" s="226"/>
      <c r="AO137" s="226">
        <f t="shared" si="74"/>
        <v>0</v>
      </c>
      <c r="AQ137" s="275">
        <f t="shared" si="81"/>
        <v>45947</v>
      </c>
      <c r="AR137" s="277"/>
      <c r="AS137" s="280"/>
      <c r="AT137" s="280"/>
      <c r="AU137" s="280"/>
      <c r="AV137" s="282"/>
      <c r="AW137" s="280"/>
      <c r="AX137" s="278"/>
      <c r="AY137" s="283"/>
      <c r="AZ137" s="226"/>
      <c r="BA137" s="226"/>
      <c r="BB137" s="226">
        <f t="shared" si="75"/>
        <v>0</v>
      </c>
      <c r="BD137" s="275">
        <f t="shared" si="82"/>
        <v>45947</v>
      </c>
      <c r="BE137" s="277"/>
      <c r="BF137" s="280"/>
      <c r="BG137" s="278"/>
      <c r="BH137" s="283"/>
      <c r="BI137" s="226"/>
      <c r="BJ137" s="226"/>
      <c r="BK137" s="226">
        <f t="shared" si="76"/>
        <v>0</v>
      </c>
      <c r="BM137" s="275">
        <f t="shared" si="83"/>
        <v>45947</v>
      </c>
      <c r="BN137" s="277"/>
      <c r="BO137" s="276"/>
      <c r="BP137" s="278"/>
      <c r="BQ137" s="283"/>
      <c r="BR137" s="226"/>
      <c r="BS137" s="226"/>
      <c r="BT137" s="226">
        <f t="shared" si="77"/>
        <v>0</v>
      </c>
      <c r="BV137" s="275">
        <f t="shared" si="84"/>
        <v>45947</v>
      </c>
      <c r="BW137" s="277"/>
      <c r="BX137" s="277"/>
      <c r="BY137" s="278"/>
      <c r="BZ137" s="283"/>
      <c r="CA137" s="226"/>
      <c r="CB137" s="226"/>
      <c r="CC137" s="226">
        <f t="shared" si="78"/>
        <v>0</v>
      </c>
    </row>
    <row r="138" spans="2:81" ht="15.75" x14ac:dyDescent="0.25">
      <c r="B138" s="275">
        <v>45948</v>
      </c>
      <c r="C138" s="277"/>
      <c r="D138" s="276"/>
      <c r="E138" s="276"/>
      <c r="F138" s="276"/>
      <c r="G138" s="278"/>
      <c r="H138" s="283"/>
      <c r="I138" s="226"/>
      <c r="J138" s="226"/>
      <c r="K138" s="226">
        <f t="shared" si="70"/>
        <v>0</v>
      </c>
      <c r="M138" s="275">
        <f t="shared" si="71"/>
        <v>45948</v>
      </c>
      <c r="N138" s="280"/>
      <c r="O138" s="280"/>
      <c r="P138" s="280"/>
      <c r="Q138" s="282"/>
      <c r="R138" s="282"/>
      <c r="S138" s="278"/>
      <c r="T138" s="283"/>
      <c r="U138" s="226"/>
      <c r="V138" s="226"/>
      <c r="W138" s="226">
        <f t="shared" si="72"/>
        <v>0</v>
      </c>
      <c r="Y138" s="275">
        <f t="shared" si="79"/>
        <v>45948</v>
      </c>
      <c r="Z138" s="277"/>
      <c r="AA138" s="277"/>
      <c r="AB138" s="278"/>
      <c r="AC138" s="283"/>
      <c r="AD138" s="226"/>
      <c r="AE138" s="226"/>
      <c r="AF138" s="226">
        <f t="shared" si="73"/>
        <v>0</v>
      </c>
      <c r="AH138" s="275">
        <f t="shared" si="80"/>
        <v>45948</v>
      </c>
      <c r="AI138" s="277"/>
      <c r="AJ138" s="280"/>
      <c r="AK138" s="278"/>
      <c r="AL138" s="283"/>
      <c r="AM138" s="226"/>
      <c r="AN138" s="226"/>
      <c r="AO138" s="226">
        <f t="shared" si="74"/>
        <v>0</v>
      </c>
      <c r="AQ138" s="275">
        <f t="shared" si="81"/>
        <v>45948</v>
      </c>
      <c r="AR138" s="277"/>
      <c r="AS138" s="280"/>
      <c r="AT138" s="280"/>
      <c r="AU138" s="280"/>
      <c r="AV138" s="282"/>
      <c r="AW138" s="280"/>
      <c r="AX138" s="278"/>
      <c r="AY138" s="283"/>
      <c r="AZ138" s="226"/>
      <c r="BA138" s="226"/>
      <c r="BB138" s="226">
        <f t="shared" si="75"/>
        <v>0</v>
      </c>
      <c r="BD138" s="275">
        <f t="shared" si="82"/>
        <v>45948</v>
      </c>
      <c r="BE138" s="277"/>
      <c r="BF138" s="280"/>
      <c r="BG138" s="278"/>
      <c r="BH138" s="283"/>
      <c r="BI138" s="226"/>
      <c r="BJ138" s="226"/>
      <c r="BK138" s="226">
        <f t="shared" si="76"/>
        <v>0</v>
      </c>
      <c r="BM138" s="275">
        <f t="shared" si="83"/>
        <v>45948</v>
      </c>
      <c r="BN138" s="277"/>
      <c r="BO138" s="276"/>
      <c r="BP138" s="278"/>
      <c r="BQ138" s="283"/>
      <c r="BR138" s="226"/>
      <c r="BS138" s="226"/>
      <c r="BT138" s="226">
        <f t="shared" si="77"/>
        <v>0</v>
      </c>
      <c r="BV138" s="275">
        <f t="shared" si="84"/>
        <v>45948</v>
      </c>
      <c r="BW138" s="277"/>
      <c r="BX138" s="277"/>
      <c r="BY138" s="278"/>
      <c r="BZ138" s="283"/>
      <c r="CA138" s="226"/>
      <c r="CB138" s="226"/>
      <c r="CC138" s="226">
        <f t="shared" si="78"/>
        <v>0</v>
      </c>
    </row>
    <row r="139" spans="2:81" ht="15.75" x14ac:dyDescent="0.25">
      <c r="B139" s="275">
        <v>45949</v>
      </c>
      <c r="C139" s="277"/>
      <c r="D139" s="276"/>
      <c r="E139" s="276"/>
      <c r="F139" s="276"/>
      <c r="G139" s="278"/>
      <c r="H139" s="283"/>
      <c r="I139" s="226"/>
      <c r="J139" s="226"/>
      <c r="K139" s="226">
        <f t="shared" si="70"/>
        <v>0</v>
      </c>
      <c r="M139" s="275">
        <f t="shared" si="71"/>
        <v>45949</v>
      </c>
      <c r="N139" s="280"/>
      <c r="O139" s="280"/>
      <c r="P139" s="280"/>
      <c r="Q139" s="282"/>
      <c r="R139" s="282"/>
      <c r="S139" s="278"/>
      <c r="T139" s="283"/>
      <c r="U139" s="226"/>
      <c r="V139" s="226"/>
      <c r="W139" s="226">
        <f t="shared" si="72"/>
        <v>0</v>
      </c>
      <c r="Y139" s="275">
        <f t="shared" si="79"/>
        <v>45949</v>
      </c>
      <c r="Z139" s="277"/>
      <c r="AA139" s="277"/>
      <c r="AB139" s="278"/>
      <c r="AC139" s="283"/>
      <c r="AD139" s="226"/>
      <c r="AE139" s="226"/>
      <c r="AF139" s="226">
        <f t="shared" si="73"/>
        <v>0</v>
      </c>
      <c r="AH139" s="275">
        <f t="shared" si="80"/>
        <v>45949</v>
      </c>
      <c r="AI139" s="277"/>
      <c r="AJ139" s="280"/>
      <c r="AK139" s="278"/>
      <c r="AL139" s="283"/>
      <c r="AM139" s="226"/>
      <c r="AN139" s="226"/>
      <c r="AO139" s="226">
        <f t="shared" si="74"/>
        <v>0</v>
      </c>
      <c r="AQ139" s="275">
        <f t="shared" si="81"/>
        <v>45949</v>
      </c>
      <c r="AR139" s="277"/>
      <c r="AS139" s="280"/>
      <c r="AT139" s="280"/>
      <c r="AU139" s="280"/>
      <c r="AV139" s="282"/>
      <c r="AW139" s="280"/>
      <c r="AX139" s="278"/>
      <c r="AY139" s="283"/>
      <c r="AZ139" s="226"/>
      <c r="BA139" s="226"/>
      <c r="BB139" s="226">
        <f t="shared" si="75"/>
        <v>0</v>
      </c>
      <c r="BD139" s="275">
        <f t="shared" si="82"/>
        <v>45949</v>
      </c>
      <c r="BE139" s="277"/>
      <c r="BF139" s="280"/>
      <c r="BG139" s="278"/>
      <c r="BH139" s="283"/>
      <c r="BI139" s="226"/>
      <c r="BJ139" s="226"/>
      <c r="BK139" s="226">
        <f t="shared" si="76"/>
        <v>0</v>
      </c>
      <c r="BM139" s="275">
        <f t="shared" si="83"/>
        <v>45949</v>
      </c>
      <c r="BN139" s="277"/>
      <c r="BO139" s="276"/>
      <c r="BP139" s="278"/>
      <c r="BQ139" s="283"/>
      <c r="BR139" s="226"/>
      <c r="BS139" s="226"/>
      <c r="BT139" s="226">
        <f t="shared" si="77"/>
        <v>0</v>
      </c>
      <c r="BV139" s="275">
        <f t="shared" si="84"/>
        <v>45949</v>
      </c>
      <c r="BW139" s="277"/>
      <c r="BX139" s="277"/>
      <c r="BY139" s="278"/>
      <c r="BZ139" s="283"/>
      <c r="CA139" s="226"/>
      <c r="CB139" s="226"/>
      <c r="CC139" s="226">
        <f t="shared" si="78"/>
        <v>0</v>
      </c>
    </row>
    <row r="140" spans="2:81" ht="15.75" x14ac:dyDescent="0.25">
      <c r="B140" s="275">
        <v>45950</v>
      </c>
      <c r="C140" s="277"/>
      <c r="D140" s="276"/>
      <c r="E140" s="276"/>
      <c r="F140" s="276"/>
      <c r="G140" s="278"/>
      <c r="H140" s="283"/>
      <c r="I140" s="226"/>
      <c r="J140" s="226"/>
      <c r="K140" s="226">
        <f t="shared" si="70"/>
        <v>0</v>
      </c>
      <c r="M140" s="275">
        <f t="shared" si="71"/>
        <v>45950</v>
      </c>
      <c r="N140" s="280"/>
      <c r="O140" s="280"/>
      <c r="P140" s="280"/>
      <c r="Q140" s="282"/>
      <c r="R140" s="282"/>
      <c r="S140" s="278"/>
      <c r="T140" s="283"/>
      <c r="U140" s="226"/>
      <c r="V140" s="226"/>
      <c r="W140" s="226">
        <f t="shared" si="72"/>
        <v>0</v>
      </c>
      <c r="Y140" s="275">
        <f t="shared" si="79"/>
        <v>45950</v>
      </c>
      <c r="Z140" s="277"/>
      <c r="AA140" s="277"/>
      <c r="AB140" s="278"/>
      <c r="AC140" s="283"/>
      <c r="AD140" s="226"/>
      <c r="AE140" s="226"/>
      <c r="AF140" s="226">
        <f t="shared" si="73"/>
        <v>0</v>
      </c>
      <c r="AH140" s="275">
        <f t="shared" si="80"/>
        <v>45950</v>
      </c>
      <c r="AI140" s="277"/>
      <c r="AJ140" s="280"/>
      <c r="AK140" s="278"/>
      <c r="AL140" s="283"/>
      <c r="AM140" s="226"/>
      <c r="AN140" s="226"/>
      <c r="AO140" s="226">
        <f t="shared" si="74"/>
        <v>0</v>
      </c>
      <c r="AQ140" s="275">
        <f t="shared" si="81"/>
        <v>45950</v>
      </c>
      <c r="AR140" s="277"/>
      <c r="AS140" s="280"/>
      <c r="AT140" s="280"/>
      <c r="AU140" s="280"/>
      <c r="AV140" s="282"/>
      <c r="AW140" s="280"/>
      <c r="AX140" s="278"/>
      <c r="AY140" s="283"/>
      <c r="AZ140" s="226"/>
      <c r="BA140" s="226"/>
      <c r="BB140" s="226">
        <f t="shared" si="75"/>
        <v>0</v>
      </c>
      <c r="BD140" s="275">
        <f t="shared" si="82"/>
        <v>45950</v>
      </c>
      <c r="BE140" s="277"/>
      <c r="BF140" s="280"/>
      <c r="BG140" s="278"/>
      <c r="BH140" s="283"/>
      <c r="BI140" s="226"/>
      <c r="BJ140" s="226"/>
      <c r="BK140" s="226">
        <f t="shared" si="76"/>
        <v>0</v>
      </c>
      <c r="BM140" s="275">
        <f t="shared" si="83"/>
        <v>45950</v>
      </c>
      <c r="BN140" s="277"/>
      <c r="BO140" s="276"/>
      <c r="BP140" s="278"/>
      <c r="BQ140" s="283"/>
      <c r="BR140" s="226"/>
      <c r="BS140" s="226"/>
      <c r="BT140" s="226">
        <f t="shared" si="77"/>
        <v>0</v>
      </c>
      <c r="BV140" s="275">
        <f t="shared" si="84"/>
        <v>45950</v>
      </c>
      <c r="BW140" s="277"/>
      <c r="BX140" s="277"/>
      <c r="BY140" s="278"/>
      <c r="BZ140" s="283"/>
      <c r="CA140" s="226"/>
      <c r="CB140" s="226"/>
      <c r="CC140" s="226">
        <f t="shared" si="78"/>
        <v>0</v>
      </c>
    </row>
    <row r="141" spans="2:81" ht="15.75" x14ac:dyDescent="0.25">
      <c r="B141" s="275">
        <v>45951</v>
      </c>
      <c r="C141" s="277"/>
      <c r="D141" s="276"/>
      <c r="E141" s="276"/>
      <c r="F141" s="276"/>
      <c r="G141" s="278"/>
      <c r="H141" s="283"/>
      <c r="I141" s="226"/>
      <c r="J141" s="226"/>
      <c r="K141" s="226">
        <f t="shared" si="70"/>
        <v>0</v>
      </c>
      <c r="M141" s="275">
        <f t="shared" si="71"/>
        <v>45951</v>
      </c>
      <c r="N141" s="280"/>
      <c r="O141" s="280"/>
      <c r="P141" s="280"/>
      <c r="Q141" s="282"/>
      <c r="R141" s="282"/>
      <c r="S141" s="278"/>
      <c r="T141" s="283"/>
      <c r="U141" s="226"/>
      <c r="V141" s="226"/>
      <c r="W141" s="226">
        <f t="shared" si="72"/>
        <v>0</v>
      </c>
      <c r="Y141" s="275">
        <f t="shared" si="79"/>
        <v>45951</v>
      </c>
      <c r="Z141" s="277"/>
      <c r="AA141" s="277"/>
      <c r="AB141" s="278"/>
      <c r="AC141" s="283"/>
      <c r="AD141" s="226"/>
      <c r="AE141" s="226"/>
      <c r="AF141" s="226">
        <f t="shared" si="73"/>
        <v>0</v>
      </c>
      <c r="AH141" s="275">
        <f t="shared" si="80"/>
        <v>45951</v>
      </c>
      <c r="AI141" s="277"/>
      <c r="AJ141" s="280"/>
      <c r="AK141" s="278"/>
      <c r="AL141" s="283"/>
      <c r="AM141" s="226"/>
      <c r="AN141" s="226"/>
      <c r="AO141" s="226">
        <f t="shared" si="74"/>
        <v>0</v>
      </c>
      <c r="AQ141" s="275">
        <f t="shared" si="81"/>
        <v>45951</v>
      </c>
      <c r="AR141" s="277"/>
      <c r="AS141" s="280"/>
      <c r="AT141" s="280"/>
      <c r="AU141" s="280"/>
      <c r="AV141" s="282"/>
      <c r="AW141" s="280"/>
      <c r="AX141" s="278"/>
      <c r="AY141" s="283"/>
      <c r="AZ141" s="226"/>
      <c r="BA141" s="226"/>
      <c r="BB141" s="226">
        <f t="shared" si="75"/>
        <v>0</v>
      </c>
      <c r="BD141" s="275">
        <f t="shared" si="82"/>
        <v>45951</v>
      </c>
      <c r="BE141" s="277"/>
      <c r="BF141" s="280"/>
      <c r="BG141" s="278"/>
      <c r="BH141" s="283"/>
      <c r="BI141" s="226"/>
      <c r="BJ141" s="226"/>
      <c r="BK141" s="226">
        <f t="shared" si="76"/>
        <v>0</v>
      </c>
      <c r="BM141" s="275">
        <f t="shared" si="83"/>
        <v>45951</v>
      </c>
      <c r="BN141" s="277"/>
      <c r="BO141" s="276"/>
      <c r="BP141" s="278"/>
      <c r="BQ141" s="283"/>
      <c r="BR141" s="226"/>
      <c r="BS141" s="226"/>
      <c r="BT141" s="226">
        <f t="shared" si="77"/>
        <v>0</v>
      </c>
      <c r="BV141" s="275">
        <f t="shared" si="84"/>
        <v>45951</v>
      </c>
      <c r="BW141" s="277"/>
      <c r="BX141" s="277"/>
      <c r="BY141" s="278"/>
      <c r="BZ141" s="283"/>
      <c r="CA141" s="226"/>
      <c r="CB141" s="226"/>
      <c r="CC141" s="226">
        <f t="shared" si="78"/>
        <v>0</v>
      </c>
    </row>
    <row r="142" spans="2:81" ht="15.75" x14ac:dyDescent="0.25">
      <c r="B142" s="275">
        <v>45952</v>
      </c>
      <c r="C142" s="277"/>
      <c r="D142" s="276"/>
      <c r="E142" s="276"/>
      <c r="F142" s="276"/>
      <c r="G142" s="278"/>
      <c r="H142" s="283"/>
      <c r="I142" s="226"/>
      <c r="J142" s="226"/>
      <c r="K142" s="226">
        <f t="shared" si="70"/>
        <v>0</v>
      </c>
      <c r="M142" s="275">
        <f t="shared" si="71"/>
        <v>45952</v>
      </c>
      <c r="N142" s="280"/>
      <c r="O142" s="280"/>
      <c r="P142" s="280"/>
      <c r="Q142" s="282"/>
      <c r="R142" s="282"/>
      <c r="S142" s="278"/>
      <c r="T142" s="283"/>
      <c r="U142" s="226"/>
      <c r="V142" s="226"/>
      <c r="W142" s="226">
        <f t="shared" si="72"/>
        <v>0</v>
      </c>
      <c r="Y142" s="275">
        <f t="shared" si="79"/>
        <v>45952</v>
      </c>
      <c r="Z142" s="277"/>
      <c r="AA142" s="277"/>
      <c r="AB142" s="278"/>
      <c r="AC142" s="283"/>
      <c r="AD142" s="226"/>
      <c r="AE142" s="226"/>
      <c r="AF142" s="226">
        <f t="shared" si="73"/>
        <v>0</v>
      </c>
      <c r="AH142" s="275">
        <f t="shared" si="80"/>
        <v>45952</v>
      </c>
      <c r="AI142" s="277"/>
      <c r="AJ142" s="280"/>
      <c r="AK142" s="278"/>
      <c r="AL142" s="283"/>
      <c r="AM142" s="226"/>
      <c r="AN142" s="226"/>
      <c r="AO142" s="226">
        <f t="shared" si="74"/>
        <v>0</v>
      </c>
      <c r="AQ142" s="275">
        <f t="shared" si="81"/>
        <v>45952</v>
      </c>
      <c r="AR142" s="277"/>
      <c r="AS142" s="280"/>
      <c r="AT142" s="280"/>
      <c r="AU142" s="280"/>
      <c r="AV142" s="282"/>
      <c r="AW142" s="280"/>
      <c r="AX142" s="278"/>
      <c r="AY142" s="283"/>
      <c r="AZ142" s="226"/>
      <c r="BA142" s="226"/>
      <c r="BB142" s="226">
        <f t="shared" si="75"/>
        <v>0</v>
      </c>
      <c r="BD142" s="275">
        <f t="shared" si="82"/>
        <v>45952</v>
      </c>
      <c r="BE142" s="277"/>
      <c r="BF142" s="280"/>
      <c r="BG142" s="278"/>
      <c r="BH142" s="283"/>
      <c r="BI142" s="226"/>
      <c r="BJ142" s="226"/>
      <c r="BK142" s="226">
        <f t="shared" si="76"/>
        <v>0</v>
      </c>
      <c r="BM142" s="275">
        <f t="shared" si="83"/>
        <v>45952</v>
      </c>
      <c r="BN142" s="277"/>
      <c r="BO142" s="276"/>
      <c r="BP142" s="278"/>
      <c r="BQ142" s="283"/>
      <c r="BR142" s="226"/>
      <c r="BS142" s="226"/>
      <c r="BT142" s="226">
        <f t="shared" si="77"/>
        <v>0</v>
      </c>
      <c r="BV142" s="275">
        <f t="shared" si="84"/>
        <v>45952</v>
      </c>
      <c r="BW142" s="277"/>
      <c r="BX142" s="277"/>
      <c r="BY142" s="278"/>
      <c r="BZ142" s="283"/>
      <c r="CA142" s="226"/>
      <c r="CB142" s="226"/>
      <c r="CC142" s="226">
        <f t="shared" si="78"/>
        <v>0</v>
      </c>
    </row>
    <row r="143" spans="2:81" ht="15.75" x14ac:dyDescent="0.25">
      <c r="B143" s="275">
        <v>45953</v>
      </c>
      <c r="C143" s="277"/>
      <c r="D143" s="276"/>
      <c r="E143" s="276"/>
      <c r="F143" s="276"/>
      <c r="G143" s="278"/>
      <c r="H143" s="283"/>
      <c r="I143" s="226"/>
      <c r="J143" s="226"/>
      <c r="K143" s="226">
        <f t="shared" si="70"/>
        <v>0</v>
      </c>
      <c r="M143" s="275">
        <f t="shared" si="71"/>
        <v>45953</v>
      </c>
      <c r="N143" s="280"/>
      <c r="O143" s="280"/>
      <c r="P143" s="280"/>
      <c r="Q143" s="282"/>
      <c r="R143" s="282"/>
      <c r="S143" s="278"/>
      <c r="T143" s="283"/>
      <c r="U143" s="226"/>
      <c r="V143" s="226"/>
      <c r="W143" s="226">
        <f t="shared" si="72"/>
        <v>0</v>
      </c>
      <c r="Y143" s="275">
        <f t="shared" si="79"/>
        <v>45953</v>
      </c>
      <c r="Z143" s="277"/>
      <c r="AA143" s="277"/>
      <c r="AB143" s="278"/>
      <c r="AC143" s="283"/>
      <c r="AD143" s="226"/>
      <c r="AE143" s="226"/>
      <c r="AF143" s="226">
        <f t="shared" si="73"/>
        <v>0</v>
      </c>
      <c r="AH143" s="275">
        <f t="shared" si="80"/>
        <v>45953</v>
      </c>
      <c r="AI143" s="277"/>
      <c r="AJ143" s="280"/>
      <c r="AK143" s="278"/>
      <c r="AL143" s="283"/>
      <c r="AM143" s="226"/>
      <c r="AN143" s="226"/>
      <c r="AO143" s="226">
        <f t="shared" si="74"/>
        <v>0</v>
      </c>
      <c r="AQ143" s="275">
        <f t="shared" si="81"/>
        <v>45953</v>
      </c>
      <c r="AR143" s="277"/>
      <c r="AS143" s="280"/>
      <c r="AT143" s="280"/>
      <c r="AU143" s="280"/>
      <c r="AV143" s="282"/>
      <c r="AW143" s="280"/>
      <c r="AX143" s="278"/>
      <c r="AY143" s="283"/>
      <c r="AZ143" s="226"/>
      <c r="BA143" s="226"/>
      <c r="BB143" s="226">
        <f t="shared" si="75"/>
        <v>0</v>
      </c>
      <c r="BD143" s="275">
        <f t="shared" si="82"/>
        <v>45953</v>
      </c>
      <c r="BE143" s="277"/>
      <c r="BF143" s="280"/>
      <c r="BG143" s="278"/>
      <c r="BH143" s="283"/>
      <c r="BI143" s="226"/>
      <c r="BJ143" s="226"/>
      <c r="BK143" s="226">
        <f t="shared" si="76"/>
        <v>0</v>
      </c>
      <c r="BM143" s="275">
        <f t="shared" si="83"/>
        <v>45953</v>
      </c>
      <c r="BN143" s="277"/>
      <c r="BO143" s="276"/>
      <c r="BP143" s="278"/>
      <c r="BQ143" s="283"/>
      <c r="BR143" s="226"/>
      <c r="BS143" s="226"/>
      <c r="BT143" s="226">
        <f t="shared" si="77"/>
        <v>0</v>
      </c>
      <c r="BV143" s="275">
        <f t="shared" si="84"/>
        <v>45953</v>
      </c>
      <c r="BW143" s="277"/>
      <c r="BX143" s="277"/>
      <c r="BY143" s="278"/>
      <c r="BZ143" s="283"/>
      <c r="CA143" s="226"/>
      <c r="CB143" s="226"/>
      <c r="CC143" s="226">
        <f t="shared" si="78"/>
        <v>0</v>
      </c>
    </row>
    <row r="144" spans="2:81" ht="15.75" x14ac:dyDescent="0.25">
      <c r="B144" s="275">
        <v>45954</v>
      </c>
      <c r="C144" s="277"/>
      <c r="D144" s="276"/>
      <c r="E144" s="276"/>
      <c r="F144" s="276"/>
      <c r="G144" s="278"/>
      <c r="H144" s="283"/>
      <c r="I144" s="226"/>
      <c r="J144" s="226"/>
      <c r="K144" s="226">
        <f t="shared" si="70"/>
        <v>0</v>
      </c>
      <c r="M144" s="275">
        <f t="shared" si="71"/>
        <v>45954</v>
      </c>
      <c r="N144" s="280"/>
      <c r="O144" s="280"/>
      <c r="P144" s="280"/>
      <c r="Q144" s="282"/>
      <c r="R144" s="282"/>
      <c r="S144" s="278"/>
      <c r="T144" s="283"/>
      <c r="U144" s="226"/>
      <c r="V144" s="226"/>
      <c r="W144" s="226">
        <f t="shared" si="72"/>
        <v>0</v>
      </c>
      <c r="Y144" s="275">
        <f t="shared" si="79"/>
        <v>45954</v>
      </c>
      <c r="Z144" s="277"/>
      <c r="AA144" s="277"/>
      <c r="AB144" s="278"/>
      <c r="AC144" s="283"/>
      <c r="AD144" s="226"/>
      <c r="AE144" s="226"/>
      <c r="AF144" s="226">
        <f t="shared" si="73"/>
        <v>0</v>
      </c>
      <c r="AH144" s="275">
        <f t="shared" si="80"/>
        <v>45954</v>
      </c>
      <c r="AI144" s="277"/>
      <c r="AJ144" s="280"/>
      <c r="AK144" s="278"/>
      <c r="AL144" s="283"/>
      <c r="AM144" s="226"/>
      <c r="AN144" s="226"/>
      <c r="AO144" s="226">
        <f t="shared" si="74"/>
        <v>0</v>
      </c>
      <c r="AQ144" s="275">
        <f t="shared" si="81"/>
        <v>45954</v>
      </c>
      <c r="AR144" s="277"/>
      <c r="AS144" s="280"/>
      <c r="AT144" s="280"/>
      <c r="AU144" s="280"/>
      <c r="AV144" s="282"/>
      <c r="AW144" s="280"/>
      <c r="AX144" s="278"/>
      <c r="AY144" s="283"/>
      <c r="AZ144" s="226"/>
      <c r="BA144" s="226"/>
      <c r="BB144" s="226">
        <f t="shared" si="75"/>
        <v>0</v>
      </c>
      <c r="BD144" s="275">
        <f t="shared" si="82"/>
        <v>45954</v>
      </c>
      <c r="BE144" s="277"/>
      <c r="BF144" s="280"/>
      <c r="BG144" s="278"/>
      <c r="BH144" s="283"/>
      <c r="BI144" s="226"/>
      <c r="BJ144" s="226"/>
      <c r="BK144" s="226">
        <f t="shared" si="76"/>
        <v>0</v>
      </c>
      <c r="BM144" s="275">
        <f t="shared" si="83"/>
        <v>45954</v>
      </c>
      <c r="BN144" s="277"/>
      <c r="BO144" s="276"/>
      <c r="BP144" s="278"/>
      <c r="BQ144" s="283"/>
      <c r="BR144" s="226"/>
      <c r="BS144" s="226"/>
      <c r="BT144" s="226">
        <f t="shared" si="77"/>
        <v>0</v>
      </c>
      <c r="BV144" s="275">
        <f t="shared" si="84"/>
        <v>45954</v>
      </c>
      <c r="BW144" s="277"/>
      <c r="BX144" s="277"/>
      <c r="BY144" s="278"/>
      <c r="BZ144" s="283"/>
      <c r="CA144" s="226"/>
      <c r="CB144" s="226"/>
      <c r="CC144" s="226">
        <f t="shared" si="78"/>
        <v>0</v>
      </c>
    </row>
    <row r="145" spans="2:81" ht="15.75" x14ac:dyDescent="0.25">
      <c r="B145" s="275">
        <v>45955</v>
      </c>
      <c r="C145" s="277"/>
      <c r="D145" s="276"/>
      <c r="E145" s="276"/>
      <c r="F145" s="276"/>
      <c r="G145" s="278"/>
      <c r="H145" s="283"/>
      <c r="I145" s="226"/>
      <c r="J145" s="226"/>
      <c r="K145" s="226">
        <f t="shared" si="70"/>
        <v>0</v>
      </c>
      <c r="M145" s="275">
        <f t="shared" si="71"/>
        <v>45955</v>
      </c>
      <c r="N145" s="280"/>
      <c r="O145" s="280"/>
      <c r="P145" s="280"/>
      <c r="Q145" s="282"/>
      <c r="R145" s="282"/>
      <c r="S145" s="278"/>
      <c r="T145" s="283"/>
      <c r="U145" s="226"/>
      <c r="V145" s="226"/>
      <c r="W145" s="226">
        <f t="shared" si="72"/>
        <v>0</v>
      </c>
      <c r="Y145" s="275">
        <f t="shared" si="79"/>
        <v>45955</v>
      </c>
      <c r="Z145" s="277"/>
      <c r="AA145" s="277"/>
      <c r="AB145" s="278"/>
      <c r="AC145" s="283"/>
      <c r="AD145" s="226"/>
      <c r="AE145" s="226"/>
      <c r="AF145" s="226">
        <f t="shared" si="73"/>
        <v>0</v>
      </c>
      <c r="AH145" s="275">
        <f t="shared" si="80"/>
        <v>45955</v>
      </c>
      <c r="AI145" s="277"/>
      <c r="AJ145" s="280"/>
      <c r="AK145" s="278"/>
      <c r="AL145" s="283"/>
      <c r="AM145" s="226"/>
      <c r="AN145" s="226"/>
      <c r="AO145" s="226">
        <f t="shared" si="74"/>
        <v>0</v>
      </c>
      <c r="AQ145" s="275">
        <f t="shared" si="81"/>
        <v>45955</v>
      </c>
      <c r="AR145" s="277"/>
      <c r="AS145" s="280"/>
      <c r="AT145" s="280"/>
      <c r="AU145" s="280"/>
      <c r="AV145" s="282"/>
      <c r="AW145" s="280"/>
      <c r="AX145" s="278"/>
      <c r="AY145" s="283"/>
      <c r="AZ145" s="226"/>
      <c r="BA145" s="226"/>
      <c r="BB145" s="226">
        <f t="shared" si="75"/>
        <v>0</v>
      </c>
      <c r="BD145" s="275">
        <f t="shared" si="82"/>
        <v>45955</v>
      </c>
      <c r="BE145" s="277"/>
      <c r="BF145" s="280"/>
      <c r="BG145" s="278"/>
      <c r="BH145" s="283"/>
      <c r="BI145" s="226"/>
      <c r="BJ145" s="226"/>
      <c r="BK145" s="226">
        <f t="shared" si="76"/>
        <v>0</v>
      </c>
      <c r="BM145" s="275">
        <f t="shared" si="83"/>
        <v>45955</v>
      </c>
      <c r="BN145" s="277"/>
      <c r="BO145" s="276"/>
      <c r="BP145" s="278"/>
      <c r="BQ145" s="283"/>
      <c r="BR145" s="226"/>
      <c r="BS145" s="226"/>
      <c r="BT145" s="226">
        <f t="shared" si="77"/>
        <v>0</v>
      </c>
      <c r="BV145" s="275">
        <f t="shared" si="84"/>
        <v>45955</v>
      </c>
      <c r="BW145" s="277"/>
      <c r="BX145" s="277"/>
      <c r="BY145" s="278"/>
      <c r="BZ145" s="283"/>
      <c r="CA145" s="226"/>
      <c r="CB145" s="226"/>
      <c r="CC145" s="226">
        <f t="shared" si="78"/>
        <v>0</v>
      </c>
    </row>
    <row r="146" spans="2:81" ht="15.75" x14ac:dyDescent="0.25">
      <c r="B146" s="275">
        <v>45956</v>
      </c>
      <c r="C146" s="277"/>
      <c r="D146" s="276"/>
      <c r="E146" s="276"/>
      <c r="F146" s="276"/>
      <c r="G146" s="278"/>
      <c r="H146" s="283"/>
      <c r="I146" s="226"/>
      <c r="J146" s="226"/>
      <c r="K146" s="226">
        <f t="shared" si="70"/>
        <v>0</v>
      </c>
      <c r="M146" s="275">
        <f t="shared" si="71"/>
        <v>45956</v>
      </c>
      <c r="N146" s="280"/>
      <c r="O146" s="280"/>
      <c r="P146" s="280"/>
      <c r="Q146" s="282"/>
      <c r="R146" s="282"/>
      <c r="S146" s="278"/>
      <c r="T146" s="283"/>
      <c r="U146" s="226"/>
      <c r="V146" s="226"/>
      <c r="W146" s="226">
        <f t="shared" si="72"/>
        <v>0</v>
      </c>
      <c r="Y146" s="275">
        <f t="shared" si="79"/>
        <v>45956</v>
      </c>
      <c r="Z146" s="277"/>
      <c r="AA146" s="277"/>
      <c r="AB146" s="278"/>
      <c r="AC146" s="283"/>
      <c r="AD146" s="226"/>
      <c r="AE146" s="226"/>
      <c r="AF146" s="226">
        <f t="shared" si="73"/>
        <v>0</v>
      </c>
      <c r="AH146" s="275">
        <f t="shared" si="80"/>
        <v>45956</v>
      </c>
      <c r="AI146" s="277"/>
      <c r="AJ146" s="280"/>
      <c r="AK146" s="278"/>
      <c r="AL146" s="283"/>
      <c r="AM146" s="226"/>
      <c r="AN146" s="226"/>
      <c r="AO146" s="226">
        <f t="shared" si="74"/>
        <v>0</v>
      </c>
      <c r="AQ146" s="275">
        <f t="shared" si="81"/>
        <v>45956</v>
      </c>
      <c r="AR146" s="277"/>
      <c r="AS146" s="280"/>
      <c r="AT146" s="280"/>
      <c r="AU146" s="280"/>
      <c r="AV146" s="282"/>
      <c r="AW146" s="280"/>
      <c r="AX146" s="278"/>
      <c r="AY146" s="283"/>
      <c r="AZ146" s="226"/>
      <c r="BA146" s="226"/>
      <c r="BB146" s="226">
        <f t="shared" si="75"/>
        <v>0</v>
      </c>
      <c r="BD146" s="275">
        <f t="shared" si="82"/>
        <v>45956</v>
      </c>
      <c r="BE146" s="277"/>
      <c r="BF146" s="280"/>
      <c r="BG146" s="278"/>
      <c r="BH146" s="283"/>
      <c r="BI146" s="226"/>
      <c r="BJ146" s="226"/>
      <c r="BK146" s="226">
        <f t="shared" si="76"/>
        <v>0</v>
      </c>
      <c r="BM146" s="275">
        <f t="shared" si="83"/>
        <v>45956</v>
      </c>
      <c r="BN146" s="277"/>
      <c r="BO146" s="276"/>
      <c r="BP146" s="278"/>
      <c r="BQ146" s="283"/>
      <c r="BR146" s="226"/>
      <c r="BS146" s="226"/>
      <c r="BT146" s="226">
        <f t="shared" si="77"/>
        <v>0</v>
      </c>
      <c r="BV146" s="275">
        <f t="shared" si="84"/>
        <v>45956</v>
      </c>
      <c r="BW146" s="277"/>
      <c r="BX146" s="277"/>
      <c r="BY146" s="278"/>
      <c r="BZ146" s="283"/>
      <c r="CA146" s="226"/>
      <c r="CB146" s="226"/>
      <c r="CC146" s="226">
        <f t="shared" si="78"/>
        <v>0</v>
      </c>
    </row>
    <row r="147" spans="2:81" ht="15.75" x14ac:dyDescent="0.25">
      <c r="B147" s="275">
        <v>45957</v>
      </c>
      <c r="C147" s="277"/>
      <c r="D147" s="276"/>
      <c r="E147" s="276"/>
      <c r="F147" s="276"/>
      <c r="G147" s="278"/>
      <c r="H147" s="283"/>
      <c r="I147" s="226"/>
      <c r="J147" s="226"/>
      <c r="K147" s="226">
        <f t="shared" si="70"/>
        <v>0</v>
      </c>
      <c r="M147" s="275">
        <f t="shared" si="71"/>
        <v>45957</v>
      </c>
      <c r="N147" s="280"/>
      <c r="O147" s="280"/>
      <c r="P147" s="280"/>
      <c r="Q147" s="282"/>
      <c r="R147" s="282"/>
      <c r="S147" s="278"/>
      <c r="T147" s="283"/>
      <c r="U147" s="226"/>
      <c r="V147" s="226"/>
      <c r="W147" s="226">
        <f t="shared" si="72"/>
        <v>0</v>
      </c>
      <c r="Y147" s="275">
        <f t="shared" si="79"/>
        <v>45957</v>
      </c>
      <c r="Z147" s="277"/>
      <c r="AA147" s="277"/>
      <c r="AB147" s="278"/>
      <c r="AC147" s="283"/>
      <c r="AD147" s="226"/>
      <c r="AE147" s="226"/>
      <c r="AF147" s="226">
        <f t="shared" si="73"/>
        <v>0</v>
      </c>
      <c r="AH147" s="275">
        <f t="shared" si="80"/>
        <v>45957</v>
      </c>
      <c r="AI147" s="277"/>
      <c r="AJ147" s="280"/>
      <c r="AK147" s="278"/>
      <c r="AL147" s="283"/>
      <c r="AM147" s="226"/>
      <c r="AN147" s="226"/>
      <c r="AO147" s="226">
        <f t="shared" si="74"/>
        <v>0</v>
      </c>
      <c r="AQ147" s="275">
        <f t="shared" si="81"/>
        <v>45957</v>
      </c>
      <c r="AR147" s="277"/>
      <c r="AS147" s="280"/>
      <c r="AT147" s="280"/>
      <c r="AU147" s="280"/>
      <c r="AV147" s="282"/>
      <c r="AW147" s="280"/>
      <c r="AX147" s="278"/>
      <c r="AY147" s="283"/>
      <c r="AZ147" s="226"/>
      <c r="BA147" s="226"/>
      <c r="BB147" s="226">
        <f t="shared" si="75"/>
        <v>0</v>
      </c>
      <c r="BD147" s="275">
        <f t="shared" si="82"/>
        <v>45957</v>
      </c>
      <c r="BE147" s="277"/>
      <c r="BF147" s="280"/>
      <c r="BG147" s="278"/>
      <c r="BH147" s="283"/>
      <c r="BI147" s="226"/>
      <c r="BJ147" s="226"/>
      <c r="BK147" s="226">
        <f t="shared" si="76"/>
        <v>0</v>
      </c>
      <c r="BM147" s="275">
        <f t="shared" si="83"/>
        <v>45957</v>
      </c>
      <c r="BN147" s="277"/>
      <c r="BO147" s="276"/>
      <c r="BP147" s="278"/>
      <c r="BQ147" s="283"/>
      <c r="BR147" s="226"/>
      <c r="BS147" s="226"/>
      <c r="BT147" s="226">
        <f t="shared" si="77"/>
        <v>0</v>
      </c>
      <c r="BV147" s="275">
        <f t="shared" si="84"/>
        <v>45957</v>
      </c>
      <c r="BW147" s="277"/>
      <c r="BX147" s="277"/>
      <c r="BY147" s="278"/>
      <c r="BZ147" s="283"/>
      <c r="CA147" s="226"/>
      <c r="CB147" s="226"/>
      <c r="CC147" s="226">
        <f t="shared" si="78"/>
        <v>0</v>
      </c>
    </row>
    <row r="148" spans="2:81" ht="15.75" x14ac:dyDescent="0.25">
      <c r="B148" s="275">
        <v>45958</v>
      </c>
      <c r="C148" s="277"/>
      <c r="D148" s="276"/>
      <c r="E148" s="276"/>
      <c r="F148" s="276"/>
      <c r="G148" s="278"/>
      <c r="H148" s="283"/>
      <c r="I148" s="226"/>
      <c r="J148" s="226"/>
      <c r="K148" s="226">
        <f t="shared" si="70"/>
        <v>0</v>
      </c>
      <c r="M148" s="275">
        <f t="shared" si="71"/>
        <v>45958</v>
      </c>
      <c r="N148" s="280"/>
      <c r="O148" s="280"/>
      <c r="P148" s="280"/>
      <c r="Q148" s="282"/>
      <c r="R148" s="282"/>
      <c r="S148" s="278"/>
      <c r="T148" s="283"/>
      <c r="U148" s="226"/>
      <c r="V148" s="226"/>
      <c r="W148" s="226">
        <f t="shared" si="72"/>
        <v>0</v>
      </c>
      <c r="Y148" s="275">
        <f t="shared" si="79"/>
        <v>45958</v>
      </c>
      <c r="Z148" s="277"/>
      <c r="AA148" s="277"/>
      <c r="AB148" s="278"/>
      <c r="AC148" s="283"/>
      <c r="AD148" s="226"/>
      <c r="AE148" s="226"/>
      <c r="AF148" s="226">
        <f t="shared" si="73"/>
        <v>0</v>
      </c>
      <c r="AH148" s="275">
        <f t="shared" si="80"/>
        <v>45958</v>
      </c>
      <c r="AI148" s="277"/>
      <c r="AJ148" s="280"/>
      <c r="AK148" s="278"/>
      <c r="AL148" s="283"/>
      <c r="AM148" s="226"/>
      <c r="AN148" s="226"/>
      <c r="AO148" s="226">
        <f t="shared" si="74"/>
        <v>0</v>
      </c>
      <c r="AQ148" s="275">
        <f t="shared" si="81"/>
        <v>45958</v>
      </c>
      <c r="AR148" s="277"/>
      <c r="AS148" s="280"/>
      <c r="AT148" s="280"/>
      <c r="AU148" s="280"/>
      <c r="AV148" s="282"/>
      <c r="AW148" s="280"/>
      <c r="AX148" s="278"/>
      <c r="AY148" s="283"/>
      <c r="AZ148" s="226"/>
      <c r="BA148" s="226"/>
      <c r="BB148" s="226">
        <f t="shared" si="75"/>
        <v>0</v>
      </c>
      <c r="BD148" s="275">
        <f t="shared" si="82"/>
        <v>45958</v>
      </c>
      <c r="BE148" s="277"/>
      <c r="BF148" s="280"/>
      <c r="BG148" s="278"/>
      <c r="BH148" s="283"/>
      <c r="BI148" s="226"/>
      <c r="BJ148" s="226"/>
      <c r="BK148" s="226">
        <f t="shared" si="76"/>
        <v>0</v>
      </c>
      <c r="BM148" s="275">
        <f t="shared" si="83"/>
        <v>45958</v>
      </c>
      <c r="BN148" s="277"/>
      <c r="BO148" s="276"/>
      <c r="BP148" s="278"/>
      <c r="BQ148" s="283"/>
      <c r="BR148" s="226"/>
      <c r="BS148" s="226"/>
      <c r="BT148" s="226">
        <f t="shared" si="77"/>
        <v>0</v>
      </c>
      <c r="BV148" s="275">
        <f t="shared" si="84"/>
        <v>45958</v>
      </c>
      <c r="BW148" s="277"/>
      <c r="BX148" s="277"/>
      <c r="BY148" s="278"/>
      <c r="BZ148" s="283"/>
      <c r="CA148" s="226"/>
      <c r="CB148" s="226"/>
      <c r="CC148" s="226">
        <f t="shared" si="78"/>
        <v>0</v>
      </c>
    </row>
    <row r="149" spans="2:81" ht="15.75" x14ac:dyDescent="0.25">
      <c r="B149" s="275">
        <v>45959</v>
      </c>
      <c r="C149" s="277"/>
      <c r="D149" s="276"/>
      <c r="E149" s="276"/>
      <c r="F149" s="276"/>
      <c r="G149" s="278"/>
      <c r="H149" s="283"/>
      <c r="I149" s="226"/>
      <c r="J149" s="226"/>
      <c r="K149" s="226">
        <f t="shared" si="70"/>
        <v>0</v>
      </c>
      <c r="M149" s="275">
        <f t="shared" si="71"/>
        <v>45959</v>
      </c>
      <c r="N149" s="280"/>
      <c r="O149" s="280"/>
      <c r="P149" s="280"/>
      <c r="Q149" s="282"/>
      <c r="R149" s="282"/>
      <c r="S149" s="278"/>
      <c r="T149" s="283"/>
      <c r="U149" s="226"/>
      <c r="V149" s="226"/>
      <c r="W149" s="226">
        <f t="shared" si="72"/>
        <v>0</v>
      </c>
      <c r="Y149" s="275">
        <f t="shared" si="79"/>
        <v>45959</v>
      </c>
      <c r="Z149" s="277"/>
      <c r="AA149" s="277"/>
      <c r="AB149" s="278"/>
      <c r="AC149" s="283"/>
      <c r="AD149" s="226"/>
      <c r="AE149" s="226"/>
      <c r="AF149" s="226">
        <f t="shared" si="73"/>
        <v>0</v>
      </c>
      <c r="AH149" s="275">
        <f t="shared" si="80"/>
        <v>45959</v>
      </c>
      <c r="AI149" s="277"/>
      <c r="AJ149" s="280"/>
      <c r="AK149" s="278"/>
      <c r="AL149" s="283"/>
      <c r="AM149" s="226"/>
      <c r="AN149" s="226"/>
      <c r="AO149" s="226">
        <f t="shared" si="74"/>
        <v>0</v>
      </c>
      <c r="AQ149" s="275">
        <f t="shared" si="81"/>
        <v>45959</v>
      </c>
      <c r="AR149" s="277"/>
      <c r="AS149" s="280"/>
      <c r="AT149" s="280"/>
      <c r="AU149" s="280"/>
      <c r="AV149" s="282"/>
      <c r="AW149" s="280"/>
      <c r="AX149" s="278"/>
      <c r="AY149" s="283"/>
      <c r="AZ149" s="226"/>
      <c r="BA149" s="226"/>
      <c r="BB149" s="226">
        <f t="shared" si="75"/>
        <v>0</v>
      </c>
      <c r="BD149" s="275">
        <f t="shared" si="82"/>
        <v>45959</v>
      </c>
      <c r="BE149" s="277"/>
      <c r="BF149" s="280"/>
      <c r="BG149" s="278"/>
      <c r="BH149" s="283"/>
      <c r="BI149" s="226"/>
      <c r="BJ149" s="226"/>
      <c r="BK149" s="226">
        <f t="shared" si="76"/>
        <v>0</v>
      </c>
      <c r="BM149" s="275">
        <f t="shared" si="83"/>
        <v>45959</v>
      </c>
      <c r="BN149" s="277"/>
      <c r="BO149" s="276"/>
      <c r="BP149" s="278"/>
      <c r="BQ149" s="283"/>
      <c r="BR149" s="226"/>
      <c r="BS149" s="226"/>
      <c r="BT149" s="226">
        <f t="shared" si="77"/>
        <v>0</v>
      </c>
      <c r="BV149" s="275">
        <f t="shared" si="84"/>
        <v>45959</v>
      </c>
      <c r="BW149" s="277"/>
      <c r="BX149" s="277"/>
      <c r="BY149" s="278"/>
      <c r="BZ149" s="283"/>
      <c r="CA149" s="226"/>
      <c r="CB149" s="226"/>
      <c r="CC149" s="226">
        <f t="shared" si="78"/>
        <v>0</v>
      </c>
    </row>
    <row r="150" spans="2:81" ht="15.75" x14ac:dyDescent="0.25">
      <c r="B150" s="275">
        <v>45960</v>
      </c>
      <c r="C150" s="277"/>
      <c r="D150" s="276"/>
      <c r="E150" s="276"/>
      <c r="F150" s="276"/>
      <c r="G150" s="278"/>
      <c r="H150" s="283"/>
      <c r="I150" s="226"/>
      <c r="J150" s="226"/>
      <c r="K150" s="226">
        <f t="shared" si="70"/>
        <v>0</v>
      </c>
      <c r="M150" s="275">
        <f t="shared" si="71"/>
        <v>45960</v>
      </c>
      <c r="N150" s="280"/>
      <c r="O150" s="280"/>
      <c r="P150" s="280"/>
      <c r="Q150" s="282"/>
      <c r="R150" s="282"/>
      <c r="S150" s="278"/>
      <c r="T150" s="283"/>
      <c r="U150" s="226"/>
      <c r="V150" s="226"/>
      <c r="W150" s="226">
        <f t="shared" si="72"/>
        <v>0</v>
      </c>
      <c r="Y150" s="275">
        <f t="shared" si="79"/>
        <v>45960</v>
      </c>
      <c r="Z150" s="277"/>
      <c r="AA150" s="277"/>
      <c r="AB150" s="278"/>
      <c r="AC150" s="283"/>
      <c r="AD150" s="226"/>
      <c r="AE150" s="226"/>
      <c r="AF150" s="226">
        <f t="shared" si="73"/>
        <v>0</v>
      </c>
      <c r="AH150" s="275">
        <f t="shared" si="80"/>
        <v>45960</v>
      </c>
      <c r="AI150" s="277"/>
      <c r="AJ150" s="280"/>
      <c r="AK150" s="278"/>
      <c r="AL150" s="283"/>
      <c r="AM150" s="226"/>
      <c r="AN150" s="226"/>
      <c r="AO150" s="226">
        <f t="shared" si="74"/>
        <v>0</v>
      </c>
      <c r="AQ150" s="275">
        <f t="shared" si="81"/>
        <v>45960</v>
      </c>
      <c r="AR150" s="277"/>
      <c r="AS150" s="280"/>
      <c r="AT150" s="280"/>
      <c r="AU150" s="280"/>
      <c r="AV150" s="282"/>
      <c r="AW150" s="280"/>
      <c r="AX150" s="278"/>
      <c r="AY150" s="283"/>
      <c r="AZ150" s="226"/>
      <c r="BA150" s="226"/>
      <c r="BB150" s="226">
        <f t="shared" si="75"/>
        <v>0</v>
      </c>
      <c r="BD150" s="275">
        <f t="shared" si="82"/>
        <v>45960</v>
      </c>
      <c r="BE150" s="277"/>
      <c r="BF150" s="280"/>
      <c r="BG150" s="278"/>
      <c r="BH150" s="283"/>
      <c r="BI150" s="226"/>
      <c r="BJ150" s="226"/>
      <c r="BK150" s="226">
        <f t="shared" si="76"/>
        <v>0</v>
      </c>
      <c r="BM150" s="275">
        <f t="shared" si="83"/>
        <v>45960</v>
      </c>
      <c r="BN150" s="277"/>
      <c r="BO150" s="276"/>
      <c r="BP150" s="278"/>
      <c r="BQ150" s="283"/>
      <c r="BR150" s="226"/>
      <c r="BS150" s="226"/>
      <c r="BT150" s="226">
        <f t="shared" si="77"/>
        <v>0</v>
      </c>
      <c r="BV150" s="275">
        <f t="shared" si="84"/>
        <v>45960</v>
      </c>
      <c r="BW150" s="277"/>
      <c r="BX150" s="277"/>
      <c r="BY150" s="278"/>
      <c r="BZ150" s="283"/>
      <c r="CA150" s="226"/>
      <c r="CB150" s="226"/>
      <c r="CC150" s="226">
        <f t="shared" si="78"/>
        <v>0</v>
      </c>
    </row>
    <row r="151" spans="2:81" ht="16.5" thickBot="1" x14ac:dyDescent="0.3">
      <c r="B151" s="275">
        <v>45961</v>
      </c>
      <c r="C151" s="277"/>
      <c r="D151" s="276"/>
      <c r="E151" s="276"/>
      <c r="F151" s="276"/>
      <c r="G151" s="278"/>
      <c r="H151" s="284"/>
      <c r="I151" s="227"/>
      <c r="J151" s="227"/>
      <c r="K151" s="227">
        <f t="shared" si="70"/>
        <v>0</v>
      </c>
      <c r="M151" s="275">
        <f t="shared" si="71"/>
        <v>45961</v>
      </c>
      <c r="N151" s="280"/>
      <c r="O151" s="280"/>
      <c r="P151" s="280"/>
      <c r="Q151" s="282"/>
      <c r="R151" s="282"/>
      <c r="S151" s="278"/>
      <c r="T151" s="284"/>
      <c r="U151" s="227"/>
      <c r="V151" s="227"/>
      <c r="W151" s="227">
        <f t="shared" si="72"/>
        <v>0</v>
      </c>
      <c r="Y151" s="275">
        <f t="shared" si="79"/>
        <v>45961</v>
      </c>
      <c r="Z151" s="277"/>
      <c r="AA151" s="277"/>
      <c r="AB151" s="278"/>
      <c r="AC151" s="284"/>
      <c r="AD151" s="227"/>
      <c r="AE151" s="227"/>
      <c r="AF151" s="227">
        <f t="shared" si="73"/>
        <v>0</v>
      </c>
      <c r="AH151" s="275">
        <f t="shared" si="80"/>
        <v>45961</v>
      </c>
      <c r="AI151" s="277"/>
      <c r="AJ151" s="280"/>
      <c r="AK151" s="278"/>
      <c r="AL151" s="284"/>
      <c r="AM151" s="227"/>
      <c r="AN151" s="227"/>
      <c r="AO151" s="227">
        <f t="shared" si="74"/>
        <v>0</v>
      </c>
      <c r="AQ151" s="275">
        <f t="shared" si="81"/>
        <v>45961</v>
      </c>
      <c r="AR151" s="277"/>
      <c r="AS151" s="280"/>
      <c r="AT151" s="280"/>
      <c r="AU151" s="280"/>
      <c r="AV151" s="282"/>
      <c r="AW151" s="280"/>
      <c r="AX151" s="278"/>
      <c r="AY151" s="284"/>
      <c r="AZ151" s="227"/>
      <c r="BA151" s="227"/>
      <c r="BB151" s="227">
        <f t="shared" si="75"/>
        <v>0</v>
      </c>
      <c r="BD151" s="275">
        <f t="shared" si="82"/>
        <v>45961</v>
      </c>
      <c r="BE151" s="277"/>
      <c r="BF151" s="280"/>
      <c r="BG151" s="278"/>
      <c r="BH151" s="284"/>
      <c r="BI151" s="227"/>
      <c r="BJ151" s="227"/>
      <c r="BK151" s="227">
        <f t="shared" si="76"/>
        <v>0</v>
      </c>
      <c r="BM151" s="275">
        <f t="shared" si="83"/>
        <v>45961</v>
      </c>
      <c r="BN151" s="277"/>
      <c r="BO151" s="276"/>
      <c r="BP151" s="278"/>
      <c r="BQ151" s="284"/>
      <c r="BR151" s="227"/>
      <c r="BS151" s="227"/>
      <c r="BT151" s="227">
        <f t="shared" si="77"/>
        <v>0</v>
      </c>
      <c r="BV151" s="275">
        <f t="shared" si="84"/>
        <v>45961</v>
      </c>
      <c r="BW151" s="277"/>
      <c r="BX151" s="277"/>
      <c r="BY151" s="278"/>
      <c r="BZ151" s="284"/>
      <c r="CA151" s="227"/>
      <c r="CB151" s="227"/>
      <c r="CC151" s="227">
        <f t="shared" si="78"/>
        <v>0</v>
      </c>
    </row>
    <row r="152" spans="2:81" ht="19.5" thickBot="1" x14ac:dyDescent="0.35">
      <c r="B152" s="297"/>
      <c r="C152" s="285">
        <f t="shared" ref="C152:F152" si="85">SUM(C121:C151)</f>
        <v>0</v>
      </c>
      <c r="D152" s="285">
        <f t="shared" si="85"/>
        <v>0</v>
      </c>
      <c r="E152" s="285">
        <f t="shared" si="85"/>
        <v>0</v>
      </c>
      <c r="F152" s="285">
        <f t="shared" si="85"/>
        <v>0</v>
      </c>
      <c r="G152" s="250"/>
      <c r="H152" s="248">
        <f t="shared" ref="H152:K152" si="86">SUM(H121:H151)</f>
        <v>0</v>
      </c>
      <c r="I152" s="245">
        <f t="shared" si="86"/>
        <v>0</v>
      </c>
      <c r="J152" s="245">
        <f t="shared" si="86"/>
        <v>0</v>
      </c>
      <c r="K152" s="245">
        <f t="shared" si="86"/>
        <v>0</v>
      </c>
      <c r="M152" s="1"/>
      <c r="N152" s="285">
        <f t="shared" ref="N152:R152" si="87">SUM(N121:N151)</f>
        <v>0</v>
      </c>
      <c r="O152" s="285">
        <f t="shared" si="87"/>
        <v>0</v>
      </c>
      <c r="P152" s="285">
        <f t="shared" si="87"/>
        <v>0</v>
      </c>
      <c r="Q152" s="286">
        <f t="shared" si="87"/>
        <v>0</v>
      </c>
      <c r="R152" s="286">
        <f t="shared" si="87"/>
        <v>0</v>
      </c>
      <c r="S152" s="250"/>
      <c r="T152" s="248">
        <f t="shared" ref="T152:W152" si="88">SUM(T121:T151)</f>
        <v>0</v>
      </c>
      <c r="U152" s="245">
        <f t="shared" si="88"/>
        <v>0</v>
      </c>
      <c r="V152" s="245">
        <f t="shared" si="88"/>
        <v>0</v>
      </c>
      <c r="W152" s="245">
        <f t="shared" si="88"/>
        <v>0</v>
      </c>
      <c r="Z152" s="287">
        <f t="shared" ref="Z152" si="89">SUM(Z121:Z151)</f>
        <v>0</v>
      </c>
      <c r="AA152" s="288">
        <f>SUM(AA121:AA151)</f>
        <v>0</v>
      </c>
      <c r="AB152" s="250"/>
      <c r="AC152" s="248">
        <f t="shared" ref="AC152:AF152" si="90">SUM(AC121:AC151)</f>
        <v>0</v>
      </c>
      <c r="AD152" s="245">
        <f t="shared" si="90"/>
        <v>0</v>
      </c>
      <c r="AE152" s="245">
        <f t="shared" si="90"/>
        <v>0</v>
      </c>
      <c r="AF152" s="245">
        <f t="shared" si="90"/>
        <v>0</v>
      </c>
      <c r="AH152" s="298"/>
      <c r="AI152" s="289">
        <f t="shared" ref="AI152:AJ152" si="91">SUM(AI121:AI151)</f>
        <v>0</v>
      </c>
      <c r="AJ152" s="289">
        <f t="shared" si="91"/>
        <v>0</v>
      </c>
      <c r="AK152" s="250"/>
      <c r="AL152" s="248">
        <f t="shared" ref="AL152:AO152" si="92">SUM(AL121:AL151)</f>
        <v>0</v>
      </c>
      <c r="AM152" s="245">
        <f t="shared" si="92"/>
        <v>0</v>
      </c>
      <c r="AN152" s="245">
        <f t="shared" si="92"/>
        <v>0</v>
      </c>
      <c r="AO152" s="245">
        <f t="shared" si="92"/>
        <v>0</v>
      </c>
      <c r="AQ152" s="299"/>
      <c r="AR152" s="289">
        <f t="shared" ref="AR152:AT152" si="93">SUM(AR121:AR151)</f>
        <v>0</v>
      </c>
      <c r="AS152" s="289">
        <f t="shared" si="93"/>
        <v>0</v>
      </c>
      <c r="AT152" s="289">
        <f t="shared" si="93"/>
        <v>0</v>
      </c>
      <c r="AU152" s="289">
        <f>SUM(AU121:AU151)</f>
        <v>0</v>
      </c>
      <c r="AV152" s="289">
        <f>SUM(AV121:AV151)</f>
        <v>0</v>
      </c>
      <c r="AW152" s="289">
        <f>SUM(AW121:AW151)</f>
        <v>0</v>
      </c>
      <c r="AX152" s="250"/>
      <c r="AY152" s="248">
        <f t="shared" ref="AY152:BB152" si="94">SUM(AY121:AY151)</f>
        <v>0</v>
      </c>
      <c r="AZ152" s="245">
        <f t="shared" si="94"/>
        <v>0</v>
      </c>
      <c r="BA152" s="245">
        <f t="shared" si="94"/>
        <v>0</v>
      </c>
      <c r="BB152" s="245">
        <f t="shared" si="94"/>
        <v>0</v>
      </c>
      <c r="BD152" s="298"/>
      <c r="BE152" s="289">
        <f t="shared" ref="BE152:BF152" si="95">SUM(BE121:BE151)</f>
        <v>0</v>
      </c>
      <c r="BF152" s="289">
        <f t="shared" si="95"/>
        <v>0</v>
      </c>
      <c r="BG152" s="250"/>
      <c r="BH152" s="248">
        <f t="shared" ref="BH152:BK152" si="96">SUM(BH121:BH151)</f>
        <v>0</v>
      </c>
      <c r="BI152" s="245">
        <f t="shared" si="96"/>
        <v>0</v>
      </c>
      <c r="BJ152" s="245">
        <f t="shared" si="96"/>
        <v>0</v>
      </c>
      <c r="BK152" s="245">
        <f t="shared" si="96"/>
        <v>0</v>
      </c>
      <c r="BM152" s="298"/>
      <c r="BN152" s="289">
        <f t="shared" ref="BN152:BO152" si="97">SUM(BN121:BN151)</f>
        <v>0</v>
      </c>
      <c r="BO152" s="289">
        <f t="shared" si="97"/>
        <v>0</v>
      </c>
      <c r="BP152" s="250"/>
      <c r="BQ152" s="248">
        <f t="shared" ref="BQ152:BT152" si="98">SUM(BQ121:BQ151)</f>
        <v>0</v>
      </c>
      <c r="BR152" s="245">
        <f t="shared" si="98"/>
        <v>0</v>
      </c>
      <c r="BS152" s="245">
        <f t="shared" si="98"/>
        <v>0</v>
      </c>
      <c r="BT152" s="245">
        <f t="shared" si="98"/>
        <v>0</v>
      </c>
      <c r="BV152" s="298"/>
      <c r="BW152" s="289">
        <f t="shared" ref="BW152:BX152" si="99">SUM(BW121:BW151)</f>
        <v>0</v>
      </c>
      <c r="BX152" s="289">
        <f t="shared" si="99"/>
        <v>0</v>
      </c>
      <c r="BY152" s="250"/>
      <c r="BZ152" s="248">
        <f t="shared" ref="BZ152:CC152" si="100">SUM(BZ121:BZ151)</f>
        <v>0</v>
      </c>
      <c r="CA152" s="245">
        <f t="shared" si="100"/>
        <v>0</v>
      </c>
      <c r="CB152" s="245">
        <f t="shared" si="100"/>
        <v>0</v>
      </c>
      <c r="CC152" s="245">
        <f t="shared" si="100"/>
        <v>0</v>
      </c>
    </row>
    <row r="155" spans="2:81" s="301" customFormat="1" ht="26.25" x14ac:dyDescent="0.4">
      <c r="B155" s="300" t="s">
        <v>81</v>
      </c>
      <c r="C155" s="300"/>
      <c r="D155" s="300"/>
      <c r="E155" s="300"/>
      <c r="F155" s="300"/>
      <c r="G155" s="300"/>
      <c r="H155" s="300"/>
      <c r="I155" s="300"/>
      <c r="J155" s="300"/>
      <c r="K155" s="300"/>
      <c r="M155" s="300"/>
      <c r="N155" s="300" t="s">
        <v>82</v>
      </c>
      <c r="O155" s="300"/>
      <c r="P155" s="300"/>
      <c r="Q155" s="300"/>
      <c r="R155" s="300"/>
      <c r="S155" s="300"/>
      <c r="T155" s="300"/>
      <c r="U155" s="300"/>
      <c r="V155" s="300"/>
      <c r="W155" s="300"/>
      <c r="Y155" s="300" t="s">
        <v>83</v>
      </c>
      <c r="AB155" s="300"/>
      <c r="AC155" s="300"/>
      <c r="AD155" s="300"/>
      <c r="AE155" s="300"/>
      <c r="AF155" s="300"/>
      <c r="AH155" s="300" t="s">
        <v>84</v>
      </c>
      <c r="AI155" s="300"/>
      <c r="AK155" s="300"/>
      <c r="AL155" s="300"/>
      <c r="AM155" s="300"/>
      <c r="AN155" s="300"/>
      <c r="AO155" s="300"/>
      <c r="AQ155" s="300" t="s">
        <v>85</v>
      </c>
      <c r="AR155" s="300"/>
      <c r="AS155" s="300"/>
      <c r="AT155" s="300"/>
      <c r="AU155" s="300"/>
      <c r="AV155" s="300"/>
      <c r="AW155" s="300"/>
      <c r="AX155" s="300"/>
      <c r="AY155" s="300"/>
      <c r="AZ155" s="300"/>
      <c r="BA155" s="300"/>
      <c r="BB155" s="300"/>
      <c r="BD155" s="300" t="s">
        <v>86</v>
      </c>
      <c r="BE155" s="300"/>
      <c r="BG155" s="300"/>
      <c r="BH155" s="300"/>
      <c r="BI155" s="300"/>
      <c r="BJ155" s="300"/>
      <c r="BK155" s="300"/>
      <c r="BM155" s="300" t="s">
        <v>87</v>
      </c>
      <c r="BN155" s="300"/>
      <c r="BP155" s="300"/>
      <c r="BQ155" s="300"/>
      <c r="BR155" s="300"/>
      <c r="BS155" s="300"/>
      <c r="BT155" s="300"/>
      <c r="BV155" s="300" t="s">
        <v>88</v>
      </c>
      <c r="BW155" s="300"/>
      <c r="BY155" s="300"/>
      <c r="BZ155" s="300"/>
      <c r="CA155" s="300"/>
      <c r="CB155" s="300"/>
      <c r="CC155" s="300"/>
    </row>
    <row r="156" spans="2:81" ht="9" customHeight="1" thickBot="1" x14ac:dyDescent="0.4">
      <c r="B156" s="1"/>
      <c r="C156" s="1"/>
      <c r="D156" s="1"/>
      <c r="E156" s="1"/>
      <c r="F156" s="1"/>
      <c r="G156" s="1"/>
      <c r="H156" s="1"/>
      <c r="I156" s="1"/>
      <c r="J156" s="1"/>
      <c r="K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AB156" s="1"/>
      <c r="AC156" s="1"/>
      <c r="AD156" s="1"/>
      <c r="AE156" s="1"/>
      <c r="AF156" s="1"/>
      <c r="AH156" s="302"/>
      <c r="AK156" s="1"/>
      <c r="AL156" s="1"/>
      <c r="AM156" s="1"/>
      <c r="AN156" s="1"/>
      <c r="AO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G156" s="1"/>
      <c r="BH156" s="1"/>
      <c r="BI156" s="1"/>
      <c r="BJ156" s="1"/>
      <c r="BK156" s="1"/>
      <c r="BP156" s="1"/>
      <c r="BQ156" s="1"/>
      <c r="BR156" s="1"/>
      <c r="BS156" s="1"/>
      <c r="BT156" s="1"/>
      <c r="BY156" s="1"/>
      <c r="BZ156" s="1"/>
      <c r="CA156" s="1"/>
      <c r="CB156" s="1"/>
      <c r="CC156" s="1"/>
    </row>
    <row r="157" spans="2:81" ht="15.75" thickBot="1" x14ac:dyDescent="0.3">
      <c r="B157" s="1"/>
      <c r="C157" s="258" t="s">
        <v>77</v>
      </c>
      <c r="D157" s="258" t="s">
        <v>77</v>
      </c>
      <c r="E157" s="258" t="s">
        <v>77</v>
      </c>
      <c r="F157" s="258" t="s">
        <v>78</v>
      </c>
      <c r="G157" s="259"/>
      <c r="H157" s="290" t="s">
        <v>17</v>
      </c>
      <c r="I157" s="291" t="s">
        <v>17</v>
      </c>
      <c r="J157" s="292" t="s">
        <v>17</v>
      </c>
      <c r="K157" s="263" t="s">
        <v>23</v>
      </c>
      <c r="M157" s="1"/>
      <c r="N157" s="264" t="s">
        <v>16</v>
      </c>
      <c r="O157" s="264" t="s">
        <v>16</v>
      </c>
      <c r="P157" s="264" t="s">
        <v>16</v>
      </c>
      <c r="Q157" s="265" t="s">
        <v>67</v>
      </c>
      <c r="R157" s="265" t="s">
        <v>78</v>
      </c>
      <c r="S157" s="259"/>
      <c r="T157" s="290" t="s">
        <v>17</v>
      </c>
      <c r="U157" s="291" t="s">
        <v>17</v>
      </c>
      <c r="V157" s="292" t="s">
        <v>17</v>
      </c>
      <c r="W157" s="263" t="s">
        <v>23</v>
      </c>
      <c r="Z157" s="266" t="s">
        <v>16</v>
      </c>
      <c r="AA157" s="267" t="s">
        <v>67</v>
      </c>
      <c r="AB157" s="259"/>
      <c r="AC157" s="290" t="s">
        <v>17</v>
      </c>
      <c r="AD157" s="291" t="s">
        <v>17</v>
      </c>
      <c r="AE157" s="292" t="s">
        <v>17</v>
      </c>
      <c r="AF157" s="263" t="s">
        <v>23</v>
      </c>
      <c r="AI157" s="258" t="s">
        <v>77</v>
      </c>
      <c r="AJ157" s="258" t="s">
        <v>78</v>
      </c>
      <c r="AK157" s="259"/>
      <c r="AL157" s="290" t="s">
        <v>17</v>
      </c>
      <c r="AM157" s="291" t="s">
        <v>17</v>
      </c>
      <c r="AN157" s="292" t="s">
        <v>17</v>
      </c>
      <c r="AO157" s="263" t="s">
        <v>23</v>
      </c>
      <c r="AQ157" s="1"/>
      <c r="AR157" s="258" t="s">
        <v>77</v>
      </c>
      <c r="AS157" s="258" t="s">
        <v>77</v>
      </c>
      <c r="AT157" s="258" t="s">
        <v>77</v>
      </c>
      <c r="AU157" s="258" t="s">
        <v>78</v>
      </c>
      <c r="AV157" s="258" t="s">
        <v>78</v>
      </c>
      <c r="AW157" s="258" t="s">
        <v>78</v>
      </c>
      <c r="AX157" s="259"/>
      <c r="AY157" s="290" t="s">
        <v>17</v>
      </c>
      <c r="AZ157" s="291" t="s">
        <v>17</v>
      </c>
      <c r="BA157" s="292" t="s">
        <v>17</v>
      </c>
      <c r="BB157" s="263" t="s">
        <v>23</v>
      </c>
      <c r="BE157" s="258" t="s">
        <v>77</v>
      </c>
      <c r="BF157" s="258" t="s">
        <v>78</v>
      </c>
      <c r="BG157" s="259"/>
      <c r="BH157" s="290" t="s">
        <v>17</v>
      </c>
      <c r="BI157" s="291" t="s">
        <v>17</v>
      </c>
      <c r="BJ157" s="292" t="s">
        <v>17</v>
      </c>
      <c r="BK157" s="263" t="s">
        <v>23</v>
      </c>
      <c r="BN157" s="258" t="s">
        <v>77</v>
      </c>
      <c r="BO157" s="258" t="s">
        <v>78</v>
      </c>
      <c r="BP157" s="259"/>
      <c r="BQ157" s="290" t="s">
        <v>17</v>
      </c>
      <c r="BR157" s="291" t="s">
        <v>17</v>
      </c>
      <c r="BS157" s="292" t="s">
        <v>17</v>
      </c>
      <c r="BT157" s="263" t="s">
        <v>23</v>
      </c>
      <c r="BW157" s="258" t="s">
        <v>77</v>
      </c>
      <c r="BX157" s="258" t="s">
        <v>78</v>
      </c>
      <c r="BY157" s="259"/>
      <c r="BZ157" s="290" t="s">
        <v>17</v>
      </c>
      <c r="CA157" s="291" t="s">
        <v>17</v>
      </c>
      <c r="CB157" s="292" t="s">
        <v>17</v>
      </c>
      <c r="CC157" s="263" t="s">
        <v>23</v>
      </c>
    </row>
    <row r="158" spans="2:81" ht="15.75" thickBot="1" x14ac:dyDescent="0.3">
      <c r="B158" s="1"/>
      <c r="C158" s="268" t="s">
        <v>19</v>
      </c>
      <c r="D158" s="268" t="s">
        <v>20</v>
      </c>
      <c r="E158" s="268" t="s">
        <v>22</v>
      </c>
      <c r="F158" s="268" t="s">
        <v>19</v>
      </c>
      <c r="G158" s="259"/>
      <c r="H158" s="269" t="s">
        <v>64</v>
      </c>
      <c r="I158" s="270" t="s">
        <v>65</v>
      </c>
      <c r="J158" s="293" t="s">
        <v>66</v>
      </c>
      <c r="K158" s="294" t="s">
        <v>67</v>
      </c>
      <c r="M158" s="1"/>
      <c r="N158" s="272" t="s">
        <v>19</v>
      </c>
      <c r="O158" s="272" t="s">
        <v>20</v>
      </c>
      <c r="P158" s="272" t="s">
        <v>22</v>
      </c>
      <c r="Q158" s="272" t="s">
        <v>22</v>
      </c>
      <c r="R158" s="272" t="s">
        <v>19</v>
      </c>
      <c r="S158" s="259"/>
      <c r="T158" s="269" t="s">
        <v>64</v>
      </c>
      <c r="U158" s="270" t="s">
        <v>65</v>
      </c>
      <c r="V158" s="293" t="s">
        <v>66</v>
      </c>
      <c r="W158" s="294" t="s">
        <v>67</v>
      </c>
      <c r="Z158" s="273" t="s">
        <v>19</v>
      </c>
      <c r="AA158" s="274" t="s">
        <v>19</v>
      </c>
      <c r="AB158" s="259"/>
      <c r="AC158" s="269" t="s">
        <v>64</v>
      </c>
      <c r="AD158" s="270" t="s">
        <v>65</v>
      </c>
      <c r="AE158" s="293" t="s">
        <v>66</v>
      </c>
      <c r="AF158" s="294" t="s">
        <v>67</v>
      </c>
      <c r="AI158" s="268" t="s">
        <v>19</v>
      </c>
      <c r="AJ158" s="268" t="s">
        <v>19</v>
      </c>
      <c r="AK158" s="259"/>
      <c r="AL158" s="269" t="s">
        <v>64</v>
      </c>
      <c r="AM158" s="270" t="s">
        <v>65</v>
      </c>
      <c r="AN158" s="293" t="s">
        <v>66</v>
      </c>
      <c r="AO158" s="294" t="s">
        <v>67</v>
      </c>
      <c r="AQ158" s="1"/>
      <c r="AR158" s="268" t="s">
        <v>19</v>
      </c>
      <c r="AS158" s="268" t="s">
        <v>20</v>
      </c>
      <c r="AT158" s="268" t="s">
        <v>22</v>
      </c>
      <c r="AU158" s="268" t="s">
        <v>20</v>
      </c>
      <c r="AV158" s="268" t="s">
        <v>22</v>
      </c>
      <c r="AW158" s="268" t="s">
        <v>19</v>
      </c>
      <c r="AX158" s="259"/>
      <c r="AY158" s="269" t="s">
        <v>64</v>
      </c>
      <c r="AZ158" s="270" t="s">
        <v>65</v>
      </c>
      <c r="BA158" s="293" t="s">
        <v>66</v>
      </c>
      <c r="BB158" s="294" t="s">
        <v>67</v>
      </c>
      <c r="BE158" s="268" t="s">
        <v>19</v>
      </c>
      <c r="BF158" s="268" t="s">
        <v>19</v>
      </c>
      <c r="BG158" s="259"/>
      <c r="BH158" s="269" t="s">
        <v>64</v>
      </c>
      <c r="BI158" s="270" t="s">
        <v>65</v>
      </c>
      <c r="BJ158" s="293" t="s">
        <v>66</v>
      </c>
      <c r="BK158" s="294" t="s">
        <v>67</v>
      </c>
      <c r="BN158" s="268" t="s">
        <v>19</v>
      </c>
      <c r="BO158" s="268" t="s">
        <v>19</v>
      </c>
      <c r="BP158" s="259"/>
      <c r="BQ158" s="269" t="s">
        <v>64</v>
      </c>
      <c r="BR158" s="270" t="s">
        <v>65</v>
      </c>
      <c r="BS158" s="293" t="s">
        <v>66</v>
      </c>
      <c r="BT158" s="294" t="s">
        <v>67</v>
      </c>
      <c r="BW158" s="268" t="s">
        <v>19</v>
      </c>
      <c r="BX158" s="268" t="s">
        <v>19</v>
      </c>
      <c r="BY158" s="259"/>
      <c r="BZ158" s="269" t="s">
        <v>64</v>
      </c>
      <c r="CA158" s="270" t="s">
        <v>65</v>
      </c>
      <c r="CB158" s="293" t="s">
        <v>66</v>
      </c>
      <c r="CC158" s="294" t="s">
        <v>67</v>
      </c>
    </row>
    <row r="159" spans="2:81" ht="15.75" x14ac:dyDescent="0.25">
      <c r="B159" s="275">
        <v>45962</v>
      </c>
      <c r="C159" s="277"/>
      <c r="D159" s="276"/>
      <c r="E159" s="276"/>
      <c r="F159" s="276"/>
      <c r="G159" s="278"/>
      <c r="H159" s="279"/>
      <c r="I159" s="225"/>
      <c r="J159" s="225"/>
      <c r="K159" s="225">
        <f t="shared" ref="K159:K189" si="101">SUM(F159:J159)</f>
        <v>0</v>
      </c>
      <c r="M159" s="275">
        <f t="shared" ref="M159:M188" si="102">+B159</f>
        <v>45962</v>
      </c>
      <c r="N159" s="280"/>
      <c r="O159" s="280"/>
      <c r="P159" s="280"/>
      <c r="Q159" s="282"/>
      <c r="R159" s="282"/>
      <c r="S159" s="278"/>
      <c r="T159" s="279"/>
      <c r="U159" s="225"/>
      <c r="V159" s="225"/>
      <c r="W159" s="225">
        <f t="shared" ref="W159:W189" si="103">SUM(R159:V159)</f>
        <v>0</v>
      </c>
      <c r="Y159" s="275">
        <f t="shared" ref="Y159:Y188" si="104">+M159</f>
        <v>45962</v>
      </c>
      <c r="Z159" s="277"/>
      <c r="AA159" s="277"/>
      <c r="AB159" s="278"/>
      <c r="AC159" s="279"/>
      <c r="AD159" s="225"/>
      <c r="AE159" s="225"/>
      <c r="AF159" s="225">
        <f t="shared" ref="AF159:AF189" si="105">SUM(AA159:AE159)</f>
        <v>0</v>
      </c>
      <c r="AH159" s="275">
        <f t="shared" ref="AH159:AH188" si="106">+M159</f>
        <v>45962</v>
      </c>
      <c r="AI159" s="277"/>
      <c r="AJ159" s="280"/>
      <c r="AK159" s="278"/>
      <c r="AL159" s="279"/>
      <c r="AM159" s="225"/>
      <c r="AN159" s="225"/>
      <c r="AO159" s="225">
        <f t="shared" ref="AO159:AO189" si="107">SUM(AJ159:AN159)</f>
        <v>0</v>
      </c>
      <c r="AQ159" s="275">
        <f t="shared" ref="AQ159:AQ188" si="108">+AH159</f>
        <v>45962</v>
      </c>
      <c r="AR159" s="277"/>
      <c r="AS159" s="280"/>
      <c r="AT159" s="280"/>
      <c r="AU159" s="280"/>
      <c r="AV159" s="282"/>
      <c r="AW159" s="280"/>
      <c r="AX159" s="278"/>
      <c r="AY159" s="279"/>
      <c r="AZ159" s="225"/>
      <c r="BA159" s="225"/>
      <c r="BB159" s="225">
        <f t="shared" ref="BB159:BB189" si="109">SUM(AW159:BA159)</f>
        <v>0</v>
      </c>
      <c r="BD159" s="275">
        <f t="shared" ref="BD159:BD188" si="110">+AQ159</f>
        <v>45962</v>
      </c>
      <c r="BE159" s="277"/>
      <c r="BF159" s="280"/>
      <c r="BG159" s="278"/>
      <c r="BH159" s="279"/>
      <c r="BI159" s="225"/>
      <c r="BJ159" s="225"/>
      <c r="BK159" s="225">
        <f t="shared" ref="BK159:BK189" si="111">SUM(BF159:BJ159)</f>
        <v>0</v>
      </c>
      <c r="BM159" s="275">
        <f t="shared" ref="BM159:BM188" si="112">+BD159</f>
        <v>45962</v>
      </c>
      <c r="BN159" s="277"/>
      <c r="BO159" s="276"/>
      <c r="BP159" s="278"/>
      <c r="BQ159" s="279"/>
      <c r="BR159" s="225"/>
      <c r="BS159" s="225"/>
      <c r="BT159" s="225">
        <f t="shared" ref="BT159:BT189" si="113">SUM(BO159:BS159)</f>
        <v>0</v>
      </c>
      <c r="BV159" s="275">
        <f t="shared" ref="BV159:BV188" si="114">+BM159</f>
        <v>45962</v>
      </c>
      <c r="BW159" s="277"/>
      <c r="BX159" s="277"/>
      <c r="BY159" s="278"/>
      <c r="BZ159" s="279"/>
      <c r="CA159" s="225"/>
      <c r="CB159" s="225"/>
      <c r="CC159" s="225">
        <f t="shared" ref="CC159:CC189" si="115">SUM(BX159:CB159)</f>
        <v>0</v>
      </c>
    </row>
    <row r="160" spans="2:81" ht="15.75" x14ac:dyDescent="0.25">
      <c r="B160" s="275">
        <v>45963</v>
      </c>
      <c r="C160" s="277"/>
      <c r="D160" s="276"/>
      <c r="E160" s="276"/>
      <c r="F160" s="276"/>
      <c r="G160" s="278"/>
      <c r="H160" s="283"/>
      <c r="I160" s="226"/>
      <c r="J160" s="226"/>
      <c r="K160" s="226">
        <f t="shared" si="101"/>
        <v>0</v>
      </c>
      <c r="M160" s="275">
        <f t="shared" si="102"/>
        <v>45963</v>
      </c>
      <c r="N160" s="280"/>
      <c r="O160" s="280"/>
      <c r="P160" s="280"/>
      <c r="Q160" s="282"/>
      <c r="R160" s="282"/>
      <c r="S160" s="278"/>
      <c r="T160" s="283"/>
      <c r="U160" s="226"/>
      <c r="V160" s="226"/>
      <c r="W160" s="226">
        <f t="shared" si="103"/>
        <v>0</v>
      </c>
      <c r="Y160" s="275">
        <f t="shared" si="104"/>
        <v>45963</v>
      </c>
      <c r="Z160" s="277"/>
      <c r="AA160" s="277"/>
      <c r="AB160" s="278"/>
      <c r="AC160" s="283"/>
      <c r="AD160" s="226"/>
      <c r="AE160" s="226"/>
      <c r="AF160" s="226">
        <f t="shared" si="105"/>
        <v>0</v>
      </c>
      <c r="AH160" s="275">
        <f t="shared" si="106"/>
        <v>45963</v>
      </c>
      <c r="AI160" s="277"/>
      <c r="AJ160" s="280"/>
      <c r="AK160" s="278"/>
      <c r="AL160" s="283"/>
      <c r="AM160" s="226"/>
      <c r="AN160" s="226"/>
      <c r="AO160" s="226">
        <f t="shared" si="107"/>
        <v>0</v>
      </c>
      <c r="AQ160" s="275">
        <f t="shared" si="108"/>
        <v>45963</v>
      </c>
      <c r="AR160" s="277"/>
      <c r="AS160" s="280"/>
      <c r="AT160" s="280"/>
      <c r="AU160" s="280"/>
      <c r="AV160" s="282"/>
      <c r="AW160" s="280"/>
      <c r="AX160" s="278"/>
      <c r="AY160" s="283"/>
      <c r="AZ160" s="226"/>
      <c r="BA160" s="226"/>
      <c r="BB160" s="226">
        <f t="shared" si="109"/>
        <v>0</v>
      </c>
      <c r="BD160" s="275">
        <f t="shared" si="110"/>
        <v>45963</v>
      </c>
      <c r="BE160" s="277"/>
      <c r="BF160" s="280"/>
      <c r="BG160" s="278"/>
      <c r="BH160" s="283"/>
      <c r="BI160" s="226"/>
      <c r="BJ160" s="226"/>
      <c r="BK160" s="226">
        <f t="shared" si="111"/>
        <v>0</v>
      </c>
      <c r="BM160" s="275">
        <f t="shared" si="112"/>
        <v>45963</v>
      </c>
      <c r="BN160" s="277"/>
      <c r="BO160" s="276"/>
      <c r="BP160" s="278"/>
      <c r="BQ160" s="283"/>
      <c r="BR160" s="226"/>
      <c r="BS160" s="226"/>
      <c r="BT160" s="226">
        <f t="shared" si="113"/>
        <v>0</v>
      </c>
      <c r="BV160" s="275">
        <f t="shared" si="114"/>
        <v>45963</v>
      </c>
      <c r="BW160" s="277"/>
      <c r="BX160" s="277"/>
      <c r="BY160" s="278"/>
      <c r="BZ160" s="283"/>
      <c r="CA160" s="226"/>
      <c r="CB160" s="226"/>
      <c r="CC160" s="226">
        <f t="shared" si="115"/>
        <v>0</v>
      </c>
    </row>
    <row r="161" spans="2:81" ht="15.75" x14ac:dyDescent="0.25">
      <c r="B161" s="275">
        <v>45964</v>
      </c>
      <c r="C161" s="277"/>
      <c r="D161" s="276"/>
      <c r="E161" s="276"/>
      <c r="F161" s="276"/>
      <c r="G161" s="278"/>
      <c r="H161" s="283"/>
      <c r="I161" s="226"/>
      <c r="J161" s="226"/>
      <c r="K161" s="226">
        <f t="shared" si="101"/>
        <v>0</v>
      </c>
      <c r="M161" s="275">
        <f t="shared" si="102"/>
        <v>45964</v>
      </c>
      <c r="N161" s="280"/>
      <c r="O161" s="280"/>
      <c r="P161" s="280"/>
      <c r="Q161" s="282"/>
      <c r="R161" s="282"/>
      <c r="S161" s="278"/>
      <c r="T161" s="283"/>
      <c r="U161" s="226"/>
      <c r="V161" s="226"/>
      <c r="W161" s="226">
        <f t="shared" si="103"/>
        <v>0</v>
      </c>
      <c r="Y161" s="275">
        <f t="shared" si="104"/>
        <v>45964</v>
      </c>
      <c r="Z161" s="277"/>
      <c r="AA161" s="277"/>
      <c r="AB161" s="278"/>
      <c r="AC161" s="283"/>
      <c r="AD161" s="226"/>
      <c r="AE161" s="226"/>
      <c r="AF161" s="226">
        <f t="shared" si="105"/>
        <v>0</v>
      </c>
      <c r="AH161" s="275">
        <f t="shared" si="106"/>
        <v>45964</v>
      </c>
      <c r="AI161" s="277"/>
      <c r="AJ161" s="280"/>
      <c r="AK161" s="278"/>
      <c r="AL161" s="283"/>
      <c r="AM161" s="226"/>
      <c r="AN161" s="226"/>
      <c r="AO161" s="226">
        <f t="shared" si="107"/>
        <v>0</v>
      </c>
      <c r="AQ161" s="275">
        <f t="shared" si="108"/>
        <v>45964</v>
      </c>
      <c r="AR161" s="277"/>
      <c r="AS161" s="280"/>
      <c r="AT161" s="280"/>
      <c r="AU161" s="280"/>
      <c r="AV161" s="282"/>
      <c r="AW161" s="280"/>
      <c r="AX161" s="278"/>
      <c r="AY161" s="283"/>
      <c r="AZ161" s="226"/>
      <c r="BA161" s="226"/>
      <c r="BB161" s="226">
        <f t="shared" si="109"/>
        <v>0</v>
      </c>
      <c r="BD161" s="275">
        <f t="shared" si="110"/>
        <v>45964</v>
      </c>
      <c r="BE161" s="277"/>
      <c r="BF161" s="280"/>
      <c r="BG161" s="278"/>
      <c r="BH161" s="283"/>
      <c r="BI161" s="226"/>
      <c r="BJ161" s="226"/>
      <c r="BK161" s="226">
        <f t="shared" si="111"/>
        <v>0</v>
      </c>
      <c r="BM161" s="275">
        <f t="shared" si="112"/>
        <v>45964</v>
      </c>
      <c r="BN161" s="277"/>
      <c r="BO161" s="276"/>
      <c r="BP161" s="278"/>
      <c r="BQ161" s="283"/>
      <c r="BR161" s="226"/>
      <c r="BS161" s="226"/>
      <c r="BT161" s="226">
        <f t="shared" si="113"/>
        <v>0</v>
      </c>
      <c r="BV161" s="275">
        <f t="shared" si="114"/>
        <v>45964</v>
      </c>
      <c r="BW161" s="277"/>
      <c r="BX161" s="277"/>
      <c r="BY161" s="278"/>
      <c r="BZ161" s="283"/>
      <c r="CA161" s="226"/>
      <c r="CB161" s="226"/>
      <c r="CC161" s="226">
        <f t="shared" si="115"/>
        <v>0</v>
      </c>
    </row>
    <row r="162" spans="2:81" ht="15.75" x14ac:dyDescent="0.25">
      <c r="B162" s="275">
        <v>45965</v>
      </c>
      <c r="C162" s="277"/>
      <c r="D162" s="276"/>
      <c r="E162" s="276"/>
      <c r="F162" s="276"/>
      <c r="G162" s="278"/>
      <c r="H162" s="283"/>
      <c r="I162" s="226"/>
      <c r="J162" s="226"/>
      <c r="K162" s="226">
        <f t="shared" si="101"/>
        <v>0</v>
      </c>
      <c r="M162" s="275">
        <f t="shared" si="102"/>
        <v>45965</v>
      </c>
      <c r="N162" s="280"/>
      <c r="O162" s="280"/>
      <c r="P162" s="280"/>
      <c r="Q162" s="282"/>
      <c r="R162" s="282"/>
      <c r="S162" s="278"/>
      <c r="T162" s="283"/>
      <c r="U162" s="226"/>
      <c r="V162" s="226"/>
      <c r="W162" s="226">
        <f t="shared" si="103"/>
        <v>0</v>
      </c>
      <c r="Y162" s="275">
        <f t="shared" si="104"/>
        <v>45965</v>
      </c>
      <c r="Z162" s="277"/>
      <c r="AA162" s="277"/>
      <c r="AB162" s="278"/>
      <c r="AC162" s="283"/>
      <c r="AD162" s="226"/>
      <c r="AE162" s="226"/>
      <c r="AF162" s="226">
        <f t="shared" si="105"/>
        <v>0</v>
      </c>
      <c r="AH162" s="275">
        <f t="shared" si="106"/>
        <v>45965</v>
      </c>
      <c r="AI162" s="277"/>
      <c r="AJ162" s="280"/>
      <c r="AK162" s="278"/>
      <c r="AL162" s="283"/>
      <c r="AM162" s="226"/>
      <c r="AN162" s="226"/>
      <c r="AO162" s="226">
        <f t="shared" si="107"/>
        <v>0</v>
      </c>
      <c r="AQ162" s="275">
        <f t="shared" si="108"/>
        <v>45965</v>
      </c>
      <c r="AR162" s="277"/>
      <c r="AS162" s="280"/>
      <c r="AT162" s="280"/>
      <c r="AU162" s="280"/>
      <c r="AV162" s="282"/>
      <c r="AW162" s="280"/>
      <c r="AX162" s="278"/>
      <c r="AY162" s="283"/>
      <c r="AZ162" s="226"/>
      <c r="BA162" s="226"/>
      <c r="BB162" s="226">
        <f t="shared" si="109"/>
        <v>0</v>
      </c>
      <c r="BD162" s="275">
        <f t="shared" si="110"/>
        <v>45965</v>
      </c>
      <c r="BE162" s="277"/>
      <c r="BF162" s="280"/>
      <c r="BG162" s="278"/>
      <c r="BH162" s="283"/>
      <c r="BI162" s="226"/>
      <c r="BJ162" s="226"/>
      <c r="BK162" s="226">
        <f t="shared" si="111"/>
        <v>0</v>
      </c>
      <c r="BM162" s="275">
        <f t="shared" si="112"/>
        <v>45965</v>
      </c>
      <c r="BN162" s="277"/>
      <c r="BO162" s="276"/>
      <c r="BP162" s="278"/>
      <c r="BQ162" s="283"/>
      <c r="BR162" s="226"/>
      <c r="BS162" s="226"/>
      <c r="BT162" s="226">
        <f t="shared" si="113"/>
        <v>0</v>
      </c>
      <c r="BV162" s="275">
        <f t="shared" si="114"/>
        <v>45965</v>
      </c>
      <c r="BW162" s="277"/>
      <c r="BX162" s="277"/>
      <c r="BY162" s="278"/>
      <c r="BZ162" s="283"/>
      <c r="CA162" s="226"/>
      <c r="CB162" s="226"/>
      <c r="CC162" s="226">
        <f t="shared" si="115"/>
        <v>0</v>
      </c>
    </row>
    <row r="163" spans="2:81" ht="15.75" x14ac:dyDescent="0.25">
      <c r="B163" s="275">
        <v>45966</v>
      </c>
      <c r="C163" s="277"/>
      <c r="D163" s="276"/>
      <c r="E163" s="276"/>
      <c r="F163" s="276"/>
      <c r="G163" s="278"/>
      <c r="H163" s="283"/>
      <c r="I163" s="226"/>
      <c r="J163" s="226"/>
      <c r="K163" s="226">
        <f t="shared" si="101"/>
        <v>0</v>
      </c>
      <c r="M163" s="275">
        <f t="shared" si="102"/>
        <v>45966</v>
      </c>
      <c r="N163" s="280"/>
      <c r="O163" s="280"/>
      <c r="P163" s="280"/>
      <c r="Q163" s="282"/>
      <c r="R163" s="282"/>
      <c r="S163" s="278"/>
      <c r="T163" s="283"/>
      <c r="U163" s="226"/>
      <c r="V163" s="226"/>
      <c r="W163" s="226">
        <f t="shared" si="103"/>
        <v>0</v>
      </c>
      <c r="Y163" s="275">
        <f t="shared" si="104"/>
        <v>45966</v>
      </c>
      <c r="Z163" s="277"/>
      <c r="AA163" s="277"/>
      <c r="AB163" s="278"/>
      <c r="AC163" s="283"/>
      <c r="AD163" s="226"/>
      <c r="AE163" s="226"/>
      <c r="AF163" s="226">
        <f t="shared" si="105"/>
        <v>0</v>
      </c>
      <c r="AH163" s="275">
        <f t="shared" si="106"/>
        <v>45966</v>
      </c>
      <c r="AI163" s="277"/>
      <c r="AJ163" s="280"/>
      <c r="AK163" s="278"/>
      <c r="AL163" s="283"/>
      <c r="AM163" s="226"/>
      <c r="AN163" s="226"/>
      <c r="AO163" s="226">
        <f t="shared" si="107"/>
        <v>0</v>
      </c>
      <c r="AQ163" s="275">
        <f t="shared" si="108"/>
        <v>45966</v>
      </c>
      <c r="AR163" s="277"/>
      <c r="AS163" s="280"/>
      <c r="AT163" s="280"/>
      <c r="AU163" s="280"/>
      <c r="AV163" s="282"/>
      <c r="AW163" s="280"/>
      <c r="AX163" s="278"/>
      <c r="AY163" s="283"/>
      <c r="AZ163" s="226"/>
      <c r="BA163" s="226"/>
      <c r="BB163" s="226">
        <f t="shared" si="109"/>
        <v>0</v>
      </c>
      <c r="BD163" s="275">
        <f t="shared" si="110"/>
        <v>45966</v>
      </c>
      <c r="BE163" s="277"/>
      <c r="BF163" s="280"/>
      <c r="BG163" s="278"/>
      <c r="BH163" s="283"/>
      <c r="BI163" s="226"/>
      <c r="BJ163" s="226"/>
      <c r="BK163" s="226">
        <f t="shared" si="111"/>
        <v>0</v>
      </c>
      <c r="BM163" s="275">
        <f t="shared" si="112"/>
        <v>45966</v>
      </c>
      <c r="BN163" s="277"/>
      <c r="BO163" s="276"/>
      <c r="BP163" s="278"/>
      <c r="BQ163" s="283"/>
      <c r="BR163" s="226"/>
      <c r="BS163" s="226"/>
      <c r="BT163" s="226">
        <f t="shared" si="113"/>
        <v>0</v>
      </c>
      <c r="BV163" s="275">
        <f t="shared" si="114"/>
        <v>45966</v>
      </c>
      <c r="BW163" s="277"/>
      <c r="BX163" s="277"/>
      <c r="BY163" s="278"/>
      <c r="BZ163" s="283"/>
      <c r="CA163" s="226"/>
      <c r="CB163" s="226"/>
      <c r="CC163" s="226">
        <f t="shared" si="115"/>
        <v>0</v>
      </c>
    </row>
    <row r="164" spans="2:81" ht="15.75" x14ac:dyDescent="0.25">
      <c r="B164" s="275">
        <v>45967</v>
      </c>
      <c r="C164" s="277"/>
      <c r="D164" s="276"/>
      <c r="E164" s="276"/>
      <c r="F164" s="276"/>
      <c r="G164" s="278"/>
      <c r="H164" s="283"/>
      <c r="I164" s="226"/>
      <c r="J164" s="226"/>
      <c r="K164" s="226">
        <f t="shared" si="101"/>
        <v>0</v>
      </c>
      <c r="M164" s="275">
        <f t="shared" si="102"/>
        <v>45967</v>
      </c>
      <c r="N164" s="280"/>
      <c r="O164" s="280"/>
      <c r="P164" s="280"/>
      <c r="Q164" s="282"/>
      <c r="R164" s="282"/>
      <c r="S164" s="278"/>
      <c r="T164" s="283"/>
      <c r="U164" s="226"/>
      <c r="V164" s="226"/>
      <c r="W164" s="226">
        <f t="shared" si="103"/>
        <v>0</v>
      </c>
      <c r="Y164" s="275">
        <f t="shared" si="104"/>
        <v>45967</v>
      </c>
      <c r="Z164" s="277"/>
      <c r="AA164" s="277"/>
      <c r="AB164" s="278"/>
      <c r="AC164" s="283"/>
      <c r="AD164" s="226"/>
      <c r="AE164" s="226"/>
      <c r="AF164" s="226">
        <f t="shared" si="105"/>
        <v>0</v>
      </c>
      <c r="AH164" s="275">
        <f t="shared" si="106"/>
        <v>45967</v>
      </c>
      <c r="AI164" s="277"/>
      <c r="AJ164" s="280"/>
      <c r="AK164" s="278"/>
      <c r="AL164" s="283"/>
      <c r="AM164" s="226"/>
      <c r="AN164" s="226"/>
      <c r="AO164" s="226">
        <f t="shared" si="107"/>
        <v>0</v>
      </c>
      <c r="AQ164" s="275">
        <f t="shared" si="108"/>
        <v>45967</v>
      </c>
      <c r="AR164" s="277"/>
      <c r="AS164" s="280"/>
      <c r="AT164" s="280"/>
      <c r="AU164" s="280"/>
      <c r="AV164" s="282"/>
      <c r="AW164" s="280"/>
      <c r="AX164" s="278"/>
      <c r="AY164" s="283"/>
      <c r="AZ164" s="226"/>
      <c r="BA164" s="226"/>
      <c r="BB164" s="226">
        <f t="shared" si="109"/>
        <v>0</v>
      </c>
      <c r="BD164" s="275">
        <f t="shared" si="110"/>
        <v>45967</v>
      </c>
      <c r="BE164" s="277"/>
      <c r="BF164" s="280"/>
      <c r="BG164" s="278"/>
      <c r="BH164" s="283"/>
      <c r="BI164" s="226"/>
      <c r="BJ164" s="226"/>
      <c r="BK164" s="226">
        <f t="shared" si="111"/>
        <v>0</v>
      </c>
      <c r="BM164" s="275">
        <f t="shared" si="112"/>
        <v>45967</v>
      </c>
      <c r="BN164" s="277"/>
      <c r="BO164" s="276"/>
      <c r="BP164" s="278"/>
      <c r="BQ164" s="283"/>
      <c r="BR164" s="226"/>
      <c r="BS164" s="226"/>
      <c r="BT164" s="226">
        <f t="shared" si="113"/>
        <v>0</v>
      </c>
      <c r="BV164" s="275">
        <f t="shared" si="114"/>
        <v>45967</v>
      </c>
      <c r="BW164" s="277"/>
      <c r="BX164" s="277"/>
      <c r="BY164" s="278"/>
      <c r="BZ164" s="283"/>
      <c r="CA164" s="226"/>
      <c r="CB164" s="226"/>
      <c r="CC164" s="226">
        <f t="shared" si="115"/>
        <v>0</v>
      </c>
    </row>
    <row r="165" spans="2:81" ht="15.75" x14ac:dyDescent="0.25">
      <c r="B165" s="275">
        <v>45968</v>
      </c>
      <c r="C165" s="277"/>
      <c r="D165" s="276"/>
      <c r="E165" s="276"/>
      <c r="F165" s="276"/>
      <c r="G165" s="278"/>
      <c r="H165" s="283"/>
      <c r="I165" s="226"/>
      <c r="J165" s="226"/>
      <c r="K165" s="226">
        <f t="shared" si="101"/>
        <v>0</v>
      </c>
      <c r="M165" s="275">
        <f t="shared" si="102"/>
        <v>45968</v>
      </c>
      <c r="N165" s="280"/>
      <c r="O165" s="280"/>
      <c r="P165" s="280"/>
      <c r="Q165" s="282"/>
      <c r="R165" s="282"/>
      <c r="S165" s="278"/>
      <c r="T165" s="283"/>
      <c r="U165" s="226"/>
      <c r="V165" s="226"/>
      <c r="W165" s="226">
        <f t="shared" si="103"/>
        <v>0</v>
      </c>
      <c r="Y165" s="275">
        <f t="shared" si="104"/>
        <v>45968</v>
      </c>
      <c r="Z165" s="277"/>
      <c r="AA165" s="277"/>
      <c r="AB165" s="278"/>
      <c r="AC165" s="283"/>
      <c r="AD165" s="226"/>
      <c r="AE165" s="226"/>
      <c r="AF165" s="226">
        <f t="shared" si="105"/>
        <v>0</v>
      </c>
      <c r="AH165" s="275">
        <f t="shared" si="106"/>
        <v>45968</v>
      </c>
      <c r="AI165" s="277"/>
      <c r="AJ165" s="280"/>
      <c r="AK165" s="278"/>
      <c r="AL165" s="283"/>
      <c r="AM165" s="226"/>
      <c r="AN165" s="226"/>
      <c r="AO165" s="226">
        <f t="shared" si="107"/>
        <v>0</v>
      </c>
      <c r="AQ165" s="275">
        <f t="shared" si="108"/>
        <v>45968</v>
      </c>
      <c r="AR165" s="277"/>
      <c r="AS165" s="280"/>
      <c r="AT165" s="280"/>
      <c r="AU165" s="280"/>
      <c r="AV165" s="282"/>
      <c r="AW165" s="280"/>
      <c r="AX165" s="278"/>
      <c r="AY165" s="283"/>
      <c r="AZ165" s="226"/>
      <c r="BA165" s="226"/>
      <c r="BB165" s="226">
        <f t="shared" si="109"/>
        <v>0</v>
      </c>
      <c r="BD165" s="275">
        <f t="shared" si="110"/>
        <v>45968</v>
      </c>
      <c r="BE165" s="277"/>
      <c r="BF165" s="280"/>
      <c r="BG165" s="278"/>
      <c r="BH165" s="283"/>
      <c r="BI165" s="226"/>
      <c r="BJ165" s="226"/>
      <c r="BK165" s="226">
        <f t="shared" si="111"/>
        <v>0</v>
      </c>
      <c r="BM165" s="275">
        <f t="shared" si="112"/>
        <v>45968</v>
      </c>
      <c r="BN165" s="277"/>
      <c r="BO165" s="276"/>
      <c r="BP165" s="278"/>
      <c r="BQ165" s="283"/>
      <c r="BR165" s="226"/>
      <c r="BS165" s="226"/>
      <c r="BT165" s="226">
        <f t="shared" si="113"/>
        <v>0</v>
      </c>
      <c r="BV165" s="275">
        <f t="shared" si="114"/>
        <v>45968</v>
      </c>
      <c r="BW165" s="277"/>
      <c r="BX165" s="277"/>
      <c r="BY165" s="278"/>
      <c r="BZ165" s="283"/>
      <c r="CA165" s="226"/>
      <c r="CB165" s="226"/>
      <c r="CC165" s="226">
        <f t="shared" si="115"/>
        <v>0</v>
      </c>
    </row>
    <row r="166" spans="2:81" ht="15.75" x14ac:dyDescent="0.25">
      <c r="B166" s="275">
        <v>45969</v>
      </c>
      <c r="C166" s="277"/>
      <c r="D166" s="276"/>
      <c r="E166" s="276"/>
      <c r="F166" s="276"/>
      <c r="G166" s="278"/>
      <c r="H166" s="283"/>
      <c r="I166" s="226"/>
      <c r="J166" s="226"/>
      <c r="K166" s="226">
        <f t="shared" si="101"/>
        <v>0</v>
      </c>
      <c r="M166" s="275">
        <f t="shared" si="102"/>
        <v>45969</v>
      </c>
      <c r="N166" s="280"/>
      <c r="O166" s="280"/>
      <c r="P166" s="280"/>
      <c r="Q166" s="282"/>
      <c r="R166" s="282"/>
      <c r="S166" s="278"/>
      <c r="T166" s="283"/>
      <c r="U166" s="226"/>
      <c r="V166" s="226"/>
      <c r="W166" s="226">
        <f t="shared" si="103"/>
        <v>0</v>
      </c>
      <c r="Y166" s="275">
        <f t="shared" si="104"/>
        <v>45969</v>
      </c>
      <c r="Z166" s="277"/>
      <c r="AA166" s="277"/>
      <c r="AB166" s="278"/>
      <c r="AC166" s="283"/>
      <c r="AD166" s="226"/>
      <c r="AE166" s="226"/>
      <c r="AF166" s="226">
        <f t="shared" si="105"/>
        <v>0</v>
      </c>
      <c r="AH166" s="275">
        <f t="shared" si="106"/>
        <v>45969</v>
      </c>
      <c r="AI166" s="277"/>
      <c r="AJ166" s="280"/>
      <c r="AK166" s="278"/>
      <c r="AL166" s="283"/>
      <c r="AM166" s="226"/>
      <c r="AN166" s="226"/>
      <c r="AO166" s="226">
        <f t="shared" si="107"/>
        <v>0</v>
      </c>
      <c r="AQ166" s="275">
        <f t="shared" si="108"/>
        <v>45969</v>
      </c>
      <c r="AR166" s="277"/>
      <c r="AS166" s="280"/>
      <c r="AT166" s="280"/>
      <c r="AU166" s="280"/>
      <c r="AV166" s="282"/>
      <c r="AW166" s="280"/>
      <c r="AX166" s="278"/>
      <c r="AY166" s="283"/>
      <c r="AZ166" s="226"/>
      <c r="BA166" s="226"/>
      <c r="BB166" s="226">
        <f t="shared" si="109"/>
        <v>0</v>
      </c>
      <c r="BD166" s="275">
        <f t="shared" si="110"/>
        <v>45969</v>
      </c>
      <c r="BE166" s="277"/>
      <c r="BF166" s="280"/>
      <c r="BG166" s="278"/>
      <c r="BH166" s="283"/>
      <c r="BI166" s="226"/>
      <c r="BJ166" s="226"/>
      <c r="BK166" s="226">
        <f t="shared" si="111"/>
        <v>0</v>
      </c>
      <c r="BM166" s="275">
        <f t="shared" si="112"/>
        <v>45969</v>
      </c>
      <c r="BN166" s="277"/>
      <c r="BO166" s="276"/>
      <c r="BP166" s="278"/>
      <c r="BQ166" s="283"/>
      <c r="BR166" s="226"/>
      <c r="BS166" s="226"/>
      <c r="BT166" s="226">
        <f t="shared" si="113"/>
        <v>0</v>
      </c>
      <c r="BV166" s="275">
        <f t="shared" si="114"/>
        <v>45969</v>
      </c>
      <c r="BW166" s="277"/>
      <c r="BX166" s="277"/>
      <c r="BY166" s="278"/>
      <c r="BZ166" s="283"/>
      <c r="CA166" s="226"/>
      <c r="CB166" s="226"/>
      <c r="CC166" s="226">
        <f t="shared" si="115"/>
        <v>0</v>
      </c>
    </row>
    <row r="167" spans="2:81" ht="15.75" x14ac:dyDescent="0.25">
      <c r="B167" s="275">
        <v>45970</v>
      </c>
      <c r="C167" s="277"/>
      <c r="D167" s="276"/>
      <c r="E167" s="276"/>
      <c r="F167" s="276"/>
      <c r="G167" s="278"/>
      <c r="H167" s="283"/>
      <c r="I167" s="226"/>
      <c r="J167" s="226"/>
      <c r="K167" s="226">
        <f t="shared" si="101"/>
        <v>0</v>
      </c>
      <c r="M167" s="275">
        <f t="shared" si="102"/>
        <v>45970</v>
      </c>
      <c r="N167" s="280"/>
      <c r="O167" s="280"/>
      <c r="P167" s="280"/>
      <c r="Q167" s="282"/>
      <c r="R167" s="282"/>
      <c r="S167" s="278"/>
      <c r="T167" s="283"/>
      <c r="U167" s="226"/>
      <c r="V167" s="226"/>
      <c r="W167" s="226">
        <f t="shared" si="103"/>
        <v>0</v>
      </c>
      <c r="Y167" s="275">
        <f t="shared" si="104"/>
        <v>45970</v>
      </c>
      <c r="Z167" s="277"/>
      <c r="AA167" s="277"/>
      <c r="AB167" s="278"/>
      <c r="AC167" s="283"/>
      <c r="AD167" s="226"/>
      <c r="AE167" s="226"/>
      <c r="AF167" s="226">
        <f t="shared" si="105"/>
        <v>0</v>
      </c>
      <c r="AH167" s="275">
        <f t="shared" si="106"/>
        <v>45970</v>
      </c>
      <c r="AI167" s="277"/>
      <c r="AJ167" s="280"/>
      <c r="AK167" s="278"/>
      <c r="AL167" s="283"/>
      <c r="AM167" s="226"/>
      <c r="AN167" s="226"/>
      <c r="AO167" s="226">
        <f t="shared" si="107"/>
        <v>0</v>
      </c>
      <c r="AQ167" s="275">
        <f t="shared" si="108"/>
        <v>45970</v>
      </c>
      <c r="AR167" s="277"/>
      <c r="AS167" s="280"/>
      <c r="AT167" s="280"/>
      <c r="AU167" s="280"/>
      <c r="AV167" s="282"/>
      <c r="AW167" s="280"/>
      <c r="AX167" s="278"/>
      <c r="AY167" s="283"/>
      <c r="AZ167" s="226"/>
      <c r="BA167" s="226"/>
      <c r="BB167" s="226">
        <f t="shared" si="109"/>
        <v>0</v>
      </c>
      <c r="BD167" s="275">
        <f t="shared" si="110"/>
        <v>45970</v>
      </c>
      <c r="BE167" s="277"/>
      <c r="BF167" s="280"/>
      <c r="BG167" s="278"/>
      <c r="BH167" s="283"/>
      <c r="BI167" s="226"/>
      <c r="BJ167" s="226"/>
      <c r="BK167" s="226">
        <f t="shared" si="111"/>
        <v>0</v>
      </c>
      <c r="BM167" s="275">
        <f t="shared" si="112"/>
        <v>45970</v>
      </c>
      <c r="BN167" s="277"/>
      <c r="BO167" s="276"/>
      <c r="BP167" s="278"/>
      <c r="BQ167" s="283"/>
      <c r="BR167" s="226"/>
      <c r="BS167" s="226"/>
      <c r="BT167" s="226">
        <f t="shared" si="113"/>
        <v>0</v>
      </c>
      <c r="BV167" s="275">
        <f t="shared" si="114"/>
        <v>45970</v>
      </c>
      <c r="BW167" s="277"/>
      <c r="BX167" s="277"/>
      <c r="BY167" s="278"/>
      <c r="BZ167" s="283"/>
      <c r="CA167" s="226"/>
      <c r="CB167" s="226"/>
      <c r="CC167" s="226">
        <f t="shared" si="115"/>
        <v>0</v>
      </c>
    </row>
    <row r="168" spans="2:81" ht="15.75" x14ac:dyDescent="0.25">
      <c r="B168" s="275">
        <v>45971</v>
      </c>
      <c r="C168" s="277"/>
      <c r="D168" s="276"/>
      <c r="E168" s="276"/>
      <c r="F168" s="276"/>
      <c r="G168" s="278"/>
      <c r="H168" s="283"/>
      <c r="I168" s="226"/>
      <c r="J168" s="226"/>
      <c r="K168" s="226">
        <f t="shared" si="101"/>
        <v>0</v>
      </c>
      <c r="M168" s="275">
        <f t="shared" si="102"/>
        <v>45971</v>
      </c>
      <c r="N168" s="280"/>
      <c r="O168" s="280"/>
      <c r="P168" s="280"/>
      <c r="Q168" s="282"/>
      <c r="R168" s="282"/>
      <c r="S168" s="278"/>
      <c r="T168" s="283"/>
      <c r="U168" s="226"/>
      <c r="V168" s="226"/>
      <c r="W168" s="226">
        <f t="shared" si="103"/>
        <v>0</v>
      </c>
      <c r="Y168" s="275">
        <f t="shared" si="104"/>
        <v>45971</v>
      </c>
      <c r="Z168" s="277"/>
      <c r="AA168" s="277"/>
      <c r="AB168" s="278"/>
      <c r="AC168" s="283"/>
      <c r="AD168" s="226"/>
      <c r="AE168" s="226"/>
      <c r="AF168" s="226">
        <f t="shared" si="105"/>
        <v>0</v>
      </c>
      <c r="AH168" s="275">
        <f t="shared" si="106"/>
        <v>45971</v>
      </c>
      <c r="AI168" s="277"/>
      <c r="AJ168" s="280"/>
      <c r="AK168" s="278"/>
      <c r="AL168" s="283"/>
      <c r="AM168" s="226"/>
      <c r="AN168" s="226"/>
      <c r="AO168" s="226">
        <f t="shared" si="107"/>
        <v>0</v>
      </c>
      <c r="AQ168" s="275">
        <f t="shared" si="108"/>
        <v>45971</v>
      </c>
      <c r="AR168" s="277"/>
      <c r="AS168" s="280"/>
      <c r="AT168" s="280"/>
      <c r="AU168" s="280"/>
      <c r="AV168" s="282"/>
      <c r="AW168" s="280"/>
      <c r="AX168" s="278"/>
      <c r="AY168" s="283"/>
      <c r="AZ168" s="226"/>
      <c r="BA168" s="226"/>
      <c r="BB168" s="226">
        <f t="shared" si="109"/>
        <v>0</v>
      </c>
      <c r="BD168" s="275">
        <f t="shared" si="110"/>
        <v>45971</v>
      </c>
      <c r="BE168" s="277"/>
      <c r="BF168" s="280"/>
      <c r="BG168" s="278"/>
      <c r="BH168" s="283"/>
      <c r="BI168" s="226"/>
      <c r="BJ168" s="226"/>
      <c r="BK168" s="226">
        <f t="shared" si="111"/>
        <v>0</v>
      </c>
      <c r="BM168" s="275">
        <f t="shared" si="112"/>
        <v>45971</v>
      </c>
      <c r="BN168" s="277"/>
      <c r="BO168" s="276"/>
      <c r="BP168" s="278"/>
      <c r="BQ168" s="283"/>
      <c r="BR168" s="226"/>
      <c r="BS168" s="226"/>
      <c r="BT168" s="226">
        <f t="shared" si="113"/>
        <v>0</v>
      </c>
      <c r="BV168" s="275">
        <f t="shared" si="114"/>
        <v>45971</v>
      </c>
      <c r="BW168" s="277"/>
      <c r="BX168" s="277"/>
      <c r="BY168" s="278"/>
      <c r="BZ168" s="283"/>
      <c r="CA168" s="226"/>
      <c r="CB168" s="226"/>
      <c r="CC168" s="226">
        <f t="shared" si="115"/>
        <v>0</v>
      </c>
    </row>
    <row r="169" spans="2:81" ht="15.75" x14ac:dyDescent="0.25">
      <c r="B169" s="275">
        <v>45972</v>
      </c>
      <c r="C169" s="277"/>
      <c r="D169" s="276"/>
      <c r="E169" s="276"/>
      <c r="F169" s="276"/>
      <c r="G169" s="278"/>
      <c r="H169" s="283"/>
      <c r="I169" s="226"/>
      <c r="J169" s="226"/>
      <c r="K169" s="226">
        <f t="shared" si="101"/>
        <v>0</v>
      </c>
      <c r="M169" s="275">
        <f t="shared" si="102"/>
        <v>45972</v>
      </c>
      <c r="N169" s="280"/>
      <c r="O169" s="280"/>
      <c r="P169" s="280"/>
      <c r="Q169" s="282"/>
      <c r="R169" s="282"/>
      <c r="S169" s="278"/>
      <c r="T169" s="283"/>
      <c r="U169" s="226"/>
      <c r="V169" s="226"/>
      <c r="W169" s="226">
        <f t="shared" si="103"/>
        <v>0</v>
      </c>
      <c r="Y169" s="275">
        <f t="shared" si="104"/>
        <v>45972</v>
      </c>
      <c r="Z169" s="277"/>
      <c r="AA169" s="277"/>
      <c r="AB169" s="278"/>
      <c r="AC169" s="283"/>
      <c r="AD169" s="226"/>
      <c r="AE169" s="226"/>
      <c r="AF169" s="226">
        <f t="shared" si="105"/>
        <v>0</v>
      </c>
      <c r="AH169" s="275">
        <f t="shared" si="106"/>
        <v>45972</v>
      </c>
      <c r="AI169" s="277"/>
      <c r="AJ169" s="280"/>
      <c r="AK169" s="278"/>
      <c r="AL169" s="283"/>
      <c r="AM169" s="226"/>
      <c r="AN169" s="226"/>
      <c r="AO169" s="226">
        <f t="shared" si="107"/>
        <v>0</v>
      </c>
      <c r="AQ169" s="275">
        <f t="shared" si="108"/>
        <v>45972</v>
      </c>
      <c r="AR169" s="277"/>
      <c r="AS169" s="280"/>
      <c r="AT169" s="280"/>
      <c r="AU169" s="280"/>
      <c r="AV169" s="282"/>
      <c r="AW169" s="280"/>
      <c r="AX169" s="278"/>
      <c r="AY169" s="283"/>
      <c r="AZ169" s="226"/>
      <c r="BA169" s="226"/>
      <c r="BB169" s="226">
        <f t="shared" si="109"/>
        <v>0</v>
      </c>
      <c r="BD169" s="275">
        <f t="shared" si="110"/>
        <v>45972</v>
      </c>
      <c r="BE169" s="277"/>
      <c r="BF169" s="280"/>
      <c r="BG169" s="278"/>
      <c r="BH169" s="283"/>
      <c r="BI169" s="226"/>
      <c r="BJ169" s="226"/>
      <c r="BK169" s="226">
        <f t="shared" si="111"/>
        <v>0</v>
      </c>
      <c r="BM169" s="275">
        <f t="shared" si="112"/>
        <v>45972</v>
      </c>
      <c r="BN169" s="277"/>
      <c r="BO169" s="276"/>
      <c r="BP169" s="278"/>
      <c r="BQ169" s="283"/>
      <c r="BR169" s="226"/>
      <c r="BS169" s="226"/>
      <c r="BT169" s="226">
        <f t="shared" si="113"/>
        <v>0</v>
      </c>
      <c r="BV169" s="275">
        <f t="shared" si="114"/>
        <v>45972</v>
      </c>
      <c r="BW169" s="277"/>
      <c r="BX169" s="277"/>
      <c r="BY169" s="278"/>
      <c r="BZ169" s="283"/>
      <c r="CA169" s="226"/>
      <c r="CB169" s="226"/>
      <c r="CC169" s="226">
        <f t="shared" si="115"/>
        <v>0</v>
      </c>
    </row>
    <row r="170" spans="2:81" ht="15.75" x14ac:dyDescent="0.25">
      <c r="B170" s="275">
        <v>45973</v>
      </c>
      <c r="C170" s="277"/>
      <c r="D170" s="276"/>
      <c r="E170" s="276"/>
      <c r="F170" s="276"/>
      <c r="G170" s="278"/>
      <c r="H170" s="283"/>
      <c r="I170" s="226"/>
      <c r="J170" s="226"/>
      <c r="K170" s="226">
        <f t="shared" si="101"/>
        <v>0</v>
      </c>
      <c r="M170" s="275">
        <f t="shared" si="102"/>
        <v>45973</v>
      </c>
      <c r="N170" s="280"/>
      <c r="O170" s="280"/>
      <c r="P170" s="280"/>
      <c r="Q170" s="282"/>
      <c r="R170" s="282"/>
      <c r="S170" s="278"/>
      <c r="T170" s="283"/>
      <c r="U170" s="226"/>
      <c r="V170" s="226"/>
      <c r="W170" s="226">
        <f t="shared" si="103"/>
        <v>0</v>
      </c>
      <c r="Y170" s="275">
        <f t="shared" si="104"/>
        <v>45973</v>
      </c>
      <c r="Z170" s="277"/>
      <c r="AA170" s="277"/>
      <c r="AB170" s="278"/>
      <c r="AC170" s="283"/>
      <c r="AD170" s="226"/>
      <c r="AE170" s="226"/>
      <c r="AF170" s="226">
        <f t="shared" si="105"/>
        <v>0</v>
      </c>
      <c r="AH170" s="275">
        <f t="shared" si="106"/>
        <v>45973</v>
      </c>
      <c r="AI170" s="277"/>
      <c r="AJ170" s="280"/>
      <c r="AK170" s="278"/>
      <c r="AL170" s="283"/>
      <c r="AM170" s="226"/>
      <c r="AN170" s="226"/>
      <c r="AO170" s="226">
        <f t="shared" si="107"/>
        <v>0</v>
      </c>
      <c r="AQ170" s="275">
        <f t="shared" si="108"/>
        <v>45973</v>
      </c>
      <c r="AR170" s="277"/>
      <c r="AS170" s="280"/>
      <c r="AT170" s="280"/>
      <c r="AU170" s="280"/>
      <c r="AV170" s="282"/>
      <c r="AW170" s="280"/>
      <c r="AX170" s="278"/>
      <c r="AY170" s="283"/>
      <c r="AZ170" s="226"/>
      <c r="BA170" s="226"/>
      <c r="BB170" s="226">
        <f t="shared" si="109"/>
        <v>0</v>
      </c>
      <c r="BD170" s="275">
        <f t="shared" si="110"/>
        <v>45973</v>
      </c>
      <c r="BE170" s="277"/>
      <c r="BF170" s="280"/>
      <c r="BG170" s="278"/>
      <c r="BH170" s="283"/>
      <c r="BI170" s="226"/>
      <c r="BJ170" s="226"/>
      <c r="BK170" s="226">
        <f t="shared" si="111"/>
        <v>0</v>
      </c>
      <c r="BM170" s="275">
        <f t="shared" si="112"/>
        <v>45973</v>
      </c>
      <c r="BN170" s="277"/>
      <c r="BO170" s="276"/>
      <c r="BP170" s="278"/>
      <c r="BQ170" s="283"/>
      <c r="BR170" s="226"/>
      <c r="BS170" s="226"/>
      <c r="BT170" s="226">
        <f t="shared" si="113"/>
        <v>0</v>
      </c>
      <c r="BV170" s="275">
        <f t="shared" si="114"/>
        <v>45973</v>
      </c>
      <c r="BW170" s="277"/>
      <c r="BX170" s="277"/>
      <c r="BY170" s="278"/>
      <c r="BZ170" s="283"/>
      <c r="CA170" s="226"/>
      <c r="CB170" s="226"/>
      <c r="CC170" s="226">
        <f t="shared" si="115"/>
        <v>0</v>
      </c>
    </row>
    <row r="171" spans="2:81" ht="15.75" x14ac:dyDescent="0.25">
      <c r="B171" s="275">
        <v>45974</v>
      </c>
      <c r="C171" s="277"/>
      <c r="D171" s="276"/>
      <c r="E171" s="276"/>
      <c r="F171" s="276"/>
      <c r="G171" s="278"/>
      <c r="H171" s="283"/>
      <c r="I171" s="226"/>
      <c r="J171" s="226"/>
      <c r="K171" s="226">
        <f t="shared" si="101"/>
        <v>0</v>
      </c>
      <c r="M171" s="275">
        <f t="shared" si="102"/>
        <v>45974</v>
      </c>
      <c r="N171" s="280"/>
      <c r="O171" s="280"/>
      <c r="P171" s="280"/>
      <c r="Q171" s="282"/>
      <c r="R171" s="282"/>
      <c r="S171" s="278"/>
      <c r="T171" s="283"/>
      <c r="U171" s="226"/>
      <c r="V171" s="226"/>
      <c r="W171" s="226">
        <f t="shared" si="103"/>
        <v>0</v>
      </c>
      <c r="Y171" s="275">
        <f t="shared" si="104"/>
        <v>45974</v>
      </c>
      <c r="Z171" s="277"/>
      <c r="AA171" s="277"/>
      <c r="AB171" s="278"/>
      <c r="AC171" s="283"/>
      <c r="AD171" s="226"/>
      <c r="AE171" s="226"/>
      <c r="AF171" s="226">
        <f t="shared" si="105"/>
        <v>0</v>
      </c>
      <c r="AH171" s="275">
        <f t="shared" si="106"/>
        <v>45974</v>
      </c>
      <c r="AI171" s="277"/>
      <c r="AJ171" s="280"/>
      <c r="AK171" s="278"/>
      <c r="AL171" s="283"/>
      <c r="AM171" s="226"/>
      <c r="AN171" s="226"/>
      <c r="AO171" s="226">
        <f t="shared" si="107"/>
        <v>0</v>
      </c>
      <c r="AQ171" s="275">
        <f t="shared" si="108"/>
        <v>45974</v>
      </c>
      <c r="AR171" s="277"/>
      <c r="AS171" s="280"/>
      <c r="AT171" s="280"/>
      <c r="AU171" s="280"/>
      <c r="AV171" s="282"/>
      <c r="AW171" s="280"/>
      <c r="AX171" s="278"/>
      <c r="AY171" s="283"/>
      <c r="AZ171" s="226"/>
      <c r="BA171" s="226"/>
      <c r="BB171" s="226">
        <f t="shared" si="109"/>
        <v>0</v>
      </c>
      <c r="BD171" s="275">
        <f t="shared" si="110"/>
        <v>45974</v>
      </c>
      <c r="BE171" s="277"/>
      <c r="BF171" s="280"/>
      <c r="BG171" s="278"/>
      <c r="BH171" s="283"/>
      <c r="BI171" s="226"/>
      <c r="BJ171" s="226"/>
      <c r="BK171" s="226">
        <f t="shared" si="111"/>
        <v>0</v>
      </c>
      <c r="BM171" s="275">
        <f t="shared" si="112"/>
        <v>45974</v>
      </c>
      <c r="BN171" s="277"/>
      <c r="BO171" s="276"/>
      <c r="BP171" s="278"/>
      <c r="BQ171" s="283"/>
      <c r="BR171" s="226"/>
      <c r="BS171" s="226"/>
      <c r="BT171" s="226">
        <f t="shared" si="113"/>
        <v>0</v>
      </c>
      <c r="BV171" s="275">
        <f t="shared" si="114"/>
        <v>45974</v>
      </c>
      <c r="BW171" s="277"/>
      <c r="BX171" s="277"/>
      <c r="BY171" s="278"/>
      <c r="BZ171" s="283"/>
      <c r="CA171" s="226"/>
      <c r="CB171" s="226"/>
      <c r="CC171" s="226">
        <f t="shared" si="115"/>
        <v>0</v>
      </c>
    </row>
    <row r="172" spans="2:81" ht="15.75" x14ac:dyDescent="0.25">
      <c r="B172" s="275">
        <v>45975</v>
      </c>
      <c r="C172" s="277"/>
      <c r="D172" s="276"/>
      <c r="E172" s="276"/>
      <c r="F172" s="276"/>
      <c r="G172" s="278"/>
      <c r="H172" s="283"/>
      <c r="I172" s="226"/>
      <c r="J172" s="226"/>
      <c r="K172" s="226">
        <f t="shared" si="101"/>
        <v>0</v>
      </c>
      <c r="M172" s="275">
        <f t="shared" si="102"/>
        <v>45975</v>
      </c>
      <c r="N172" s="280"/>
      <c r="O172" s="280"/>
      <c r="P172" s="280"/>
      <c r="Q172" s="282"/>
      <c r="R172" s="282"/>
      <c r="S172" s="278"/>
      <c r="T172" s="283"/>
      <c r="U172" s="226"/>
      <c r="V172" s="226"/>
      <c r="W172" s="226">
        <f t="shared" si="103"/>
        <v>0</v>
      </c>
      <c r="Y172" s="275">
        <f t="shared" si="104"/>
        <v>45975</v>
      </c>
      <c r="Z172" s="277"/>
      <c r="AA172" s="277"/>
      <c r="AB172" s="278"/>
      <c r="AC172" s="283"/>
      <c r="AD172" s="226"/>
      <c r="AE172" s="226"/>
      <c r="AF172" s="226">
        <f t="shared" si="105"/>
        <v>0</v>
      </c>
      <c r="AH172" s="275">
        <f t="shared" si="106"/>
        <v>45975</v>
      </c>
      <c r="AI172" s="277"/>
      <c r="AJ172" s="280"/>
      <c r="AK172" s="278"/>
      <c r="AL172" s="283"/>
      <c r="AM172" s="226"/>
      <c r="AN172" s="226"/>
      <c r="AO172" s="226">
        <f t="shared" si="107"/>
        <v>0</v>
      </c>
      <c r="AQ172" s="275">
        <f t="shared" si="108"/>
        <v>45975</v>
      </c>
      <c r="AR172" s="277"/>
      <c r="AS172" s="280"/>
      <c r="AT172" s="280"/>
      <c r="AU172" s="280"/>
      <c r="AV172" s="282"/>
      <c r="AW172" s="280"/>
      <c r="AX172" s="278"/>
      <c r="AY172" s="283"/>
      <c r="AZ172" s="226"/>
      <c r="BA172" s="226"/>
      <c r="BB172" s="226">
        <f t="shared" si="109"/>
        <v>0</v>
      </c>
      <c r="BD172" s="275">
        <f t="shared" si="110"/>
        <v>45975</v>
      </c>
      <c r="BE172" s="277"/>
      <c r="BF172" s="280"/>
      <c r="BG172" s="278"/>
      <c r="BH172" s="283"/>
      <c r="BI172" s="226"/>
      <c r="BJ172" s="226"/>
      <c r="BK172" s="226">
        <f t="shared" si="111"/>
        <v>0</v>
      </c>
      <c r="BM172" s="275">
        <f t="shared" si="112"/>
        <v>45975</v>
      </c>
      <c r="BN172" s="277"/>
      <c r="BO172" s="276"/>
      <c r="BP172" s="278"/>
      <c r="BQ172" s="283"/>
      <c r="BR172" s="226"/>
      <c r="BS172" s="226"/>
      <c r="BT172" s="226">
        <f t="shared" si="113"/>
        <v>0</v>
      </c>
      <c r="BV172" s="275">
        <f t="shared" si="114"/>
        <v>45975</v>
      </c>
      <c r="BW172" s="277"/>
      <c r="BX172" s="277"/>
      <c r="BY172" s="278"/>
      <c r="BZ172" s="283"/>
      <c r="CA172" s="226"/>
      <c r="CB172" s="226"/>
      <c r="CC172" s="226">
        <f t="shared" si="115"/>
        <v>0</v>
      </c>
    </row>
    <row r="173" spans="2:81" ht="15.75" x14ac:dyDescent="0.25">
      <c r="B173" s="275">
        <v>45976</v>
      </c>
      <c r="C173" s="277"/>
      <c r="D173" s="276"/>
      <c r="E173" s="276"/>
      <c r="F173" s="276"/>
      <c r="G173" s="278"/>
      <c r="H173" s="283"/>
      <c r="I173" s="226"/>
      <c r="J173" s="226"/>
      <c r="K173" s="226">
        <f t="shared" si="101"/>
        <v>0</v>
      </c>
      <c r="M173" s="275">
        <f t="shared" si="102"/>
        <v>45976</v>
      </c>
      <c r="N173" s="280"/>
      <c r="O173" s="280"/>
      <c r="P173" s="280"/>
      <c r="Q173" s="282"/>
      <c r="R173" s="282"/>
      <c r="S173" s="278"/>
      <c r="T173" s="283"/>
      <c r="U173" s="226"/>
      <c r="V173" s="226"/>
      <c r="W173" s="226">
        <f t="shared" si="103"/>
        <v>0</v>
      </c>
      <c r="Y173" s="275">
        <f t="shared" si="104"/>
        <v>45976</v>
      </c>
      <c r="Z173" s="277"/>
      <c r="AA173" s="277"/>
      <c r="AB173" s="278"/>
      <c r="AC173" s="283"/>
      <c r="AD173" s="226"/>
      <c r="AE173" s="226"/>
      <c r="AF173" s="226">
        <f t="shared" si="105"/>
        <v>0</v>
      </c>
      <c r="AH173" s="275">
        <f t="shared" si="106"/>
        <v>45976</v>
      </c>
      <c r="AI173" s="277"/>
      <c r="AJ173" s="280"/>
      <c r="AK173" s="278"/>
      <c r="AL173" s="283"/>
      <c r="AM173" s="226"/>
      <c r="AN173" s="226"/>
      <c r="AO173" s="226">
        <f t="shared" si="107"/>
        <v>0</v>
      </c>
      <c r="AQ173" s="275">
        <f t="shared" si="108"/>
        <v>45976</v>
      </c>
      <c r="AR173" s="277"/>
      <c r="AS173" s="280"/>
      <c r="AT173" s="280"/>
      <c r="AU173" s="280"/>
      <c r="AV173" s="282"/>
      <c r="AW173" s="280"/>
      <c r="AX173" s="278"/>
      <c r="AY173" s="283"/>
      <c r="AZ173" s="226"/>
      <c r="BA173" s="226"/>
      <c r="BB173" s="226">
        <f t="shared" si="109"/>
        <v>0</v>
      </c>
      <c r="BD173" s="275">
        <f t="shared" si="110"/>
        <v>45976</v>
      </c>
      <c r="BE173" s="277"/>
      <c r="BF173" s="280"/>
      <c r="BG173" s="278"/>
      <c r="BH173" s="283"/>
      <c r="BI173" s="226"/>
      <c r="BJ173" s="226"/>
      <c r="BK173" s="226">
        <f t="shared" si="111"/>
        <v>0</v>
      </c>
      <c r="BM173" s="275">
        <f t="shared" si="112"/>
        <v>45976</v>
      </c>
      <c r="BN173" s="277"/>
      <c r="BO173" s="276"/>
      <c r="BP173" s="278"/>
      <c r="BQ173" s="283"/>
      <c r="BR173" s="226"/>
      <c r="BS173" s="226"/>
      <c r="BT173" s="226">
        <f t="shared" si="113"/>
        <v>0</v>
      </c>
      <c r="BV173" s="275">
        <f t="shared" si="114"/>
        <v>45976</v>
      </c>
      <c r="BW173" s="277"/>
      <c r="BX173" s="277"/>
      <c r="BY173" s="278"/>
      <c r="BZ173" s="283"/>
      <c r="CA173" s="226"/>
      <c r="CB173" s="226"/>
      <c r="CC173" s="226">
        <f t="shared" si="115"/>
        <v>0</v>
      </c>
    </row>
    <row r="174" spans="2:81" ht="15.75" x14ac:dyDescent="0.25">
      <c r="B174" s="275">
        <v>45977</v>
      </c>
      <c r="C174" s="277"/>
      <c r="D174" s="276"/>
      <c r="E174" s="276"/>
      <c r="F174" s="276"/>
      <c r="G174" s="278"/>
      <c r="H174" s="283"/>
      <c r="I174" s="226"/>
      <c r="J174" s="226"/>
      <c r="K174" s="226">
        <f t="shared" si="101"/>
        <v>0</v>
      </c>
      <c r="M174" s="275">
        <f t="shared" si="102"/>
        <v>45977</v>
      </c>
      <c r="N174" s="280"/>
      <c r="O174" s="280"/>
      <c r="P174" s="280"/>
      <c r="Q174" s="282"/>
      <c r="R174" s="282"/>
      <c r="S174" s="278"/>
      <c r="T174" s="283"/>
      <c r="U174" s="226"/>
      <c r="V174" s="226"/>
      <c r="W174" s="226">
        <f t="shared" si="103"/>
        <v>0</v>
      </c>
      <c r="Y174" s="275">
        <f t="shared" si="104"/>
        <v>45977</v>
      </c>
      <c r="Z174" s="277"/>
      <c r="AA174" s="277"/>
      <c r="AB174" s="278"/>
      <c r="AC174" s="283"/>
      <c r="AD174" s="226"/>
      <c r="AE174" s="226"/>
      <c r="AF174" s="226">
        <f t="shared" si="105"/>
        <v>0</v>
      </c>
      <c r="AH174" s="275">
        <f t="shared" si="106"/>
        <v>45977</v>
      </c>
      <c r="AI174" s="277"/>
      <c r="AJ174" s="280"/>
      <c r="AK174" s="278"/>
      <c r="AL174" s="283"/>
      <c r="AM174" s="226"/>
      <c r="AN174" s="226"/>
      <c r="AO174" s="226">
        <f t="shared" si="107"/>
        <v>0</v>
      </c>
      <c r="AQ174" s="275">
        <f t="shared" si="108"/>
        <v>45977</v>
      </c>
      <c r="AR174" s="277"/>
      <c r="AS174" s="280"/>
      <c r="AT174" s="280"/>
      <c r="AU174" s="280"/>
      <c r="AV174" s="282"/>
      <c r="AW174" s="280"/>
      <c r="AX174" s="278"/>
      <c r="AY174" s="283"/>
      <c r="AZ174" s="226"/>
      <c r="BA174" s="226"/>
      <c r="BB174" s="226">
        <f t="shared" si="109"/>
        <v>0</v>
      </c>
      <c r="BD174" s="275">
        <f t="shared" si="110"/>
        <v>45977</v>
      </c>
      <c r="BE174" s="277"/>
      <c r="BF174" s="280"/>
      <c r="BG174" s="278"/>
      <c r="BH174" s="283"/>
      <c r="BI174" s="226"/>
      <c r="BJ174" s="226"/>
      <c r="BK174" s="226">
        <f t="shared" si="111"/>
        <v>0</v>
      </c>
      <c r="BM174" s="275">
        <f t="shared" si="112"/>
        <v>45977</v>
      </c>
      <c r="BN174" s="277"/>
      <c r="BO174" s="276"/>
      <c r="BP174" s="278"/>
      <c r="BQ174" s="283"/>
      <c r="BR174" s="226"/>
      <c r="BS174" s="226"/>
      <c r="BT174" s="226">
        <f t="shared" si="113"/>
        <v>0</v>
      </c>
      <c r="BV174" s="275">
        <f t="shared" si="114"/>
        <v>45977</v>
      </c>
      <c r="BW174" s="277"/>
      <c r="BX174" s="277"/>
      <c r="BY174" s="278"/>
      <c r="BZ174" s="283"/>
      <c r="CA174" s="226"/>
      <c r="CB174" s="226"/>
      <c r="CC174" s="226">
        <f t="shared" si="115"/>
        <v>0</v>
      </c>
    </row>
    <row r="175" spans="2:81" ht="15.75" x14ac:dyDescent="0.25">
      <c r="B175" s="275">
        <v>45978</v>
      </c>
      <c r="C175" s="277"/>
      <c r="D175" s="276"/>
      <c r="E175" s="276"/>
      <c r="F175" s="276"/>
      <c r="G175" s="278"/>
      <c r="H175" s="283"/>
      <c r="I175" s="226"/>
      <c r="J175" s="226"/>
      <c r="K175" s="226">
        <f t="shared" si="101"/>
        <v>0</v>
      </c>
      <c r="M175" s="275">
        <f t="shared" si="102"/>
        <v>45978</v>
      </c>
      <c r="N175" s="280"/>
      <c r="O175" s="280"/>
      <c r="P175" s="280"/>
      <c r="Q175" s="282"/>
      <c r="R175" s="282"/>
      <c r="S175" s="278"/>
      <c r="T175" s="283"/>
      <c r="U175" s="226"/>
      <c r="V175" s="226"/>
      <c r="W175" s="226">
        <f t="shared" si="103"/>
        <v>0</v>
      </c>
      <c r="Y175" s="275">
        <f t="shared" si="104"/>
        <v>45978</v>
      </c>
      <c r="Z175" s="277"/>
      <c r="AA175" s="277"/>
      <c r="AB175" s="278"/>
      <c r="AC175" s="283"/>
      <c r="AD175" s="226"/>
      <c r="AE175" s="226"/>
      <c r="AF175" s="226">
        <f t="shared" si="105"/>
        <v>0</v>
      </c>
      <c r="AH175" s="275">
        <f t="shared" si="106"/>
        <v>45978</v>
      </c>
      <c r="AI175" s="277"/>
      <c r="AJ175" s="280"/>
      <c r="AK175" s="278"/>
      <c r="AL175" s="283"/>
      <c r="AM175" s="226"/>
      <c r="AN175" s="226"/>
      <c r="AO175" s="226">
        <f t="shared" si="107"/>
        <v>0</v>
      </c>
      <c r="AQ175" s="275">
        <f t="shared" si="108"/>
        <v>45978</v>
      </c>
      <c r="AR175" s="277"/>
      <c r="AS175" s="280"/>
      <c r="AT175" s="280"/>
      <c r="AU175" s="280"/>
      <c r="AV175" s="282"/>
      <c r="AW175" s="280"/>
      <c r="AX175" s="278"/>
      <c r="AY175" s="283"/>
      <c r="AZ175" s="226"/>
      <c r="BA175" s="226"/>
      <c r="BB175" s="226">
        <f t="shared" si="109"/>
        <v>0</v>
      </c>
      <c r="BD175" s="275">
        <f t="shared" si="110"/>
        <v>45978</v>
      </c>
      <c r="BE175" s="277"/>
      <c r="BF175" s="280"/>
      <c r="BG175" s="278"/>
      <c r="BH175" s="283"/>
      <c r="BI175" s="226"/>
      <c r="BJ175" s="226"/>
      <c r="BK175" s="226">
        <f t="shared" si="111"/>
        <v>0</v>
      </c>
      <c r="BM175" s="275">
        <f t="shared" si="112"/>
        <v>45978</v>
      </c>
      <c r="BN175" s="277"/>
      <c r="BO175" s="276"/>
      <c r="BP175" s="278"/>
      <c r="BQ175" s="283"/>
      <c r="BR175" s="226"/>
      <c r="BS175" s="226"/>
      <c r="BT175" s="226">
        <f t="shared" si="113"/>
        <v>0</v>
      </c>
      <c r="BV175" s="275">
        <f t="shared" si="114"/>
        <v>45978</v>
      </c>
      <c r="BW175" s="277"/>
      <c r="BX175" s="277"/>
      <c r="BY175" s="278"/>
      <c r="BZ175" s="283"/>
      <c r="CA175" s="226"/>
      <c r="CB175" s="226"/>
      <c r="CC175" s="226">
        <f t="shared" si="115"/>
        <v>0</v>
      </c>
    </row>
    <row r="176" spans="2:81" ht="15.75" x14ac:dyDescent="0.25">
      <c r="B176" s="275">
        <v>45979</v>
      </c>
      <c r="C176" s="277"/>
      <c r="D176" s="276"/>
      <c r="E176" s="276"/>
      <c r="F176" s="276"/>
      <c r="G176" s="278"/>
      <c r="H176" s="283"/>
      <c r="I176" s="226"/>
      <c r="J176" s="226"/>
      <c r="K176" s="226">
        <f t="shared" si="101"/>
        <v>0</v>
      </c>
      <c r="M176" s="275">
        <f t="shared" si="102"/>
        <v>45979</v>
      </c>
      <c r="N176" s="280"/>
      <c r="O176" s="280"/>
      <c r="P176" s="280"/>
      <c r="Q176" s="282"/>
      <c r="R176" s="282"/>
      <c r="S176" s="278"/>
      <c r="T176" s="283"/>
      <c r="U176" s="226"/>
      <c r="V176" s="226"/>
      <c r="W176" s="226">
        <f t="shared" si="103"/>
        <v>0</v>
      </c>
      <c r="Y176" s="275">
        <f t="shared" si="104"/>
        <v>45979</v>
      </c>
      <c r="Z176" s="277"/>
      <c r="AA176" s="277"/>
      <c r="AB176" s="278"/>
      <c r="AC176" s="283"/>
      <c r="AD176" s="226"/>
      <c r="AE176" s="226"/>
      <c r="AF176" s="226">
        <f t="shared" si="105"/>
        <v>0</v>
      </c>
      <c r="AH176" s="275">
        <f t="shared" si="106"/>
        <v>45979</v>
      </c>
      <c r="AI176" s="277"/>
      <c r="AJ176" s="280"/>
      <c r="AK176" s="278"/>
      <c r="AL176" s="283"/>
      <c r="AM176" s="226"/>
      <c r="AN176" s="226"/>
      <c r="AO176" s="226">
        <f t="shared" si="107"/>
        <v>0</v>
      </c>
      <c r="AQ176" s="275">
        <f t="shared" si="108"/>
        <v>45979</v>
      </c>
      <c r="AR176" s="277"/>
      <c r="AS176" s="280"/>
      <c r="AT176" s="280"/>
      <c r="AU176" s="280"/>
      <c r="AV176" s="282"/>
      <c r="AW176" s="280"/>
      <c r="AX176" s="278"/>
      <c r="AY176" s="283"/>
      <c r="AZ176" s="226"/>
      <c r="BA176" s="226"/>
      <c r="BB176" s="226">
        <f t="shared" si="109"/>
        <v>0</v>
      </c>
      <c r="BD176" s="275">
        <f t="shared" si="110"/>
        <v>45979</v>
      </c>
      <c r="BE176" s="277"/>
      <c r="BF176" s="280"/>
      <c r="BG176" s="278"/>
      <c r="BH176" s="283"/>
      <c r="BI176" s="226"/>
      <c r="BJ176" s="226"/>
      <c r="BK176" s="226">
        <f t="shared" si="111"/>
        <v>0</v>
      </c>
      <c r="BM176" s="275">
        <f t="shared" si="112"/>
        <v>45979</v>
      </c>
      <c r="BN176" s="277"/>
      <c r="BO176" s="276"/>
      <c r="BP176" s="278"/>
      <c r="BQ176" s="283"/>
      <c r="BR176" s="226"/>
      <c r="BS176" s="226"/>
      <c r="BT176" s="226">
        <f t="shared" si="113"/>
        <v>0</v>
      </c>
      <c r="BV176" s="275">
        <f t="shared" si="114"/>
        <v>45979</v>
      </c>
      <c r="BW176" s="277"/>
      <c r="BX176" s="277"/>
      <c r="BY176" s="278"/>
      <c r="BZ176" s="283"/>
      <c r="CA176" s="226"/>
      <c r="CB176" s="226"/>
      <c r="CC176" s="226">
        <f t="shared" si="115"/>
        <v>0</v>
      </c>
    </row>
    <row r="177" spans="2:81" ht="15.75" x14ac:dyDescent="0.25">
      <c r="B177" s="275">
        <v>45980</v>
      </c>
      <c r="C177" s="277"/>
      <c r="D177" s="276"/>
      <c r="E177" s="276"/>
      <c r="F177" s="276"/>
      <c r="G177" s="278"/>
      <c r="H177" s="283"/>
      <c r="I177" s="226"/>
      <c r="J177" s="226"/>
      <c r="K177" s="226">
        <f t="shared" si="101"/>
        <v>0</v>
      </c>
      <c r="M177" s="275">
        <f t="shared" si="102"/>
        <v>45980</v>
      </c>
      <c r="N177" s="280"/>
      <c r="O177" s="280"/>
      <c r="P177" s="280"/>
      <c r="Q177" s="282"/>
      <c r="R177" s="282"/>
      <c r="S177" s="278"/>
      <c r="T177" s="283"/>
      <c r="U177" s="226"/>
      <c r="V177" s="226"/>
      <c r="W177" s="226">
        <f t="shared" si="103"/>
        <v>0</v>
      </c>
      <c r="Y177" s="275">
        <f t="shared" si="104"/>
        <v>45980</v>
      </c>
      <c r="Z177" s="277"/>
      <c r="AA177" s="277"/>
      <c r="AB177" s="278"/>
      <c r="AC177" s="283"/>
      <c r="AD177" s="226"/>
      <c r="AE177" s="226"/>
      <c r="AF177" s="226">
        <f t="shared" si="105"/>
        <v>0</v>
      </c>
      <c r="AH177" s="275">
        <f t="shared" si="106"/>
        <v>45980</v>
      </c>
      <c r="AI177" s="277"/>
      <c r="AJ177" s="280"/>
      <c r="AK177" s="278"/>
      <c r="AL177" s="283"/>
      <c r="AM177" s="226"/>
      <c r="AN177" s="226"/>
      <c r="AO177" s="226">
        <f t="shared" si="107"/>
        <v>0</v>
      </c>
      <c r="AQ177" s="275">
        <f t="shared" si="108"/>
        <v>45980</v>
      </c>
      <c r="AR177" s="277"/>
      <c r="AS177" s="280"/>
      <c r="AT177" s="280"/>
      <c r="AU177" s="280"/>
      <c r="AV177" s="282"/>
      <c r="AW177" s="280"/>
      <c r="AX177" s="278"/>
      <c r="AY177" s="283"/>
      <c r="AZ177" s="226"/>
      <c r="BA177" s="226"/>
      <c r="BB177" s="226">
        <f t="shared" si="109"/>
        <v>0</v>
      </c>
      <c r="BD177" s="275">
        <f t="shared" si="110"/>
        <v>45980</v>
      </c>
      <c r="BE177" s="277"/>
      <c r="BF177" s="280"/>
      <c r="BG177" s="278"/>
      <c r="BH177" s="283"/>
      <c r="BI177" s="226"/>
      <c r="BJ177" s="226"/>
      <c r="BK177" s="226">
        <f t="shared" si="111"/>
        <v>0</v>
      </c>
      <c r="BM177" s="275">
        <f t="shared" si="112"/>
        <v>45980</v>
      </c>
      <c r="BN177" s="277"/>
      <c r="BO177" s="276"/>
      <c r="BP177" s="278"/>
      <c r="BQ177" s="283"/>
      <c r="BR177" s="226"/>
      <c r="BS177" s="226"/>
      <c r="BT177" s="226">
        <f t="shared" si="113"/>
        <v>0</v>
      </c>
      <c r="BV177" s="275">
        <f t="shared" si="114"/>
        <v>45980</v>
      </c>
      <c r="BW177" s="277"/>
      <c r="BX177" s="277"/>
      <c r="BY177" s="278"/>
      <c r="BZ177" s="283"/>
      <c r="CA177" s="226"/>
      <c r="CB177" s="226"/>
      <c r="CC177" s="226">
        <f t="shared" si="115"/>
        <v>0</v>
      </c>
    </row>
    <row r="178" spans="2:81" ht="15.75" x14ac:dyDescent="0.25">
      <c r="B178" s="275">
        <v>45981</v>
      </c>
      <c r="C178" s="277"/>
      <c r="D178" s="276"/>
      <c r="E178" s="276"/>
      <c r="F178" s="276"/>
      <c r="G178" s="278"/>
      <c r="H178" s="283"/>
      <c r="I178" s="226"/>
      <c r="J178" s="226"/>
      <c r="K178" s="226">
        <f t="shared" si="101"/>
        <v>0</v>
      </c>
      <c r="M178" s="275">
        <f t="shared" si="102"/>
        <v>45981</v>
      </c>
      <c r="N178" s="280"/>
      <c r="O178" s="280"/>
      <c r="P178" s="280"/>
      <c r="Q178" s="282"/>
      <c r="R178" s="282"/>
      <c r="S178" s="278"/>
      <c r="T178" s="283"/>
      <c r="U178" s="226"/>
      <c r="V178" s="226"/>
      <c r="W178" s="226">
        <f t="shared" si="103"/>
        <v>0</v>
      </c>
      <c r="Y178" s="275">
        <f t="shared" si="104"/>
        <v>45981</v>
      </c>
      <c r="Z178" s="277"/>
      <c r="AA178" s="277"/>
      <c r="AB178" s="278"/>
      <c r="AC178" s="283"/>
      <c r="AD178" s="226"/>
      <c r="AE178" s="226"/>
      <c r="AF178" s="226">
        <f t="shared" si="105"/>
        <v>0</v>
      </c>
      <c r="AH178" s="275">
        <f t="shared" si="106"/>
        <v>45981</v>
      </c>
      <c r="AI178" s="277"/>
      <c r="AJ178" s="280"/>
      <c r="AK178" s="278"/>
      <c r="AL178" s="283"/>
      <c r="AM178" s="226"/>
      <c r="AN178" s="226"/>
      <c r="AO178" s="226">
        <f t="shared" si="107"/>
        <v>0</v>
      </c>
      <c r="AQ178" s="275">
        <f t="shared" si="108"/>
        <v>45981</v>
      </c>
      <c r="AR178" s="277"/>
      <c r="AS178" s="280"/>
      <c r="AT178" s="280"/>
      <c r="AU178" s="280"/>
      <c r="AV178" s="282"/>
      <c r="AW178" s="280"/>
      <c r="AX178" s="278"/>
      <c r="AY178" s="283"/>
      <c r="AZ178" s="226"/>
      <c r="BA178" s="226"/>
      <c r="BB178" s="226">
        <f t="shared" si="109"/>
        <v>0</v>
      </c>
      <c r="BD178" s="275">
        <f t="shared" si="110"/>
        <v>45981</v>
      </c>
      <c r="BE178" s="277"/>
      <c r="BF178" s="280"/>
      <c r="BG178" s="278"/>
      <c r="BH178" s="283"/>
      <c r="BI178" s="226"/>
      <c r="BJ178" s="226"/>
      <c r="BK178" s="226">
        <f t="shared" si="111"/>
        <v>0</v>
      </c>
      <c r="BM178" s="275">
        <f t="shared" si="112"/>
        <v>45981</v>
      </c>
      <c r="BN178" s="277"/>
      <c r="BO178" s="276"/>
      <c r="BP178" s="278"/>
      <c r="BQ178" s="283"/>
      <c r="BR178" s="226"/>
      <c r="BS178" s="226"/>
      <c r="BT178" s="226">
        <f t="shared" si="113"/>
        <v>0</v>
      </c>
      <c r="BV178" s="275">
        <f t="shared" si="114"/>
        <v>45981</v>
      </c>
      <c r="BW178" s="277"/>
      <c r="BX178" s="277"/>
      <c r="BY178" s="278"/>
      <c r="BZ178" s="283"/>
      <c r="CA178" s="226"/>
      <c r="CB178" s="226"/>
      <c r="CC178" s="226">
        <f t="shared" si="115"/>
        <v>0</v>
      </c>
    </row>
    <row r="179" spans="2:81" ht="15.75" x14ac:dyDescent="0.25">
      <c r="B179" s="275">
        <v>45982</v>
      </c>
      <c r="C179" s="277"/>
      <c r="D179" s="276"/>
      <c r="E179" s="276"/>
      <c r="F179" s="276"/>
      <c r="G179" s="278"/>
      <c r="H179" s="283"/>
      <c r="I179" s="226"/>
      <c r="J179" s="226"/>
      <c r="K179" s="226">
        <f t="shared" si="101"/>
        <v>0</v>
      </c>
      <c r="M179" s="275">
        <f t="shared" si="102"/>
        <v>45982</v>
      </c>
      <c r="N179" s="280"/>
      <c r="O179" s="280"/>
      <c r="P179" s="280"/>
      <c r="Q179" s="282"/>
      <c r="R179" s="282"/>
      <c r="S179" s="278"/>
      <c r="T179" s="283"/>
      <c r="U179" s="226"/>
      <c r="V179" s="226"/>
      <c r="W179" s="226">
        <f t="shared" si="103"/>
        <v>0</v>
      </c>
      <c r="Y179" s="275">
        <f t="shared" si="104"/>
        <v>45982</v>
      </c>
      <c r="Z179" s="277"/>
      <c r="AA179" s="277"/>
      <c r="AB179" s="278"/>
      <c r="AC179" s="283"/>
      <c r="AD179" s="226"/>
      <c r="AE179" s="226"/>
      <c r="AF179" s="226">
        <f t="shared" si="105"/>
        <v>0</v>
      </c>
      <c r="AH179" s="275">
        <f t="shared" si="106"/>
        <v>45982</v>
      </c>
      <c r="AI179" s="277"/>
      <c r="AJ179" s="280"/>
      <c r="AK179" s="278"/>
      <c r="AL179" s="283"/>
      <c r="AM179" s="226"/>
      <c r="AN179" s="226"/>
      <c r="AO179" s="226">
        <f t="shared" si="107"/>
        <v>0</v>
      </c>
      <c r="AQ179" s="275">
        <f t="shared" si="108"/>
        <v>45982</v>
      </c>
      <c r="AR179" s="277"/>
      <c r="AS179" s="280"/>
      <c r="AT179" s="280"/>
      <c r="AU179" s="280"/>
      <c r="AV179" s="282"/>
      <c r="AW179" s="280"/>
      <c r="AX179" s="278"/>
      <c r="AY179" s="283"/>
      <c r="AZ179" s="226"/>
      <c r="BA179" s="226"/>
      <c r="BB179" s="226">
        <f t="shared" si="109"/>
        <v>0</v>
      </c>
      <c r="BD179" s="275">
        <f t="shared" si="110"/>
        <v>45982</v>
      </c>
      <c r="BE179" s="277"/>
      <c r="BF179" s="280"/>
      <c r="BG179" s="278"/>
      <c r="BH179" s="283"/>
      <c r="BI179" s="226"/>
      <c r="BJ179" s="226"/>
      <c r="BK179" s="226">
        <f t="shared" si="111"/>
        <v>0</v>
      </c>
      <c r="BM179" s="275">
        <f t="shared" si="112"/>
        <v>45982</v>
      </c>
      <c r="BN179" s="277"/>
      <c r="BO179" s="276"/>
      <c r="BP179" s="278"/>
      <c r="BQ179" s="283"/>
      <c r="BR179" s="226"/>
      <c r="BS179" s="226"/>
      <c r="BT179" s="226">
        <f t="shared" si="113"/>
        <v>0</v>
      </c>
      <c r="BV179" s="275">
        <f t="shared" si="114"/>
        <v>45982</v>
      </c>
      <c r="BW179" s="277"/>
      <c r="BX179" s="277"/>
      <c r="BY179" s="278"/>
      <c r="BZ179" s="283"/>
      <c r="CA179" s="226"/>
      <c r="CB179" s="226"/>
      <c r="CC179" s="226">
        <f t="shared" si="115"/>
        <v>0</v>
      </c>
    </row>
    <row r="180" spans="2:81" ht="15.75" x14ac:dyDescent="0.25">
      <c r="B180" s="275">
        <v>45983</v>
      </c>
      <c r="C180" s="277"/>
      <c r="D180" s="276"/>
      <c r="E180" s="276"/>
      <c r="F180" s="276"/>
      <c r="G180" s="278"/>
      <c r="H180" s="283"/>
      <c r="I180" s="226"/>
      <c r="J180" s="226"/>
      <c r="K180" s="226">
        <f t="shared" si="101"/>
        <v>0</v>
      </c>
      <c r="M180" s="275">
        <f t="shared" si="102"/>
        <v>45983</v>
      </c>
      <c r="N180" s="280"/>
      <c r="O180" s="280"/>
      <c r="P180" s="280"/>
      <c r="Q180" s="282"/>
      <c r="R180" s="282"/>
      <c r="S180" s="278"/>
      <c r="T180" s="283"/>
      <c r="U180" s="226"/>
      <c r="V180" s="226"/>
      <c r="W180" s="226">
        <f t="shared" si="103"/>
        <v>0</v>
      </c>
      <c r="Y180" s="275">
        <f t="shared" si="104"/>
        <v>45983</v>
      </c>
      <c r="Z180" s="277"/>
      <c r="AA180" s="277"/>
      <c r="AB180" s="278"/>
      <c r="AC180" s="283"/>
      <c r="AD180" s="226"/>
      <c r="AE180" s="226"/>
      <c r="AF180" s="226">
        <f t="shared" si="105"/>
        <v>0</v>
      </c>
      <c r="AH180" s="275">
        <f t="shared" si="106"/>
        <v>45983</v>
      </c>
      <c r="AI180" s="277"/>
      <c r="AJ180" s="280"/>
      <c r="AK180" s="278"/>
      <c r="AL180" s="283"/>
      <c r="AM180" s="226"/>
      <c r="AN180" s="226"/>
      <c r="AO180" s="226">
        <f t="shared" si="107"/>
        <v>0</v>
      </c>
      <c r="AQ180" s="275">
        <f t="shared" si="108"/>
        <v>45983</v>
      </c>
      <c r="AR180" s="277"/>
      <c r="AS180" s="280"/>
      <c r="AT180" s="280"/>
      <c r="AU180" s="280"/>
      <c r="AV180" s="282"/>
      <c r="AW180" s="280"/>
      <c r="AX180" s="278"/>
      <c r="AY180" s="283"/>
      <c r="AZ180" s="226"/>
      <c r="BA180" s="226"/>
      <c r="BB180" s="226">
        <f t="shared" si="109"/>
        <v>0</v>
      </c>
      <c r="BD180" s="275">
        <f t="shared" si="110"/>
        <v>45983</v>
      </c>
      <c r="BE180" s="277"/>
      <c r="BF180" s="280"/>
      <c r="BG180" s="278"/>
      <c r="BH180" s="283"/>
      <c r="BI180" s="226"/>
      <c r="BJ180" s="226"/>
      <c r="BK180" s="226">
        <f t="shared" si="111"/>
        <v>0</v>
      </c>
      <c r="BM180" s="275">
        <f t="shared" si="112"/>
        <v>45983</v>
      </c>
      <c r="BN180" s="277"/>
      <c r="BO180" s="276"/>
      <c r="BP180" s="278"/>
      <c r="BQ180" s="283"/>
      <c r="BR180" s="226"/>
      <c r="BS180" s="226"/>
      <c r="BT180" s="226">
        <f t="shared" si="113"/>
        <v>0</v>
      </c>
      <c r="BV180" s="275">
        <f t="shared" si="114"/>
        <v>45983</v>
      </c>
      <c r="BW180" s="277"/>
      <c r="BX180" s="277"/>
      <c r="BY180" s="278"/>
      <c r="BZ180" s="283"/>
      <c r="CA180" s="226"/>
      <c r="CB180" s="226"/>
      <c r="CC180" s="226">
        <f t="shared" si="115"/>
        <v>0</v>
      </c>
    </row>
    <row r="181" spans="2:81" ht="15.75" x14ac:dyDescent="0.25">
      <c r="B181" s="275">
        <v>45984</v>
      </c>
      <c r="C181" s="277"/>
      <c r="D181" s="276"/>
      <c r="E181" s="276"/>
      <c r="F181" s="276"/>
      <c r="G181" s="278"/>
      <c r="H181" s="283"/>
      <c r="I181" s="226"/>
      <c r="J181" s="226"/>
      <c r="K181" s="226">
        <f t="shared" si="101"/>
        <v>0</v>
      </c>
      <c r="M181" s="275">
        <f t="shared" si="102"/>
        <v>45984</v>
      </c>
      <c r="N181" s="280"/>
      <c r="O181" s="280"/>
      <c r="P181" s="280"/>
      <c r="Q181" s="282"/>
      <c r="R181" s="282"/>
      <c r="S181" s="278"/>
      <c r="T181" s="283"/>
      <c r="U181" s="226"/>
      <c r="V181" s="226"/>
      <c r="W181" s="226">
        <f t="shared" si="103"/>
        <v>0</v>
      </c>
      <c r="Y181" s="275">
        <f t="shared" si="104"/>
        <v>45984</v>
      </c>
      <c r="Z181" s="277"/>
      <c r="AA181" s="277"/>
      <c r="AB181" s="278"/>
      <c r="AC181" s="283"/>
      <c r="AD181" s="226"/>
      <c r="AE181" s="226"/>
      <c r="AF181" s="226">
        <f t="shared" si="105"/>
        <v>0</v>
      </c>
      <c r="AH181" s="275">
        <f t="shared" si="106"/>
        <v>45984</v>
      </c>
      <c r="AI181" s="277"/>
      <c r="AJ181" s="280"/>
      <c r="AK181" s="278"/>
      <c r="AL181" s="283"/>
      <c r="AM181" s="226"/>
      <c r="AN181" s="226"/>
      <c r="AO181" s="226">
        <f t="shared" si="107"/>
        <v>0</v>
      </c>
      <c r="AQ181" s="275">
        <f t="shared" si="108"/>
        <v>45984</v>
      </c>
      <c r="AR181" s="277"/>
      <c r="AS181" s="280"/>
      <c r="AT181" s="280"/>
      <c r="AU181" s="280"/>
      <c r="AV181" s="282"/>
      <c r="AW181" s="280"/>
      <c r="AX181" s="278"/>
      <c r="AY181" s="283"/>
      <c r="AZ181" s="226"/>
      <c r="BA181" s="226"/>
      <c r="BB181" s="226">
        <f t="shared" si="109"/>
        <v>0</v>
      </c>
      <c r="BD181" s="275">
        <f t="shared" si="110"/>
        <v>45984</v>
      </c>
      <c r="BE181" s="277"/>
      <c r="BF181" s="280"/>
      <c r="BG181" s="278"/>
      <c r="BH181" s="283"/>
      <c r="BI181" s="226"/>
      <c r="BJ181" s="226"/>
      <c r="BK181" s="226">
        <f t="shared" si="111"/>
        <v>0</v>
      </c>
      <c r="BM181" s="275">
        <f t="shared" si="112"/>
        <v>45984</v>
      </c>
      <c r="BN181" s="277"/>
      <c r="BO181" s="276"/>
      <c r="BP181" s="278"/>
      <c r="BQ181" s="283"/>
      <c r="BR181" s="226"/>
      <c r="BS181" s="226"/>
      <c r="BT181" s="226">
        <f t="shared" si="113"/>
        <v>0</v>
      </c>
      <c r="BV181" s="275">
        <f t="shared" si="114"/>
        <v>45984</v>
      </c>
      <c r="BW181" s="277"/>
      <c r="BX181" s="277"/>
      <c r="BY181" s="278"/>
      <c r="BZ181" s="283"/>
      <c r="CA181" s="226"/>
      <c r="CB181" s="226"/>
      <c r="CC181" s="226">
        <f t="shared" si="115"/>
        <v>0</v>
      </c>
    </row>
    <row r="182" spans="2:81" ht="15.75" x14ac:dyDescent="0.25">
      <c r="B182" s="275">
        <v>45985</v>
      </c>
      <c r="C182" s="277"/>
      <c r="D182" s="276"/>
      <c r="E182" s="276"/>
      <c r="F182" s="276"/>
      <c r="G182" s="278"/>
      <c r="H182" s="283"/>
      <c r="I182" s="226"/>
      <c r="J182" s="226"/>
      <c r="K182" s="226">
        <f t="shared" si="101"/>
        <v>0</v>
      </c>
      <c r="M182" s="275">
        <f t="shared" si="102"/>
        <v>45985</v>
      </c>
      <c r="N182" s="280"/>
      <c r="O182" s="280"/>
      <c r="P182" s="280"/>
      <c r="Q182" s="282"/>
      <c r="R182" s="282"/>
      <c r="S182" s="278"/>
      <c r="T182" s="283"/>
      <c r="U182" s="226"/>
      <c r="V182" s="226"/>
      <c r="W182" s="226">
        <f t="shared" si="103"/>
        <v>0</v>
      </c>
      <c r="Y182" s="275">
        <f t="shared" si="104"/>
        <v>45985</v>
      </c>
      <c r="Z182" s="277"/>
      <c r="AA182" s="277"/>
      <c r="AB182" s="278"/>
      <c r="AC182" s="283"/>
      <c r="AD182" s="226"/>
      <c r="AE182" s="226"/>
      <c r="AF182" s="226">
        <f t="shared" si="105"/>
        <v>0</v>
      </c>
      <c r="AH182" s="275">
        <f t="shared" si="106"/>
        <v>45985</v>
      </c>
      <c r="AI182" s="277"/>
      <c r="AJ182" s="280"/>
      <c r="AK182" s="278"/>
      <c r="AL182" s="283"/>
      <c r="AM182" s="226"/>
      <c r="AN182" s="226"/>
      <c r="AO182" s="226">
        <f t="shared" si="107"/>
        <v>0</v>
      </c>
      <c r="AQ182" s="275">
        <f t="shared" si="108"/>
        <v>45985</v>
      </c>
      <c r="AR182" s="277"/>
      <c r="AS182" s="280"/>
      <c r="AT182" s="280"/>
      <c r="AU182" s="280"/>
      <c r="AV182" s="282"/>
      <c r="AW182" s="280"/>
      <c r="AX182" s="278"/>
      <c r="AY182" s="283"/>
      <c r="AZ182" s="226"/>
      <c r="BA182" s="226"/>
      <c r="BB182" s="226">
        <f t="shared" si="109"/>
        <v>0</v>
      </c>
      <c r="BD182" s="275">
        <f t="shared" si="110"/>
        <v>45985</v>
      </c>
      <c r="BE182" s="277"/>
      <c r="BF182" s="280"/>
      <c r="BG182" s="278"/>
      <c r="BH182" s="283"/>
      <c r="BI182" s="226"/>
      <c r="BJ182" s="226"/>
      <c r="BK182" s="226">
        <f t="shared" si="111"/>
        <v>0</v>
      </c>
      <c r="BM182" s="275">
        <f t="shared" si="112"/>
        <v>45985</v>
      </c>
      <c r="BN182" s="277"/>
      <c r="BO182" s="276"/>
      <c r="BP182" s="278"/>
      <c r="BQ182" s="283"/>
      <c r="BR182" s="226"/>
      <c r="BS182" s="226"/>
      <c r="BT182" s="226">
        <f t="shared" si="113"/>
        <v>0</v>
      </c>
      <c r="BV182" s="275">
        <f t="shared" si="114"/>
        <v>45985</v>
      </c>
      <c r="BW182" s="277"/>
      <c r="BX182" s="277"/>
      <c r="BY182" s="278"/>
      <c r="BZ182" s="283"/>
      <c r="CA182" s="226"/>
      <c r="CB182" s="226"/>
      <c r="CC182" s="226">
        <f t="shared" si="115"/>
        <v>0</v>
      </c>
    </row>
    <row r="183" spans="2:81" ht="15.75" x14ac:dyDescent="0.25">
      <c r="B183" s="275">
        <v>45986</v>
      </c>
      <c r="C183" s="277"/>
      <c r="D183" s="276"/>
      <c r="E183" s="276"/>
      <c r="F183" s="276"/>
      <c r="G183" s="278"/>
      <c r="H183" s="283"/>
      <c r="I183" s="226"/>
      <c r="J183" s="226"/>
      <c r="K183" s="226">
        <f t="shared" si="101"/>
        <v>0</v>
      </c>
      <c r="M183" s="275">
        <f t="shared" si="102"/>
        <v>45986</v>
      </c>
      <c r="N183" s="280"/>
      <c r="O183" s="280"/>
      <c r="P183" s="280"/>
      <c r="Q183" s="282"/>
      <c r="R183" s="282"/>
      <c r="S183" s="278"/>
      <c r="T183" s="283"/>
      <c r="U183" s="226"/>
      <c r="V183" s="226"/>
      <c r="W183" s="226">
        <f t="shared" si="103"/>
        <v>0</v>
      </c>
      <c r="Y183" s="275">
        <f t="shared" si="104"/>
        <v>45986</v>
      </c>
      <c r="Z183" s="277"/>
      <c r="AA183" s="277"/>
      <c r="AB183" s="278"/>
      <c r="AC183" s="283"/>
      <c r="AD183" s="226"/>
      <c r="AE183" s="226"/>
      <c r="AF183" s="226">
        <f t="shared" si="105"/>
        <v>0</v>
      </c>
      <c r="AH183" s="275">
        <f t="shared" si="106"/>
        <v>45986</v>
      </c>
      <c r="AI183" s="277"/>
      <c r="AJ183" s="280"/>
      <c r="AK183" s="278"/>
      <c r="AL183" s="283"/>
      <c r="AM183" s="226"/>
      <c r="AN183" s="226"/>
      <c r="AO183" s="226">
        <f t="shared" si="107"/>
        <v>0</v>
      </c>
      <c r="AQ183" s="275">
        <f t="shared" si="108"/>
        <v>45986</v>
      </c>
      <c r="AR183" s="277"/>
      <c r="AS183" s="280"/>
      <c r="AT183" s="280"/>
      <c r="AU183" s="280"/>
      <c r="AV183" s="282"/>
      <c r="AW183" s="280"/>
      <c r="AX183" s="278"/>
      <c r="AY183" s="283"/>
      <c r="AZ183" s="226"/>
      <c r="BA183" s="226"/>
      <c r="BB183" s="226">
        <f t="shared" si="109"/>
        <v>0</v>
      </c>
      <c r="BD183" s="275">
        <f t="shared" si="110"/>
        <v>45986</v>
      </c>
      <c r="BE183" s="277"/>
      <c r="BF183" s="280"/>
      <c r="BG183" s="278"/>
      <c r="BH183" s="283"/>
      <c r="BI183" s="226"/>
      <c r="BJ183" s="226"/>
      <c r="BK183" s="226">
        <f t="shared" si="111"/>
        <v>0</v>
      </c>
      <c r="BM183" s="275">
        <f t="shared" si="112"/>
        <v>45986</v>
      </c>
      <c r="BN183" s="277"/>
      <c r="BO183" s="276"/>
      <c r="BP183" s="278"/>
      <c r="BQ183" s="283"/>
      <c r="BR183" s="226"/>
      <c r="BS183" s="226"/>
      <c r="BT183" s="226">
        <f t="shared" si="113"/>
        <v>0</v>
      </c>
      <c r="BV183" s="275">
        <f t="shared" si="114"/>
        <v>45986</v>
      </c>
      <c r="BW183" s="277"/>
      <c r="BX183" s="277"/>
      <c r="BY183" s="278"/>
      <c r="BZ183" s="283"/>
      <c r="CA183" s="226"/>
      <c r="CB183" s="226"/>
      <c r="CC183" s="226">
        <f t="shared" si="115"/>
        <v>0</v>
      </c>
    </row>
    <row r="184" spans="2:81" ht="15.75" x14ac:dyDescent="0.25">
      <c r="B184" s="275">
        <v>45987</v>
      </c>
      <c r="C184" s="277"/>
      <c r="D184" s="276"/>
      <c r="E184" s="276"/>
      <c r="F184" s="276"/>
      <c r="G184" s="278"/>
      <c r="H184" s="283"/>
      <c r="I184" s="226"/>
      <c r="J184" s="226"/>
      <c r="K184" s="226">
        <f t="shared" si="101"/>
        <v>0</v>
      </c>
      <c r="M184" s="275">
        <f t="shared" si="102"/>
        <v>45987</v>
      </c>
      <c r="N184" s="280"/>
      <c r="O184" s="280"/>
      <c r="P184" s="280"/>
      <c r="Q184" s="282"/>
      <c r="R184" s="282"/>
      <c r="S184" s="278"/>
      <c r="T184" s="283"/>
      <c r="U184" s="226"/>
      <c r="V184" s="226"/>
      <c r="W184" s="226">
        <f t="shared" si="103"/>
        <v>0</v>
      </c>
      <c r="Y184" s="275">
        <f t="shared" si="104"/>
        <v>45987</v>
      </c>
      <c r="Z184" s="277"/>
      <c r="AA184" s="277"/>
      <c r="AB184" s="278"/>
      <c r="AC184" s="283"/>
      <c r="AD184" s="226"/>
      <c r="AE184" s="226"/>
      <c r="AF184" s="226">
        <f t="shared" si="105"/>
        <v>0</v>
      </c>
      <c r="AH184" s="275">
        <f t="shared" si="106"/>
        <v>45987</v>
      </c>
      <c r="AI184" s="277"/>
      <c r="AJ184" s="280"/>
      <c r="AK184" s="278"/>
      <c r="AL184" s="283"/>
      <c r="AM184" s="226"/>
      <c r="AN184" s="226"/>
      <c r="AO184" s="226">
        <f t="shared" si="107"/>
        <v>0</v>
      </c>
      <c r="AQ184" s="275">
        <f t="shared" si="108"/>
        <v>45987</v>
      </c>
      <c r="AR184" s="277"/>
      <c r="AS184" s="280"/>
      <c r="AT184" s="280"/>
      <c r="AU184" s="280"/>
      <c r="AV184" s="282"/>
      <c r="AW184" s="280"/>
      <c r="AX184" s="278"/>
      <c r="AY184" s="283"/>
      <c r="AZ184" s="226"/>
      <c r="BA184" s="226"/>
      <c r="BB184" s="226">
        <f t="shared" si="109"/>
        <v>0</v>
      </c>
      <c r="BD184" s="275">
        <f t="shared" si="110"/>
        <v>45987</v>
      </c>
      <c r="BE184" s="277"/>
      <c r="BF184" s="280"/>
      <c r="BG184" s="278"/>
      <c r="BH184" s="283"/>
      <c r="BI184" s="226"/>
      <c r="BJ184" s="226"/>
      <c r="BK184" s="226">
        <f t="shared" si="111"/>
        <v>0</v>
      </c>
      <c r="BM184" s="275">
        <f t="shared" si="112"/>
        <v>45987</v>
      </c>
      <c r="BN184" s="277"/>
      <c r="BO184" s="276"/>
      <c r="BP184" s="278"/>
      <c r="BQ184" s="283"/>
      <c r="BR184" s="226"/>
      <c r="BS184" s="226"/>
      <c r="BT184" s="226">
        <f t="shared" si="113"/>
        <v>0</v>
      </c>
      <c r="BV184" s="275">
        <f t="shared" si="114"/>
        <v>45987</v>
      </c>
      <c r="BW184" s="277"/>
      <c r="BX184" s="277"/>
      <c r="BY184" s="278"/>
      <c r="BZ184" s="283"/>
      <c r="CA184" s="226"/>
      <c r="CB184" s="226"/>
      <c r="CC184" s="226">
        <f t="shared" si="115"/>
        <v>0</v>
      </c>
    </row>
    <row r="185" spans="2:81" ht="15.75" x14ac:dyDescent="0.25">
      <c r="B185" s="275">
        <v>45988</v>
      </c>
      <c r="C185" s="277"/>
      <c r="D185" s="276"/>
      <c r="E185" s="276"/>
      <c r="F185" s="276"/>
      <c r="G185" s="278"/>
      <c r="H185" s="283"/>
      <c r="I185" s="226"/>
      <c r="J185" s="226"/>
      <c r="K185" s="226">
        <f t="shared" si="101"/>
        <v>0</v>
      </c>
      <c r="M185" s="275">
        <f t="shared" si="102"/>
        <v>45988</v>
      </c>
      <c r="N185" s="280"/>
      <c r="O185" s="280"/>
      <c r="P185" s="280"/>
      <c r="Q185" s="282"/>
      <c r="R185" s="282"/>
      <c r="S185" s="278"/>
      <c r="T185" s="283"/>
      <c r="U185" s="226"/>
      <c r="V185" s="226"/>
      <c r="W185" s="226">
        <f t="shared" si="103"/>
        <v>0</v>
      </c>
      <c r="Y185" s="275">
        <f t="shared" si="104"/>
        <v>45988</v>
      </c>
      <c r="Z185" s="277"/>
      <c r="AA185" s="277"/>
      <c r="AB185" s="278"/>
      <c r="AC185" s="283"/>
      <c r="AD185" s="226"/>
      <c r="AE185" s="226"/>
      <c r="AF185" s="226">
        <f t="shared" si="105"/>
        <v>0</v>
      </c>
      <c r="AH185" s="275">
        <f t="shared" si="106"/>
        <v>45988</v>
      </c>
      <c r="AI185" s="277"/>
      <c r="AJ185" s="280"/>
      <c r="AK185" s="278"/>
      <c r="AL185" s="283"/>
      <c r="AM185" s="226"/>
      <c r="AN185" s="226"/>
      <c r="AO185" s="226">
        <f t="shared" si="107"/>
        <v>0</v>
      </c>
      <c r="AQ185" s="275">
        <f t="shared" si="108"/>
        <v>45988</v>
      </c>
      <c r="AR185" s="277"/>
      <c r="AS185" s="280"/>
      <c r="AT185" s="280"/>
      <c r="AU185" s="280"/>
      <c r="AV185" s="282"/>
      <c r="AW185" s="280"/>
      <c r="AX185" s="278"/>
      <c r="AY185" s="283"/>
      <c r="AZ185" s="226"/>
      <c r="BA185" s="226"/>
      <c r="BB185" s="226">
        <f t="shared" si="109"/>
        <v>0</v>
      </c>
      <c r="BD185" s="275">
        <f t="shared" si="110"/>
        <v>45988</v>
      </c>
      <c r="BE185" s="277"/>
      <c r="BF185" s="280"/>
      <c r="BG185" s="278"/>
      <c r="BH185" s="283"/>
      <c r="BI185" s="226"/>
      <c r="BJ185" s="226"/>
      <c r="BK185" s="226">
        <f t="shared" si="111"/>
        <v>0</v>
      </c>
      <c r="BM185" s="275">
        <f t="shared" si="112"/>
        <v>45988</v>
      </c>
      <c r="BN185" s="277"/>
      <c r="BO185" s="276"/>
      <c r="BP185" s="278"/>
      <c r="BQ185" s="283"/>
      <c r="BR185" s="226"/>
      <c r="BS185" s="226"/>
      <c r="BT185" s="226">
        <f t="shared" si="113"/>
        <v>0</v>
      </c>
      <c r="BV185" s="275">
        <f t="shared" si="114"/>
        <v>45988</v>
      </c>
      <c r="BW185" s="277"/>
      <c r="BX185" s="277"/>
      <c r="BY185" s="278"/>
      <c r="BZ185" s="283"/>
      <c r="CA185" s="226"/>
      <c r="CB185" s="226"/>
      <c r="CC185" s="226">
        <f t="shared" si="115"/>
        <v>0</v>
      </c>
    </row>
    <row r="186" spans="2:81" ht="15.75" x14ac:dyDescent="0.25">
      <c r="B186" s="275">
        <v>45989</v>
      </c>
      <c r="C186" s="277"/>
      <c r="D186" s="276"/>
      <c r="E186" s="276"/>
      <c r="F186" s="276"/>
      <c r="G186" s="278"/>
      <c r="H186" s="283"/>
      <c r="I186" s="226"/>
      <c r="J186" s="226"/>
      <c r="K186" s="226">
        <f t="shared" si="101"/>
        <v>0</v>
      </c>
      <c r="M186" s="275">
        <f t="shared" si="102"/>
        <v>45989</v>
      </c>
      <c r="N186" s="280"/>
      <c r="O186" s="280"/>
      <c r="P186" s="280"/>
      <c r="Q186" s="282"/>
      <c r="R186" s="282"/>
      <c r="S186" s="278"/>
      <c r="T186" s="283"/>
      <c r="U186" s="226"/>
      <c r="V186" s="226"/>
      <c r="W186" s="226">
        <f t="shared" si="103"/>
        <v>0</v>
      </c>
      <c r="Y186" s="275">
        <f t="shared" si="104"/>
        <v>45989</v>
      </c>
      <c r="Z186" s="277"/>
      <c r="AA186" s="277"/>
      <c r="AB186" s="278"/>
      <c r="AC186" s="283"/>
      <c r="AD186" s="226"/>
      <c r="AE186" s="226"/>
      <c r="AF186" s="226">
        <f t="shared" si="105"/>
        <v>0</v>
      </c>
      <c r="AH186" s="275">
        <f t="shared" si="106"/>
        <v>45989</v>
      </c>
      <c r="AI186" s="277"/>
      <c r="AJ186" s="280"/>
      <c r="AK186" s="278"/>
      <c r="AL186" s="283"/>
      <c r="AM186" s="226"/>
      <c r="AN186" s="226"/>
      <c r="AO186" s="226">
        <f t="shared" si="107"/>
        <v>0</v>
      </c>
      <c r="AQ186" s="275">
        <f t="shared" si="108"/>
        <v>45989</v>
      </c>
      <c r="AR186" s="277"/>
      <c r="AS186" s="280"/>
      <c r="AT186" s="280"/>
      <c r="AU186" s="280"/>
      <c r="AV186" s="282"/>
      <c r="AW186" s="280"/>
      <c r="AX186" s="278"/>
      <c r="AY186" s="283"/>
      <c r="AZ186" s="226"/>
      <c r="BA186" s="226"/>
      <c r="BB186" s="226">
        <f t="shared" si="109"/>
        <v>0</v>
      </c>
      <c r="BD186" s="275">
        <f t="shared" si="110"/>
        <v>45989</v>
      </c>
      <c r="BE186" s="277"/>
      <c r="BF186" s="280"/>
      <c r="BG186" s="278"/>
      <c r="BH186" s="283"/>
      <c r="BI186" s="226"/>
      <c r="BJ186" s="226"/>
      <c r="BK186" s="226">
        <f t="shared" si="111"/>
        <v>0</v>
      </c>
      <c r="BM186" s="275">
        <f t="shared" si="112"/>
        <v>45989</v>
      </c>
      <c r="BN186" s="277"/>
      <c r="BO186" s="276"/>
      <c r="BP186" s="278"/>
      <c r="BQ186" s="283"/>
      <c r="BR186" s="226"/>
      <c r="BS186" s="226"/>
      <c r="BT186" s="226">
        <f t="shared" si="113"/>
        <v>0</v>
      </c>
      <c r="BV186" s="275">
        <f t="shared" si="114"/>
        <v>45989</v>
      </c>
      <c r="BW186" s="277"/>
      <c r="BX186" s="277"/>
      <c r="BY186" s="278"/>
      <c r="BZ186" s="283"/>
      <c r="CA186" s="226"/>
      <c r="CB186" s="226"/>
      <c r="CC186" s="226">
        <f t="shared" si="115"/>
        <v>0</v>
      </c>
    </row>
    <row r="187" spans="2:81" ht="15.75" x14ac:dyDescent="0.25">
      <c r="B187" s="275">
        <v>45990</v>
      </c>
      <c r="C187" s="277"/>
      <c r="D187" s="276"/>
      <c r="E187" s="276"/>
      <c r="F187" s="276"/>
      <c r="G187" s="278"/>
      <c r="H187" s="283"/>
      <c r="I187" s="226"/>
      <c r="J187" s="226"/>
      <c r="K187" s="226">
        <f t="shared" si="101"/>
        <v>0</v>
      </c>
      <c r="M187" s="275">
        <f t="shared" si="102"/>
        <v>45990</v>
      </c>
      <c r="N187" s="280"/>
      <c r="O187" s="280"/>
      <c r="P187" s="280"/>
      <c r="Q187" s="282"/>
      <c r="R187" s="282"/>
      <c r="S187" s="278"/>
      <c r="T187" s="283"/>
      <c r="U187" s="226"/>
      <c r="V187" s="226"/>
      <c r="W187" s="226">
        <f t="shared" si="103"/>
        <v>0</v>
      </c>
      <c r="Y187" s="275">
        <f t="shared" si="104"/>
        <v>45990</v>
      </c>
      <c r="Z187" s="277"/>
      <c r="AA187" s="277"/>
      <c r="AB187" s="278"/>
      <c r="AC187" s="283"/>
      <c r="AD187" s="226"/>
      <c r="AE187" s="226"/>
      <c r="AF187" s="226">
        <f t="shared" si="105"/>
        <v>0</v>
      </c>
      <c r="AH187" s="275">
        <f t="shared" si="106"/>
        <v>45990</v>
      </c>
      <c r="AI187" s="277"/>
      <c r="AJ187" s="280"/>
      <c r="AK187" s="278"/>
      <c r="AL187" s="283"/>
      <c r="AM187" s="226"/>
      <c r="AN187" s="226"/>
      <c r="AO187" s="226">
        <f t="shared" si="107"/>
        <v>0</v>
      </c>
      <c r="AQ187" s="275">
        <f t="shared" si="108"/>
        <v>45990</v>
      </c>
      <c r="AR187" s="277"/>
      <c r="AS187" s="280"/>
      <c r="AT187" s="280"/>
      <c r="AU187" s="280"/>
      <c r="AV187" s="282"/>
      <c r="AW187" s="280"/>
      <c r="AX187" s="278"/>
      <c r="AY187" s="283"/>
      <c r="AZ187" s="226"/>
      <c r="BA187" s="226"/>
      <c r="BB187" s="226">
        <f t="shared" si="109"/>
        <v>0</v>
      </c>
      <c r="BD187" s="275">
        <f t="shared" si="110"/>
        <v>45990</v>
      </c>
      <c r="BE187" s="277"/>
      <c r="BF187" s="280"/>
      <c r="BG187" s="278"/>
      <c r="BH187" s="283"/>
      <c r="BI187" s="226"/>
      <c r="BJ187" s="226"/>
      <c r="BK187" s="226">
        <f t="shared" si="111"/>
        <v>0</v>
      </c>
      <c r="BM187" s="275">
        <f t="shared" si="112"/>
        <v>45990</v>
      </c>
      <c r="BN187" s="277"/>
      <c r="BO187" s="276"/>
      <c r="BP187" s="278"/>
      <c r="BQ187" s="283"/>
      <c r="BR187" s="226"/>
      <c r="BS187" s="226"/>
      <c r="BT187" s="226">
        <f t="shared" si="113"/>
        <v>0</v>
      </c>
      <c r="BV187" s="275">
        <f t="shared" si="114"/>
        <v>45990</v>
      </c>
      <c r="BW187" s="277"/>
      <c r="BX187" s="277"/>
      <c r="BY187" s="278"/>
      <c r="BZ187" s="283"/>
      <c r="CA187" s="226"/>
      <c r="CB187" s="226"/>
      <c r="CC187" s="226">
        <f t="shared" si="115"/>
        <v>0</v>
      </c>
    </row>
    <row r="188" spans="2:81" ht="15.75" x14ac:dyDescent="0.25">
      <c r="B188" s="275">
        <v>45991</v>
      </c>
      <c r="C188" s="277"/>
      <c r="D188" s="276"/>
      <c r="E188" s="276"/>
      <c r="F188" s="276"/>
      <c r="G188" s="278"/>
      <c r="H188" s="283"/>
      <c r="I188" s="226"/>
      <c r="J188" s="226"/>
      <c r="K188" s="226">
        <f t="shared" si="101"/>
        <v>0</v>
      </c>
      <c r="M188" s="275">
        <f t="shared" si="102"/>
        <v>45991</v>
      </c>
      <c r="N188" s="280"/>
      <c r="O188" s="280"/>
      <c r="P188" s="280"/>
      <c r="Q188" s="282"/>
      <c r="R188" s="282"/>
      <c r="S188" s="278"/>
      <c r="T188" s="283"/>
      <c r="U188" s="226"/>
      <c r="V188" s="226"/>
      <c r="W188" s="226">
        <f t="shared" si="103"/>
        <v>0</v>
      </c>
      <c r="Y188" s="275">
        <f t="shared" si="104"/>
        <v>45991</v>
      </c>
      <c r="Z188" s="277"/>
      <c r="AA188" s="277"/>
      <c r="AB188" s="278"/>
      <c r="AC188" s="283"/>
      <c r="AD188" s="226"/>
      <c r="AE188" s="226"/>
      <c r="AF188" s="226">
        <f t="shared" si="105"/>
        <v>0</v>
      </c>
      <c r="AH188" s="275">
        <f t="shared" si="106"/>
        <v>45991</v>
      </c>
      <c r="AI188" s="277"/>
      <c r="AJ188" s="280"/>
      <c r="AK188" s="278"/>
      <c r="AL188" s="283"/>
      <c r="AM188" s="226"/>
      <c r="AN188" s="226"/>
      <c r="AO188" s="226">
        <f t="shared" si="107"/>
        <v>0</v>
      </c>
      <c r="AQ188" s="275">
        <f t="shared" si="108"/>
        <v>45991</v>
      </c>
      <c r="AR188" s="277"/>
      <c r="AS188" s="280"/>
      <c r="AT188" s="280"/>
      <c r="AU188" s="280"/>
      <c r="AV188" s="282"/>
      <c r="AW188" s="280"/>
      <c r="AX188" s="278"/>
      <c r="AY188" s="283"/>
      <c r="AZ188" s="226"/>
      <c r="BA188" s="226"/>
      <c r="BB188" s="226">
        <f t="shared" si="109"/>
        <v>0</v>
      </c>
      <c r="BD188" s="275">
        <f t="shared" si="110"/>
        <v>45991</v>
      </c>
      <c r="BE188" s="277"/>
      <c r="BF188" s="280"/>
      <c r="BG188" s="278"/>
      <c r="BH188" s="283"/>
      <c r="BI188" s="226"/>
      <c r="BJ188" s="226"/>
      <c r="BK188" s="226">
        <f t="shared" si="111"/>
        <v>0</v>
      </c>
      <c r="BM188" s="275">
        <f t="shared" si="112"/>
        <v>45991</v>
      </c>
      <c r="BN188" s="277"/>
      <c r="BO188" s="276"/>
      <c r="BP188" s="278"/>
      <c r="BQ188" s="283"/>
      <c r="BR188" s="226"/>
      <c r="BS188" s="226"/>
      <c r="BT188" s="226">
        <f t="shared" si="113"/>
        <v>0</v>
      </c>
      <c r="BV188" s="275">
        <f t="shared" si="114"/>
        <v>45991</v>
      </c>
      <c r="BW188" s="277"/>
      <c r="BX188" s="277"/>
      <c r="BY188" s="278"/>
      <c r="BZ188" s="283"/>
      <c r="CA188" s="226"/>
      <c r="CB188" s="226"/>
      <c r="CC188" s="226">
        <f t="shared" si="115"/>
        <v>0</v>
      </c>
    </row>
    <row r="189" spans="2:81" ht="16.5" thickBot="1" x14ac:dyDescent="0.3">
      <c r="B189" s="275"/>
      <c r="C189" s="277"/>
      <c r="D189" s="276"/>
      <c r="E189" s="276"/>
      <c r="F189" s="276"/>
      <c r="G189" s="278"/>
      <c r="H189" s="284"/>
      <c r="I189" s="227"/>
      <c r="J189" s="227"/>
      <c r="K189" s="227">
        <f t="shared" si="101"/>
        <v>0</v>
      </c>
      <c r="M189" s="275"/>
      <c r="N189" s="280"/>
      <c r="O189" s="280"/>
      <c r="P189" s="280"/>
      <c r="Q189" s="282"/>
      <c r="R189" s="282"/>
      <c r="S189" s="278"/>
      <c r="T189" s="284"/>
      <c r="U189" s="227"/>
      <c r="V189" s="227"/>
      <c r="W189" s="227">
        <f t="shared" si="103"/>
        <v>0</v>
      </c>
      <c r="Y189" s="275"/>
      <c r="Z189" s="277"/>
      <c r="AA189" s="277"/>
      <c r="AB189" s="278"/>
      <c r="AC189" s="284"/>
      <c r="AD189" s="227"/>
      <c r="AE189" s="227"/>
      <c r="AF189" s="227">
        <f t="shared" si="105"/>
        <v>0</v>
      </c>
      <c r="AH189" s="275"/>
      <c r="AI189" s="277"/>
      <c r="AJ189" s="280"/>
      <c r="AK189" s="278"/>
      <c r="AL189" s="284"/>
      <c r="AM189" s="227"/>
      <c r="AN189" s="227"/>
      <c r="AO189" s="227">
        <f t="shared" si="107"/>
        <v>0</v>
      </c>
      <c r="AQ189" s="275"/>
      <c r="AR189" s="277"/>
      <c r="AS189" s="280"/>
      <c r="AT189" s="280"/>
      <c r="AU189" s="280"/>
      <c r="AV189" s="282"/>
      <c r="AW189" s="280"/>
      <c r="AX189" s="278"/>
      <c r="AY189" s="284"/>
      <c r="AZ189" s="227"/>
      <c r="BA189" s="227"/>
      <c r="BB189" s="227">
        <f t="shared" si="109"/>
        <v>0</v>
      </c>
      <c r="BD189" s="275"/>
      <c r="BE189" s="277"/>
      <c r="BF189" s="280"/>
      <c r="BG189" s="278"/>
      <c r="BH189" s="284"/>
      <c r="BI189" s="227"/>
      <c r="BJ189" s="227"/>
      <c r="BK189" s="227">
        <f t="shared" si="111"/>
        <v>0</v>
      </c>
      <c r="BM189" s="275"/>
      <c r="BN189" s="277"/>
      <c r="BO189" s="276"/>
      <c r="BP189" s="278"/>
      <c r="BQ189" s="284"/>
      <c r="BR189" s="227"/>
      <c r="BS189" s="227"/>
      <c r="BT189" s="227">
        <f t="shared" si="113"/>
        <v>0</v>
      </c>
      <c r="BV189" s="275"/>
      <c r="BW189" s="277"/>
      <c r="BX189" s="277"/>
      <c r="BY189" s="278"/>
      <c r="BZ189" s="284"/>
      <c r="CA189" s="227"/>
      <c r="CB189" s="227"/>
      <c r="CC189" s="227">
        <f t="shared" si="115"/>
        <v>0</v>
      </c>
    </row>
    <row r="190" spans="2:81" ht="19.5" thickBot="1" x14ac:dyDescent="0.35">
      <c r="B190" s="297"/>
      <c r="C190" s="285">
        <f t="shared" ref="C190:F190" si="116">SUM(C159:C189)</f>
        <v>0</v>
      </c>
      <c r="D190" s="285">
        <f t="shared" si="116"/>
        <v>0</v>
      </c>
      <c r="E190" s="285">
        <f t="shared" si="116"/>
        <v>0</v>
      </c>
      <c r="F190" s="285">
        <f t="shared" si="116"/>
        <v>0</v>
      </c>
      <c r="G190" s="250"/>
      <c r="H190" s="248">
        <f t="shared" ref="H190:K190" si="117">SUM(H159:H189)</f>
        <v>0</v>
      </c>
      <c r="I190" s="245">
        <f t="shared" si="117"/>
        <v>0</v>
      </c>
      <c r="J190" s="245">
        <f t="shared" si="117"/>
        <v>0</v>
      </c>
      <c r="K190" s="245">
        <f t="shared" si="117"/>
        <v>0</v>
      </c>
      <c r="M190" s="1"/>
      <c r="N190" s="285">
        <f t="shared" ref="N190:R190" si="118">SUM(N159:N189)</f>
        <v>0</v>
      </c>
      <c r="O190" s="285">
        <f t="shared" si="118"/>
        <v>0</v>
      </c>
      <c r="P190" s="285">
        <f t="shared" si="118"/>
        <v>0</v>
      </c>
      <c r="Q190" s="286">
        <f t="shared" si="118"/>
        <v>0</v>
      </c>
      <c r="R190" s="286">
        <f t="shared" si="118"/>
        <v>0</v>
      </c>
      <c r="S190" s="250"/>
      <c r="T190" s="248">
        <f t="shared" ref="T190:W190" si="119">SUM(T159:T189)</f>
        <v>0</v>
      </c>
      <c r="U190" s="245">
        <f t="shared" si="119"/>
        <v>0</v>
      </c>
      <c r="V190" s="245">
        <f t="shared" si="119"/>
        <v>0</v>
      </c>
      <c r="W190" s="245">
        <f t="shared" si="119"/>
        <v>0</v>
      </c>
      <c r="Z190" s="287">
        <f t="shared" ref="Z190" si="120">SUM(Z159:Z189)</f>
        <v>0</v>
      </c>
      <c r="AA190" s="288">
        <f>SUM(AA159:AA189)</f>
        <v>0</v>
      </c>
      <c r="AB190" s="250"/>
      <c r="AC190" s="248">
        <f t="shared" ref="AC190:AF190" si="121">SUM(AC159:AC189)</f>
        <v>0</v>
      </c>
      <c r="AD190" s="245">
        <f t="shared" si="121"/>
        <v>0</v>
      </c>
      <c r="AE190" s="245">
        <f t="shared" si="121"/>
        <v>0</v>
      </c>
      <c r="AF190" s="245">
        <f t="shared" si="121"/>
        <v>0</v>
      </c>
      <c r="AH190" s="298"/>
      <c r="AI190" s="289">
        <f t="shared" ref="AI190:AJ190" si="122">SUM(AI159:AI189)</f>
        <v>0</v>
      </c>
      <c r="AJ190" s="289">
        <f t="shared" si="122"/>
        <v>0</v>
      </c>
      <c r="AK190" s="250"/>
      <c r="AL190" s="248">
        <f t="shared" ref="AL190:AO190" si="123">SUM(AL159:AL189)</f>
        <v>0</v>
      </c>
      <c r="AM190" s="245">
        <f t="shared" si="123"/>
        <v>0</v>
      </c>
      <c r="AN190" s="245">
        <f t="shared" si="123"/>
        <v>0</v>
      </c>
      <c r="AO190" s="245">
        <f t="shared" si="123"/>
        <v>0</v>
      </c>
      <c r="AQ190" s="299"/>
      <c r="AR190" s="289">
        <f t="shared" ref="AR190:AT190" si="124">SUM(AR159:AR189)</f>
        <v>0</v>
      </c>
      <c r="AS190" s="289">
        <f t="shared" si="124"/>
        <v>0</v>
      </c>
      <c r="AT190" s="289">
        <f t="shared" si="124"/>
        <v>0</v>
      </c>
      <c r="AU190" s="289">
        <f>SUM(AU159:AU189)</f>
        <v>0</v>
      </c>
      <c r="AV190" s="289">
        <f>SUM(AV159:AV189)</f>
        <v>0</v>
      </c>
      <c r="AW190" s="289">
        <f>SUM(AW159:AW189)</f>
        <v>0</v>
      </c>
      <c r="AX190" s="250"/>
      <c r="AY190" s="248">
        <f t="shared" ref="AY190:BB190" si="125">SUM(AY159:AY189)</f>
        <v>0</v>
      </c>
      <c r="AZ190" s="245">
        <f t="shared" si="125"/>
        <v>0</v>
      </c>
      <c r="BA190" s="245">
        <f t="shared" si="125"/>
        <v>0</v>
      </c>
      <c r="BB190" s="245">
        <f t="shared" si="125"/>
        <v>0</v>
      </c>
      <c r="BD190" s="298"/>
      <c r="BE190" s="289">
        <f t="shared" ref="BE190:BF190" si="126">SUM(BE159:BE189)</f>
        <v>0</v>
      </c>
      <c r="BF190" s="289">
        <f t="shared" si="126"/>
        <v>0</v>
      </c>
      <c r="BG190" s="250"/>
      <c r="BH190" s="248">
        <f t="shared" ref="BH190:BK190" si="127">SUM(BH159:BH189)</f>
        <v>0</v>
      </c>
      <c r="BI190" s="245">
        <f t="shared" si="127"/>
        <v>0</v>
      </c>
      <c r="BJ190" s="245">
        <f t="shared" si="127"/>
        <v>0</v>
      </c>
      <c r="BK190" s="245">
        <f t="shared" si="127"/>
        <v>0</v>
      </c>
      <c r="BM190" s="298"/>
      <c r="BN190" s="289">
        <f t="shared" ref="BN190:BO190" si="128">SUM(BN159:BN189)</f>
        <v>0</v>
      </c>
      <c r="BO190" s="289">
        <f t="shared" si="128"/>
        <v>0</v>
      </c>
      <c r="BP190" s="250"/>
      <c r="BQ190" s="248">
        <f t="shared" ref="BQ190:BT190" si="129">SUM(BQ159:BQ189)</f>
        <v>0</v>
      </c>
      <c r="BR190" s="245">
        <f t="shared" si="129"/>
        <v>0</v>
      </c>
      <c r="BS190" s="245">
        <f t="shared" si="129"/>
        <v>0</v>
      </c>
      <c r="BT190" s="245">
        <f t="shared" si="129"/>
        <v>0</v>
      </c>
      <c r="BV190" s="298"/>
      <c r="BW190" s="289">
        <f t="shared" ref="BW190:BX190" si="130">SUM(BW159:BW189)</f>
        <v>0</v>
      </c>
      <c r="BX190" s="289">
        <f t="shared" si="130"/>
        <v>0</v>
      </c>
      <c r="BY190" s="250"/>
      <c r="BZ190" s="248">
        <f t="shared" ref="BZ190:CC190" si="131">SUM(BZ159:BZ189)</f>
        <v>0</v>
      </c>
      <c r="CA190" s="245">
        <f t="shared" si="131"/>
        <v>0</v>
      </c>
      <c r="CB190" s="245">
        <f t="shared" si="131"/>
        <v>0</v>
      </c>
      <c r="CC190" s="245">
        <f t="shared" si="131"/>
        <v>0</v>
      </c>
    </row>
    <row r="193" spans="2:81" s="301" customFormat="1" ht="26.25" x14ac:dyDescent="0.4">
      <c r="B193" s="300" t="s">
        <v>81</v>
      </c>
      <c r="C193" s="300"/>
      <c r="D193" s="300"/>
      <c r="E193" s="300"/>
      <c r="F193" s="300"/>
      <c r="G193" s="300"/>
      <c r="H193" s="300"/>
      <c r="I193" s="300"/>
      <c r="J193" s="300"/>
      <c r="K193" s="300"/>
      <c r="M193" s="300"/>
      <c r="N193" s="300" t="s">
        <v>82</v>
      </c>
      <c r="O193" s="300"/>
      <c r="P193" s="300"/>
      <c r="Q193" s="300"/>
      <c r="R193" s="300"/>
      <c r="S193" s="300"/>
      <c r="T193" s="300"/>
      <c r="U193" s="300"/>
      <c r="V193" s="300"/>
      <c r="W193" s="300"/>
      <c r="Y193" s="300" t="s">
        <v>83</v>
      </c>
      <c r="AB193" s="300"/>
      <c r="AC193" s="300"/>
      <c r="AD193" s="300"/>
      <c r="AE193" s="300"/>
      <c r="AF193" s="300"/>
      <c r="AH193" s="300" t="s">
        <v>84</v>
      </c>
      <c r="AI193" s="300"/>
      <c r="AK193" s="300"/>
      <c r="AL193" s="300"/>
      <c r="AM193" s="300"/>
      <c r="AN193" s="300"/>
      <c r="AO193" s="300"/>
      <c r="AQ193" s="300" t="s">
        <v>85</v>
      </c>
      <c r="AR193" s="300"/>
      <c r="AS193" s="300"/>
      <c r="AT193" s="300"/>
      <c r="AU193" s="300"/>
      <c r="AV193" s="300"/>
      <c r="AW193" s="300"/>
      <c r="AX193" s="300"/>
      <c r="AY193" s="300"/>
      <c r="AZ193" s="300"/>
      <c r="BA193" s="300"/>
      <c r="BB193" s="300"/>
      <c r="BD193" s="300" t="s">
        <v>86</v>
      </c>
      <c r="BE193" s="300"/>
      <c r="BG193" s="300"/>
      <c r="BH193" s="300"/>
      <c r="BI193" s="300"/>
      <c r="BJ193" s="300"/>
      <c r="BK193" s="300"/>
      <c r="BM193" s="300" t="s">
        <v>87</v>
      </c>
      <c r="BN193" s="300"/>
      <c r="BP193" s="300"/>
      <c r="BQ193" s="300"/>
      <c r="BR193" s="300"/>
      <c r="BS193" s="300"/>
      <c r="BT193" s="300"/>
      <c r="BV193" s="300" t="s">
        <v>88</v>
      </c>
      <c r="BW193" s="300"/>
      <c r="BY193" s="300"/>
      <c r="BZ193" s="300"/>
      <c r="CA193" s="300"/>
      <c r="CB193" s="300"/>
      <c r="CC193" s="300"/>
    </row>
    <row r="194" spans="2:81" ht="9" customHeight="1" thickBot="1" x14ac:dyDescent="0.4">
      <c r="B194" s="1"/>
      <c r="C194" s="1"/>
      <c r="D194" s="1"/>
      <c r="E194" s="1"/>
      <c r="F194" s="1"/>
      <c r="G194" s="1"/>
      <c r="H194" s="1"/>
      <c r="I194" s="1"/>
      <c r="J194" s="1"/>
      <c r="K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AB194" s="1"/>
      <c r="AC194" s="1"/>
      <c r="AD194" s="1"/>
      <c r="AE194" s="1"/>
      <c r="AF194" s="1"/>
      <c r="AH194" s="302"/>
      <c r="AK194" s="1"/>
      <c r="AL194" s="1"/>
      <c r="AM194" s="1"/>
      <c r="AN194" s="1"/>
      <c r="AO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G194" s="1"/>
      <c r="BH194" s="1"/>
      <c r="BI194" s="1"/>
      <c r="BJ194" s="1"/>
      <c r="BK194" s="1"/>
      <c r="BP194" s="1"/>
      <c r="BQ194" s="1"/>
      <c r="BR194" s="1"/>
      <c r="BS194" s="1"/>
      <c r="BT194" s="1"/>
      <c r="BY194" s="1"/>
      <c r="BZ194" s="1"/>
      <c r="CA194" s="1"/>
      <c r="CB194" s="1"/>
      <c r="CC194" s="1"/>
    </row>
    <row r="195" spans="2:81" ht="15.75" thickBot="1" x14ac:dyDescent="0.3">
      <c r="B195" s="1"/>
      <c r="C195" s="258" t="s">
        <v>77</v>
      </c>
      <c r="D195" s="258" t="s">
        <v>77</v>
      </c>
      <c r="E195" s="258" t="s">
        <v>77</v>
      </c>
      <c r="F195" s="258" t="s">
        <v>78</v>
      </c>
      <c r="G195" s="259"/>
      <c r="H195" s="290" t="s">
        <v>17</v>
      </c>
      <c r="I195" s="291" t="s">
        <v>17</v>
      </c>
      <c r="J195" s="292" t="s">
        <v>17</v>
      </c>
      <c r="K195" s="263" t="s">
        <v>23</v>
      </c>
      <c r="M195" s="1"/>
      <c r="N195" s="264" t="s">
        <v>16</v>
      </c>
      <c r="O195" s="264" t="s">
        <v>16</v>
      </c>
      <c r="P195" s="264" t="s">
        <v>16</v>
      </c>
      <c r="Q195" s="265" t="s">
        <v>67</v>
      </c>
      <c r="R195" s="265" t="s">
        <v>78</v>
      </c>
      <c r="S195" s="259"/>
      <c r="T195" s="290" t="s">
        <v>17</v>
      </c>
      <c r="U195" s="291" t="s">
        <v>17</v>
      </c>
      <c r="V195" s="292" t="s">
        <v>17</v>
      </c>
      <c r="W195" s="263" t="s">
        <v>23</v>
      </c>
      <c r="Z195" s="266" t="s">
        <v>16</v>
      </c>
      <c r="AA195" s="267" t="s">
        <v>67</v>
      </c>
      <c r="AB195" s="259"/>
      <c r="AC195" s="290" t="s">
        <v>17</v>
      </c>
      <c r="AD195" s="291" t="s">
        <v>17</v>
      </c>
      <c r="AE195" s="292" t="s">
        <v>17</v>
      </c>
      <c r="AF195" s="263" t="s">
        <v>23</v>
      </c>
      <c r="AI195" s="258" t="s">
        <v>77</v>
      </c>
      <c r="AJ195" s="258" t="s">
        <v>78</v>
      </c>
      <c r="AK195" s="259"/>
      <c r="AL195" s="290" t="s">
        <v>17</v>
      </c>
      <c r="AM195" s="291" t="s">
        <v>17</v>
      </c>
      <c r="AN195" s="292" t="s">
        <v>17</v>
      </c>
      <c r="AO195" s="263" t="s">
        <v>23</v>
      </c>
      <c r="AQ195" s="1"/>
      <c r="AR195" s="258" t="s">
        <v>77</v>
      </c>
      <c r="AS195" s="258" t="s">
        <v>77</v>
      </c>
      <c r="AT195" s="258" t="s">
        <v>77</v>
      </c>
      <c r="AU195" s="258" t="s">
        <v>78</v>
      </c>
      <c r="AV195" s="258" t="s">
        <v>78</v>
      </c>
      <c r="AW195" s="258" t="s">
        <v>78</v>
      </c>
      <c r="AX195" s="259"/>
      <c r="AY195" s="290" t="s">
        <v>17</v>
      </c>
      <c r="AZ195" s="291" t="s">
        <v>17</v>
      </c>
      <c r="BA195" s="292" t="s">
        <v>17</v>
      </c>
      <c r="BB195" s="263" t="s">
        <v>23</v>
      </c>
      <c r="BE195" s="258" t="s">
        <v>77</v>
      </c>
      <c r="BF195" s="258" t="s">
        <v>78</v>
      </c>
      <c r="BG195" s="259"/>
      <c r="BH195" s="290" t="s">
        <v>17</v>
      </c>
      <c r="BI195" s="291" t="s">
        <v>17</v>
      </c>
      <c r="BJ195" s="292" t="s">
        <v>17</v>
      </c>
      <c r="BK195" s="263" t="s">
        <v>23</v>
      </c>
      <c r="BN195" s="258" t="s">
        <v>77</v>
      </c>
      <c r="BO195" s="258" t="s">
        <v>78</v>
      </c>
      <c r="BP195" s="259"/>
      <c r="BQ195" s="290" t="s">
        <v>17</v>
      </c>
      <c r="BR195" s="291" t="s">
        <v>17</v>
      </c>
      <c r="BS195" s="292" t="s">
        <v>17</v>
      </c>
      <c r="BT195" s="263" t="s">
        <v>23</v>
      </c>
      <c r="BW195" s="258" t="s">
        <v>77</v>
      </c>
      <c r="BX195" s="258" t="s">
        <v>78</v>
      </c>
      <c r="BY195" s="259"/>
      <c r="BZ195" s="290" t="s">
        <v>17</v>
      </c>
      <c r="CA195" s="291" t="s">
        <v>17</v>
      </c>
      <c r="CB195" s="292" t="s">
        <v>17</v>
      </c>
      <c r="CC195" s="263" t="s">
        <v>23</v>
      </c>
    </row>
    <row r="196" spans="2:81" ht="15.75" thickBot="1" x14ac:dyDescent="0.3">
      <c r="B196" s="1"/>
      <c r="C196" s="268" t="s">
        <v>19</v>
      </c>
      <c r="D196" s="268" t="s">
        <v>20</v>
      </c>
      <c r="E196" s="268" t="s">
        <v>22</v>
      </c>
      <c r="F196" s="268" t="s">
        <v>19</v>
      </c>
      <c r="G196" s="259"/>
      <c r="H196" s="269" t="s">
        <v>64</v>
      </c>
      <c r="I196" s="270" t="s">
        <v>65</v>
      </c>
      <c r="J196" s="293" t="s">
        <v>66</v>
      </c>
      <c r="K196" s="294" t="s">
        <v>67</v>
      </c>
      <c r="M196" s="1"/>
      <c r="N196" s="272" t="s">
        <v>19</v>
      </c>
      <c r="O196" s="272" t="s">
        <v>20</v>
      </c>
      <c r="P196" s="272" t="s">
        <v>22</v>
      </c>
      <c r="Q196" s="272" t="s">
        <v>22</v>
      </c>
      <c r="R196" s="272" t="s">
        <v>19</v>
      </c>
      <c r="S196" s="259"/>
      <c r="T196" s="269" t="s">
        <v>64</v>
      </c>
      <c r="U196" s="270" t="s">
        <v>65</v>
      </c>
      <c r="V196" s="293" t="s">
        <v>66</v>
      </c>
      <c r="W196" s="294" t="s">
        <v>67</v>
      </c>
      <c r="Z196" s="273" t="s">
        <v>19</v>
      </c>
      <c r="AA196" s="274" t="s">
        <v>19</v>
      </c>
      <c r="AB196" s="259"/>
      <c r="AC196" s="269" t="s">
        <v>64</v>
      </c>
      <c r="AD196" s="270" t="s">
        <v>65</v>
      </c>
      <c r="AE196" s="293" t="s">
        <v>66</v>
      </c>
      <c r="AF196" s="294" t="s">
        <v>67</v>
      </c>
      <c r="AI196" s="268" t="s">
        <v>19</v>
      </c>
      <c r="AJ196" s="268" t="s">
        <v>19</v>
      </c>
      <c r="AK196" s="259"/>
      <c r="AL196" s="269" t="s">
        <v>64</v>
      </c>
      <c r="AM196" s="270" t="s">
        <v>65</v>
      </c>
      <c r="AN196" s="293" t="s">
        <v>66</v>
      </c>
      <c r="AO196" s="294" t="s">
        <v>67</v>
      </c>
      <c r="AQ196" s="1"/>
      <c r="AR196" s="268" t="s">
        <v>19</v>
      </c>
      <c r="AS196" s="268" t="s">
        <v>20</v>
      </c>
      <c r="AT196" s="268" t="s">
        <v>22</v>
      </c>
      <c r="AU196" s="268" t="s">
        <v>20</v>
      </c>
      <c r="AV196" s="268" t="s">
        <v>22</v>
      </c>
      <c r="AW196" s="268" t="s">
        <v>19</v>
      </c>
      <c r="AX196" s="259"/>
      <c r="AY196" s="269" t="s">
        <v>64</v>
      </c>
      <c r="AZ196" s="270" t="s">
        <v>65</v>
      </c>
      <c r="BA196" s="293" t="s">
        <v>66</v>
      </c>
      <c r="BB196" s="294" t="s">
        <v>67</v>
      </c>
      <c r="BE196" s="268" t="s">
        <v>19</v>
      </c>
      <c r="BF196" s="268" t="s">
        <v>19</v>
      </c>
      <c r="BG196" s="259"/>
      <c r="BH196" s="269" t="s">
        <v>64</v>
      </c>
      <c r="BI196" s="270" t="s">
        <v>65</v>
      </c>
      <c r="BJ196" s="293" t="s">
        <v>66</v>
      </c>
      <c r="BK196" s="294" t="s">
        <v>67</v>
      </c>
      <c r="BN196" s="268" t="s">
        <v>19</v>
      </c>
      <c r="BO196" s="268" t="s">
        <v>19</v>
      </c>
      <c r="BP196" s="259"/>
      <c r="BQ196" s="269" t="s">
        <v>64</v>
      </c>
      <c r="BR196" s="270" t="s">
        <v>65</v>
      </c>
      <c r="BS196" s="293" t="s">
        <v>66</v>
      </c>
      <c r="BT196" s="294" t="s">
        <v>67</v>
      </c>
      <c r="BW196" s="268" t="s">
        <v>19</v>
      </c>
      <c r="BX196" s="268" t="s">
        <v>19</v>
      </c>
      <c r="BY196" s="259"/>
      <c r="BZ196" s="269" t="s">
        <v>64</v>
      </c>
      <c r="CA196" s="270" t="s">
        <v>65</v>
      </c>
      <c r="CB196" s="293" t="s">
        <v>66</v>
      </c>
      <c r="CC196" s="294" t="s">
        <v>67</v>
      </c>
    </row>
    <row r="197" spans="2:81" ht="15.75" x14ac:dyDescent="0.25">
      <c r="B197" s="275">
        <v>45992</v>
      </c>
      <c r="C197" s="277"/>
      <c r="D197" s="276"/>
      <c r="E197" s="276"/>
      <c r="F197" s="276"/>
      <c r="G197" s="278"/>
      <c r="H197" s="279"/>
      <c r="I197" s="225"/>
      <c r="J197" s="225"/>
      <c r="K197" s="225">
        <f t="shared" ref="K197:K227" si="132">SUM(F197:J197)</f>
        <v>0</v>
      </c>
      <c r="M197" s="275">
        <f t="shared" ref="M197:M227" si="133">+B197</f>
        <v>45992</v>
      </c>
      <c r="N197" s="280"/>
      <c r="O197" s="280"/>
      <c r="P197" s="280"/>
      <c r="Q197" s="282"/>
      <c r="R197" s="282"/>
      <c r="S197" s="278"/>
      <c r="T197" s="279"/>
      <c r="U197" s="225"/>
      <c r="V197" s="225"/>
      <c r="W197" s="225">
        <f t="shared" ref="W197:W227" si="134">SUM(R197:V197)</f>
        <v>0</v>
      </c>
      <c r="Y197" s="275">
        <f>+M197</f>
        <v>45992</v>
      </c>
      <c r="Z197" s="277"/>
      <c r="AA197" s="277"/>
      <c r="AB197" s="278"/>
      <c r="AC197" s="279"/>
      <c r="AD197" s="225"/>
      <c r="AE197" s="225"/>
      <c r="AF197" s="225">
        <f t="shared" ref="AF197:AF227" si="135">SUM(AA197:AE197)</f>
        <v>0</v>
      </c>
      <c r="AH197" s="275">
        <f>+M197</f>
        <v>45992</v>
      </c>
      <c r="AI197" s="277"/>
      <c r="AJ197" s="280"/>
      <c r="AK197" s="278"/>
      <c r="AL197" s="279"/>
      <c r="AM197" s="225"/>
      <c r="AN197" s="225"/>
      <c r="AO197" s="225">
        <f t="shared" ref="AO197:AO227" si="136">SUM(AJ197:AN197)</f>
        <v>0</v>
      </c>
      <c r="AQ197" s="275">
        <f>+AH197</f>
        <v>45992</v>
      </c>
      <c r="AR197" s="277"/>
      <c r="AS197" s="280"/>
      <c r="AT197" s="280"/>
      <c r="AU197" s="280"/>
      <c r="AV197" s="282"/>
      <c r="AW197" s="280"/>
      <c r="AX197" s="278"/>
      <c r="AY197" s="279"/>
      <c r="AZ197" s="225"/>
      <c r="BA197" s="225"/>
      <c r="BB197" s="225">
        <f t="shared" ref="BB197:BB227" si="137">SUM(AW197:BA197)</f>
        <v>0</v>
      </c>
      <c r="BD197" s="275">
        <f>+AQ197</f>
        <v>45992</v>
      </c>
      <c r="BE197" s="277"/>
      <c r="BF197" s="280"/>
      <c r="BG197" s="278"/>
      <c r="BH197" s="279"/>
      <c r="BI197" s="225"/>
      <c r="BJ197" s="225"/>
      <c r="BK197" s="225">
        <f t="shared" ref="BK197:BK227" si="138">SUM(BF197:BJ197)</f>
        <v>0</v>
      </c>
      <c r="BM197" s="275">
        <f>+BD197</f>
        <v>45992</v>
      </c>
      <c r="BN197" s="277"/>
      <c r="BO197" s="276"/>
      <c r="BP197" s="278"/>
      <c r="BQ197" s="279"/>
      <c r="BR197" s="225"/>
      <c r="BS197" s="225"/>
      <c r="BT197" s="225">
        <f t="shared" ref="BT197:BT227" si="139">SUM(BO197:BS197)</f>
        <v>0</v>
      </c>
      <c r="BV197" s="275">
        <f>+BM197</f>
        <v>45992</v>
      </c>
      <c r="BW197" s="277"/>
      <c r="BX197" s="277"/>
      <c r="BY197" s="278"/>
      <c r="BZ197" s="279"/>
      <c r="CA197" s="225"/>
      <c r="CB197" s="225"/>
      <c r="CC197" s="225">
        <f t="shared" ref="CC197:CC227" si="140">SUM(BX197:CB197)</f>
        <v>0</v>
      </c>
    </row>
    <row r="198" spans="2:81" ht="15.75" x14ac:dyDescent="0.25">
      <c r="B198" s="275">
        <v>45993</v>
      </c>
      <c r="C198" s="277"/>
      <c r="D198" s="276"/>
      <c r="E198" s="276"/>
      <c r="F198" s="276"/>
      <c r="G198" s="278"/>
      <c r="H198" s="283"/>
      <c r="I198" s="226"/>
      <c r="J198" s="226"/>
      <c r="K198" s="226">
        <f t="shared" si="132"/>
        <v>0</v>
      </c>
      <c r="M198" s="275">
        <f t="shared" si="133"/>
        <v>45993</v>
      </c>
      <c r="N198" s="280"/>
      <c r="O198" s="280"/>
      <c r="P198" s="280"/>
      <c r="Q198" s="282"/>
      <c r="R198" s="282"/>
      <c r="S198" s="278"/>
      <c r="T198" s="283"/>
      <c r="U198" s="226"/>
      <c r="V198" s="226"/>
      <c r="W198" s="226">
        <f t="shared" si="134"/>
        <v>0</v>
      </c>
      <c r="Y198" s="275">
        <f t="shared" ref="Y198:Y227" si="141">+M198</f>
        <v>45993</v>
      </c>
      <c r="Z198" s="277"/>
      <c r="AA198" s="277"/>
      <c r="AB198" s="278"/>
      <c r="AC198" s="283"/>
      <c r="AD198" s="226"/>
      <c r="AE198" s="226"/>
      <c r="AF198" s="226">
        <f t="shared" si="135"/>
        <v>0</v>
      </c>
      <c r="AH198" s="275">
        <f t="shared" ref="AH198:AH227" si="142">+M198</f>
        <v>45993</v>
      </c>
      <c r="AI198" s="277"/>
      <c r="AJ198" s="280"/>
      <c r="AK198" s="278"/>
      <c r="AL198" s="283"/>
      <c r="AM198" s="226"/>
      <c r="AN198" s="226"/>
      <c r="AO198" s="226">
        <f t="shared" si="136"/>
        <v>0</v>
      </c>
      <c r="AQ198" s="275">
        <f t="shared" ref="AQ198:AQ227" si="143">+AH198</f>
        <v>45993</v>
      </c>
      <c r="AR198" s="277"/>
      <c r="AS198" s="280"/>
      <c r="AT198" s="280"/>
      <c r="AU198" s="280"/>
      <c r="AV198" s="282"/>
      <c r="AW198" s="280"/>
      <c r="AX198" s="278"/>
      <c r="AY198" s="283"/>
      <c r="AZ198" s="226"/>
      <c r="BA198" s="226"/>
      <c r="BB198" s="226">
        <f t="shared" si="137"/>
        <v>0</v>
      </c>
      <c r="BD198" s="275">
        <f t="shared" ref="BD198:BD227" si="144">+AQ198</f>
        <v>45993</v>
      </c>
      <c r="BE198" s="277"/>
      <c r="BF198" s="280"/>
      <c r="BG198" s="278"/>
      <c r="BH198" s="283"/>
      <c r="BI198" s="226"/>
      <c r="BJ198" s="226"/>
      <c r="BK198" s="226">
        <f t="shared" si="138"/>
        <v>0</v>
      </c>
      <c r="BM198" s="275">
        <f t="shared" ref="BM198:BM227" si="145">+BD198</f>
        <v>45993</v>
      </c>
      <c r="BN198" s="277"/>
      <c r="BO198" s="276"/>
      <c r="BP198" s="278"/>
      <c r="BQ198" s="283"/>
      <c r="BR198" s="226"/>
      <c r="BS198" s="226"/>
      <c r="BT198" s="226">
        <f t="shared" si="139"/>
        <v>0</v>
      </c>
      <c r="BV198" s="275">
        <f t="shared" ref="BV198:BV227" si="146">+BM198</f>
        <v>45993</v>
      </c>
      <c r="BW198" s="277"/>
      <c r="BX198" s="277"/>
      <c r="BY198" s="278"/>
      <c r="BZ198" s="283"/>
      <c r="CA198" s="226"/>
      <c r="CB198" s="226"/>
      <c r="CC198" s="226">
        <f t="shared" si="140"/>
        <v>0</v>
      </c>
    </row>
    <row r="199" spans="2:81" ht="15.75" x14ac:dyDescent="0.25">
      <c r="B199" s="275">
        <v>45994</v>
      </c>
      <c r="C199" s="277"/>
      <c r="D199" s="276"/>
      <c r="E199" s="276"/>
      <c r="F199" s="276"/>
      <c r="G199" s="278"/>
      <c r="H199" s="283"/>
      <c r="I199" s="226"/>
      <c r="J199" s="226"/>
      <c r="K199" s="226">
        <f t="shared" si="132"/>
        <v>0</v>
      </c>
      <c r="M199" s="275">
        <f t="shared" si="133"/>
        <v>45994</v>
      </c>
      <c r="N199" s="280"/>
      <c r="O199" s="280"/>
      <c r="P199" s="280"/>
      <c r="Q199" s="282"/>
      <c r="R199" s="282"/>
      <c r="S199" s="278"/>
      <c r="T199" s="283"/>
      <c r="U199" s="226"/>
      <c r="V199" s="226"/>
      <c r="W199" s="226">
        <f t="shared" si="134"/>
        <v>0</v>
      </c>
      <c r="Y199" s="275">
        <f t="shared" si="141"/>
        <v>45994</v>
      </c>
      <c r="Z199" s="277"/>
      <c r="AA199" s="277"/>
      <c r="AB199" s="278"/>
      <c r="AC199" s="283"/>
      <c r="AD199" s="226"/>
      <c r="AE199" s="226"/>
      <c r="AF199" s="226">
        <f t="shared" si="135"/>
        <v>0</v>
      </c>
      <c r="AH199" s="275">
        <f t="shared" si="142"/>
        <v>45994</v>
      </c>
      <c r="AI199" s="277"/>
      <c r="AJ199" s="280"/>
      <c r="AK199" s="278"/>
      <c r="AL199" s="283"/>
      <c r="AM199" s="226"/>
      <c r="AN199" s="226"/>
      <c r="AO199" s="226">
        <f t="shared" si="136"/>
        <v>0</v>
      </c>
      <c r="AQ199" s="275">
        <f t="shared" si="143"/>
        <v>45994</v>
      </c>
      <c r="AR199" s="277"/>
      <c r="AS199" s="280"/>
      <c r="AT199" s="280"/>
      <c r="AU199" s="280"/>
      <c r="AV199" s="282"/>
      <c r="AW199" s="280"/>
      <c r="AX199" s="278"/>
      <c r="AY199" s="283"/>
      <c r="AZ199" s="226"/>
      <c r="BA199" s="226"/>
      <c r="BB199" s="226">
        <f t="shared" si="137"/>
        <v>0</v>
      </c>
      <c r="BD199" s="275">
        <f t="shared" si="144"/>
        <v>45994</v>
      </c>
      <c r="BE199" s="277"/>
      <c r="BF199" s="280"/>
      <c r="BG199" s="278"/>
      <c r="BH199" s="283"/>
      <c r="BI199" s="226"/>
      <c r="BJ199" s="226"/>
      <c r="BK199" s="226">
        <f t="shared" si="138"/>
        <v>0</v>
      </c>
      <c r="BM199" s="275">
        <f t="shared" si="145"/>
        <v>45994</v>
      </c>
      <c r="BN199" s="277"/>
      <c r="BO199" s="276"/>
      <c r="BP199" s="278"/>
      <c r="BQ199" s="283"/>
      <c r="BR199" s="226"/>
      <c r="BS199" s="226"/>
      <c r="BT199" s="226">
        <f t="shared" si="139"/>
        <v>0</v>
      </c>
      <c r="BV199" s="275">
        <f t="shared" si="146"/>
        <v>45994</v>
      </c>
      <c r="BW199" s="277"/>
      <c r="BX199" s="277"/>
      <c r="BY199" s="278"/>
      <c r="BZ199" s="283"/>
      <c r="CA199" s="226"/>
      <c r="CB199" s="226"/>
      <c r="CC199" s="226">
        <f t="shared" si="140"/>
        <v>0</v>
      </c>
    </row>
    <row r="200" spans="2:81" ht="15.75" x14ac:dyDescent="0.25">
      <c r="B200" s="275">
        <v>45995</v>
      </c>
      <c r="C200" s="277"/>
      <c r="D200" s="276"/>
      <c r="E200" s="276"/>
      <c r="F200" s="276"/>
      <c r="G200" s="278"/>
      <c r="H200" s="283"/>
      <c r="I200" s="226"/>
      <c r="J200" s="226"/>
      <c r="K200" s="226">
        <f t="shared" si="132"/>
        <v>0</v>
      </c>
      <c r="M200" s="275">
        <f t="shared" si="133"/>
        <v>45995</v>
      </c>
      <c r="N200" s="280"/>
      <c r="O200" s="280"/>
      <c r="P200" s="280"/>
      <c r="Q200" s="282"/>
      <c r="R200" s="282"/>
      <c r="S200" s="278"/>
      <c r="T200" s="283"/>
      <c r="U200" s="226"/>
      <c r="V200" s="226"/>
      <c r="W200" s="226">
        <f t="shared" si="134"/>
        <v>0</v>
      </c>
      <c r="Y200" s="275">
        <f t="shared" si="141"/>
        <v>45995</v>
      </c>
      <c r="Z200" s="277"/>
      <c r="AA200" s="277"/>
      <c r="AB200" s="278"/>
      <c r="AC200" s="283"/>
      <c r="AD200" s="226"/>
      <c r="AE200" s="226"/>
      <c r="AF200" s="226">
        <f t="shared" si="135"/>
        <v>0</v>
      </c>
      <c r="AH200" s="275">
        <f t="shared" si="142"/>
        <v>45995</v>
      </c>
      <c r="AI200" s="277"/>
      <c r="AJ200" s="280"/>
      <c r="AK200" s="278"/>
      <c r="AL200" s="283"/>
      <c r="AM200" s="226"/>
      <c r="AN200" s="226"/>
      <c r="AO200" s="226">
        <f t="shared" si="136"/>
        <v>0</v>
      </c>
      <c r="AQ200" s="275">
        <f t="shared" si="143"/>
        <v>45995</v>
      </c>
      <c r="AR200" s="277"/>
      <c r="AS200" s="280"/>
      <c r="AT200" s="280"/>
      <c r="AU200" s="280"/>
      <c r="AV200" s="282"/>
      <c r="AW200" s="280"/>
      <c r="AX200" s="278"/>
      <c r="AY200" s="283"/>
      <c r="AZ200" s="226"/>
      <c r="BA200" s="226"/>
      <c r="BB200" s="226">
        <f t="shared" si="137"/>
        <v>0</v>
      </c>
      <c r="BD200" s="275">
        <f t="shared" si="144"/>
        <v>45995</v>
      </c>
      <c r="BE200" s="277"/>
      <c r="BF200" s="280"/>
      <c r="BG200" s="278"/>
      <c r="BH200" s="283"/>
      <c r="BI200" s="226"/>
      <c r="BJ200" s="226"/>
      <c r="BK200" s="226">
        <f t="shared" si="138"/>
        <v>0</v>
      </c>
      <c r="BM200" s="275">
        <f t="shared" si="145"/>
        <v>45995</v>
      </c>
      <c r="BN200" s="277"/>
      <c r="BO200" s="276"/>
      <c r="BP200" s="278"/>
      <c r="BQ200" s="283"/>
      <c r="BR200" s="226"/>
      <c r="BS200" s="226"/>
      <c r="BT200" s="226">
        <f t="shared" si="139"/>
        <v>0</v>
      </c>
      <c r="BV200" s="275">
        <f t="shared" si="146"/>
        <v>45995</v>
      </c>
      <c r="BW200" s="277"/>
      <c r="BX200" s="277"/>
      <c r="BY200" s="278"/>
      <c r="BZ200" s="283"/>
      <c r="CA200" s="226"/>
      <c r="CB200" s="226"/>
      <c r="CC200" s="226">
        <f t="shared" si="140"/>
        <v>0</v>
      </c>
    </row>
    <row r="201" spans="2:81" ht="15.75" x14ac:dyDescent="0.25">
      <c r="B201" s="275">
        <v>45996</v>
      </c>
      <c r="C201" s="277"/>
      <c r="D201" s="276"/>
      <c r="E201" s="276"/>
      <c r="F201" s="276"/>
      <c r="G201" s="278"/>
      <c r="H201" s="283"/>
      <c r="I201" s="226"/>
      <c r="J201" s="226"/>
      <c r="K201" s="226">
        <f t="shared" si="132"/>
        <v>0</v>
      </c>
      <c r="M201" s="275">
        <f t="shared" si="133"/>
        <v>45996</v>
      </c>
      <c r="N201" s="280"/>
      <c r="O201" s="280"/>
      <c r="P201" s="280"/>
      <c r="Q201" s="282"/>
      <c r="R201" s="282"/>
      <c r="S201" s="278"/>
      <c r="T201" s="283"/>
      <c r="U201" s="226"/>
      <c r="V201" s="226"/>
      <c r="W201" s="226">
        <f t="shared" si="134"/>
        <v>0</v>
      </c>
      <c r="Y201" s="275">
        <f t="shared" si="141"/>
        <v>45996</v>
      </c>
      <c r="Z201" s="277"/>
      <c r="AA201" s="277"/>
      <c r="AB201" s="278"/>
      <c r="AC201" s="283"/>
      <c r="AD201" s="226"/>
      <c r="AE201" s="226"/>
      <c r="AF201" s="226">
        <f t="shared" si="135"/>
        <v>0</v>
      </c>
      <c r="AH201" s="275">
        <f t="shared" si="142"/>
        <v>45996</v>
      </c>
      <c r="AI201" s="277"/>
      <c r="AJ201" s="280"/>
      <c r="AK201" s="278"/>
      <c r="AL201" s="283"/>
      <c r="AM201" s="226"/>
      <c r="AN201" s="226"/>
      <c r="AO201" s="226">
        <f t="shared" si="136"/>
        <v>0</v>
      </c>
      <c r="AQ201" s="275">
        <f t="shared" si="143"/>
        <v>45996</v>
      </c>
      <c r="AR201" s="277"/>
      <c r="AS201" s="280"/>
      <c r="AT201" s="280"/>
      <c r="AU201" s="280"/>
      <c r="AV201" s="282"/>
      <c r="AW201" s="280"/>
      <c r="AX201" s="278"/>
      <c r="AY201" s="283"/>
      <c r="AZ201" s="226"/>
      <c r="BA201" s="226"/>
      <c r="BB201" s="226">
        <f t="shared" si="137"/>
        <v>0</v>
      </c>
      <c r="BD201" s="275">
        <f t="shared" si="144"/>
        <v>45996</v>
      </c>
      <c r="BE201" s="277"/>
      <c r="BF201" s="280"/>
      <c r="BG201" s="278"/>
      <c r="BH201" s="283"/>
      <c r="BI201" s="226"/>
      <c r="BJ201" s="226"/>
      <c r="BK201" s="226">
        <f t="shared" si="138"/>
        <v>0</v>
      </c>
      <c r="BM201" s="275">
        <f t="shared" si="145"/>
        <v>45996</v>
      </c>
      <c r="BN201" s="277"/>
      <c r="BO201" s="276"/>
      <c r="BP201" s="278"/>
      <c r="BQ201" s="283"/>
      <c r="BR201" s="226"/>
      <c r="BS201" s="226"/>
      <c r="BT201" s="226">
        <f t="shared" si="139"/>
        <v>0</v>
      </c>
      <c r="BV201" s="275">
        <f t="shared" si="146"/>
        <v>45996</v>
      </c>
      <c r="BW201" s="277"/>
      <c r="BX201" s="277"/>
      <c r="BY201" s="278"/>
      <c r="BZ201" s="283"/>
      <c r="CA201" s="226"/>
      <c r="CB201" s="226"/>
      <c r="CC201" s="226">
        <f t="shared" si="140"/>
        <v>0</v>
      </c>
    </row>
    <row r="202" spans="2:81" ht="15.75" x14ac:dyDescent="0.25">
      <c r="B202" s="275">
        <v>45997</v>
      </c>
      <c r="C202" s="277"/>
      <c r="D202" s="276"/>
      <c r="E202" s="276"/>
      <c r="F202" s="276"/>
      <c r="G202" s="278"/>
      <c r="H202" s="283"/>
      <c r="I202" s="226"/>
      <c r="J202" s="226"/>
      <c r="K202" s="226">
        <f t="shared" si="132"/>
        <v>0</v>
      </c>
      <c r="M202" s="275">
        <f t="shared" si="133"/>
        <v>45997</v>
      </c>
      <c r="N202" s="280"/>
      <c r="O202" s="280"/>
      <c r="P202" s="280"/>
      <c r="Q202" s="282"/>
      <c r="R202" s="282"/>
      <c r="S202" s="278"/>
      <c r="T202" s="283"/>
      <c r="U202" s="226"/>
      <c r="V202" s="226"/>
      <c r="W202" s="226">
        <f t="shared" si="134"/>
        <v>0</v>
      </c>
      <c r="Y202" s="275">
        <f t="shared" si="141"/>
        <v>45997</v>
      </c>
      <c r="Z202" s="277"/>
      <c r="AA202" s="277"/>
      <c r="AB202" s="278"/>
      <c r="AC202" s="283"/>
      <c r="AD202" s="226"/>
      <c r="AE202" s="226"/>
      <c r="AF202" s="226">
        <f t="shared" si="135"/>
        <v>0</v>
      </c>
      <c r="AH202" s="275">
        <f t="shared" si="142"/>
        <v>45997</v>
      </c>
      <c r="AI202" s="277"/>
      <c r="AJ202" s="280"/>
      <c r="AK202" s="278"/>
      <c r="AL202" s="283"/>
      <c r="AM202" s="226"/>
      <c r="AN202" s="226"/>
      <c r="AO202" s="226">
        <f t="shared" si="136"/>
        <v>0</v>
      </c>
      <c r="AQ202" s="275">
        <f t="shared" si="143"/>
        <v>45997</v>
      </c>
      <c r="AR202" s="277"/>
      <c r="AS202" s="280"/>
      <c r="AT202" s="280"/>
      <c r="AU202" s="280"/>
      <c r="AV202" s="282"/>
      <c r="AW202" s="280"/>
      <c r="AX202" s="278"/>
      <c r="AY202" s="283"/>
      <c r="AZ202" s="226"/>
      <c r="BA202" s="226"/>
      <c r="BB202" s="226">
        <f t="shared" si="137"/>
        <v>0</v>
      </c>
      <c r="BD202" s="275">
        <f t="shared" si="144"/>
        <v>45997</v>
      </c>
      <c r="BE202" s="277"/>
      <c r="BF202" s="280"/>
      <c r="BG202" s="278"/>
      <c r="BH202" s="283"/>
      <c r="BI202" s="226"/>
      <c r="BJ202" s="226"/>
      <c r="BK202" s="226">
        <f t="shared" si="138"/>
        <v>0</v>
      </c>
      <c r="BM202" s="275">
        <f t="shared" si="145"/>
        <v>45997</v>
      </c>
      <c r="BN202" s="277"/>
      <c r="BO202" s="276"/>
      <c r="BP202" s="278"/>
      <c r="BQ202" s="283"/>
      <c r="BR202" s="226"/>
      <c r="BS202" s="226"/>
      <c r="BT202" s="226">
        <f t="shared" si="139"/>
        <v>0</v>
      </c>
      <c r="BV202" s="275">
        <f t="shared" si="146"/>
        <v>45997</v>
      </c>
      <c r="BW202" s="277"/>
      <c r="BX202" s="277"/>
      <c r="BY202" s="278"/>
      <c r="BZ202" s="283"/>
      <c r="CA202" s="226"/>
      <c r="CB202" s="226"/>
      <c r="CC202" s="226">
        <f t="shared" si="140"/>
        <v>0</v>
      </c>
    </row>
    <row r="203" spans="2:81" ht="15.75" x14ac:dyDescent="0.25">
      <c r="B203" s="275">
        <v>45998</v>
      </c>
      <c r="C203" s="277"/>
      <c r="D203" s="276"/>
      <c r="E203" s="276"/>
      <c r="F203" s="276"/>
      <c r="G203" s="278"/>
      <c r="H203" s="283"/>
      <c r="I203" s="226"/>
      <c r="J203" s="226"/>
      <c r="K203" s="226">
        <f t="shared" si="132"/>
        <v>0</v>
      </c>
      <c r="M203" s="275">
        <f t="shared" si="133"/>
        <v>45998</v>
      </c>
      <c r="N203" s="280"/>
      <c r="O203" s="280"/>
      <c r="P203" s="280"/>
      <c r="Q203" s="282"/>
      <c r="R203" s="282"/>
      <c r="S203" s="278"/>
      <c r="T203" s="283"/>
      <c r="U203" s="226"/>
      <c r="V203" s="226"/>
      <c r="W203" s="226">
        <f t="shared" si="134"/>
        <v>0</v>
      </c>
      <c r="Y203" s="275">
        <f t="shared" si="141"/>
        <v>45998</v>
      </c>
      <c r="Z203" s="277"/>
      <c r="AA203" s="277"/>
      <c r="AB203" s="278"/>
      <c r="AC203" s="283"/>
      <c r="AD203" s="226"/>
      <c r="AE203" s="226"/>
      <c r="AF203" s="226">
        <f t="shared" si="135"/>
        <v>0</v>
      </c>
      <c r="AH203" s="275">
        <f t="shared" si="142"/>
        <v>45998</v>
      </c>
      <c r="AI203" s="277"/>
      <c r="AJ203" s="280"/>
      <c r="AK203" s="278"/>
      <c r="AL203" s="283"/>
      <c r="AM203" s="226"/>
      <c r="AN203" s="226"/>
      <c r="AO203" s="226">
        <f t="shared" si="136"/>
        <v>0</v>
      </c>
      <c r="AQ203" s="275">
        <f t="shared" si="143"/>
        <v>45998</v>
      </c>
      <c r="AR203" s="277"/>
      <c r="AS203" s="280"/>
      <c r="AT203" s="280"/>
      <c r="AU203" s="280"/>
      <c r="AV203" s="282"/>
      <c r="AW203" s="280"/>
      <c r="AX203" s="278"/>
      <c r="AY203" s="283"/>
      <c r="AZ203" s="226"/>
      <c r="BA203" s="226"/>
      <c r="BB203" s="226">
        <f t="shared" si="137"/>
        <v>0</v>
      </c>
      <c r="BD203" s="275">
        <f t="shared" si="144"/>
        <v>45998</v>
      </c>
      <c r="BE203" s="277"/>
      <c r="BF203" s="280"/>
      <c r="BG203" s="278"/>
      <c r="BH203" s="283"/>
      <c r="BI203" s="226"/>
      <c r="BJ203" s="226"/>
      <c r="BK203" s="226">
        <f t="shared" si="138"/>
        <v>0</v>
      </c>
      <c r="BM203" s="275">
        <f t="shared" si="145"/>
        <v>45998</v>
      </c>
      <c r="BN203" s="277"/>
      <c r="BO203" s="276"/>
      <c r="BP203" s="278"/>
      <c r="BQ203" s="283"/>
      <c r="BR203" s="226"/>
      <c r="BS203" s="226"/>
      <c r="BT203" s="226">
        <f t="shared" si="139"/>
        <v>0</v>
      </c>
      <c r="BV203" s="275">
        <f t="shared" si="146"/>
        <v>45998</v>
      </c>
      <c r="BW203" s="277"/>
      <c r="BX203" s="277"/>
      <c r="BY203" s="278"/>
      <c r="BZ203" s="283"/>
      <c r="CA203" s="226"/>
      <c r="CB203" s="226"/>
      <c r="CC203" s="226">
        <f t="shared" si="140"/>
        <v>0</v>
      </c>
    </row>
    <row r="204" spans="2:81" ht="15.75" x14ac:dyDescent="0.25">
      <c r="B204" s="275">
        <v>45999</v>
      </c>
      <c r="C204" s="277"/>
      <c r="D204" s="276"/>
      <c r="E204" s="276"/>
      <c r="F204" s="276"/>
      <c r="G204" s="278"/>
      <c r="H204" s="283"/>
      <c r="I204" s="226"/>
      <c r="J204" s="226"/>
      <c r="K204" s="226">
        <f t="shared" si="132"/>
        <v>0</v>
      </c>
      <c r="M204" s="275">
        <f t="shared" si="133"/>
        <v>45999</v>
      </c>
      <c r="N204" s="280"/>
      <c r="O204" s="280"/>
      <c r="P204" s="280"/>
      <c r="Q204" s="282"/>
      <c r="R204" s="282"/>
      <c r="S204" s="278"/>
      <c r="T204" s="283"/>
      <c r="U204" s="226"/>
      <c r="V204" s="226"/>
      <c r="W204" s="226">
        <f t="shared" si="134"/>
        <v>0</v>
      </c>
      <c r="Y204" s="275">
        <f t="shared" si="141"/>
        <v>45999</v>
      </c>
      <c r="Z204" s="277"/>
      <c r="AA204" s="277"/>
      <c r="AB204" s="278"/>
      <c r="AC204" s="283"/>
      <c r="AD204" s="226"/>
      <c r="AE204" s="226"/>
      <c r="AF204" s="226">
        <f t="shared" si="135"/>
        <v>0</v>
      </c>
      <c r="AH204" s="275">
        <f t="shared" si="142"/>
        <v>45999</v>
      </c>
      <c r="AI204" s="277"/>
      <c r="AJ204" s="280"/>
      <c r="AK204" s="278"/>
      <c r="AL204" s="283"/>
      <c r="AM204" s="226"/>
      <c r="AN204" s="226"/>
      <c r="AO204" s="226">
        <f t="shared" si="136"/>
        <v>0</v>
      </c>
      <c r="AQ204" s="275">
        <f t="shared" si="143"/>
        <v>45999</v>
      </c>
      <c r="AR204" s="277"/>
      <c r="AS204" s="280"/>
      <c r="AT204" s="280"/>
      <c r="AU204" s="280"/>
      <c r="AV204" s="282"/>
      <c r="AW204" s="280"/>
      <c r="AX204" s="278"/>
      <c r="AY204" s="283"/>
      <c r="AZ204" s="226"/>
      <c r="BA204" s="226"/>
      <c r="BB204" s="226">
        <f t="shared" si="137"/>
        <v>0</v>
      </c>
      <c r="BD204" s="275">
        <f t="shared" si="144"/>
        <v>45999</v>
      </c>
      <c r="BE204" s="277"/>
      <c r="BF204" s="280"/>
      <c r="BG204" s="278"/>
      <c r="BH204" s="283"/>
      <c r="BI204" s="226"/>
      <c r="BJ204" s="226"/>
      <c r="BK204" s="226">
        <f t="shared" si="138"/>
        <v>0</v>
      </c>
      <c r="BM204" s="275">
        <f t="shared" si="145"/>
        <v>45999</v>
      </c>
      <c r="BN204" s="277"/>
      <c r="BO204" s="276"/>
      <c r="BP204" s="278"/>
      <c r="BQ204" s="283"/>
      <c r="BR204" s="226"/>
      <c r="BS204" s="226"/>
      <c r="BT204" s="226">
        <f t="shared" si="139"/>
        <v>0</v>
      </c>
      <c r="BV204" s="275">
        <f t="shared" si="146"/>
        <v>45999</v>
      </c>
      <c r="BW204" s="277"/>
      <c r="BX204" s="277"/>
      <c r="BY204" s="278"/>
      <c r="BZ204" s="283"/>
      <c r="CA204" s="226"/>
      <c r="CB204" s="226"/>
      <c r="CC204" s="226">
        <f t="shared" si="140"/>
        <v>0</v>
      </c>
    </row>
    <row r="205" spans="2:81" ht="15.75" x14ac:dyDescent="0.25">
      <c r="B205" s="275">
        <v>46000</v>
      </c>
      <c r="C205" s="277"/>
      <c r="D205" s="276"/>
      <c r="E205" s="276"/>
      <c r="F205" s="276"/>
      <c r="G205" s="278"/>
      <c r="H205" s="283"/>
      <c r="I205" s="226"/>
      <c r="J205" s="226"/>
      <c r="K205" s="226">
        <f t="shared" si="132"/>
        <v>0</v>
      </c>
      <c r="M205" s="275">
        <f t="shared" si="133"/>
        <v>46000</v>
      </c>
      <c r="N205" s="280"/>
      <c r="O205" s="280"/>
      <c r="P205" s="280"/>
      <c r="Q205" s="282"/>
      <c r="R205" s="282"/>
      <c r="S205" s="278"/>
      <c r="T205" s="283"/>
      <c r="U205" s="226"/>
      <c r="V205" s="226"/>
      <c r="W205" s="226">
        <f t="shared" si="134"/>
        <v>0</v>
      </c>
      <c r="Y205" s="275">
        <f t="shared" si="141"/>
        <v>46000</v>
      </c>
      <c r="Z205" s="277"/>
      <c r="AA205" s="277"/>
      <c r="AB205" s="278"/>
      <c r="AC205" s="283"/>
      <c r="AD205" s="226"/>
      <c r="AE205" s="226"/>
      <c r="AF205" s="226">
        <f t="shared" si="135"/>
        <v>0</v>
      </c>
      <c r="AH205" s="275">
        <f t="shared" si="142"/>
        <v>46000</v>
      </c>
      <c r="AI205" s="277"/>
      <c r="AJ205" s="280"/>
      <c r="AK205" s="278"/>
      <c r="AL205" s="283"/>
      <c r="AM205" s="226"/>
      <c r="AN205" s="226"/>
      <c r="AO205" s="226">
        <f t="shared" si="136"/>
        <v>0</v>
      </c>
      <c r="AQ205" s="275">
        <f t="shared" si="143"/>
        <v>46000</v>
      </c>
      <c r="AR205" s="277"/>
      <c r="AS205" s="280"/>
      <c r="AT205" s="280"/>
      <c r="AU205" s="280"/>
      <c r="AV205" s="282"/>
      <c r="AW205" s="280"/>
      <c r="AX205" s="278"/>
      <c r="AY205" s="283"/>
      <c r="AZ205" s="226"/>
      <c r="BA205" s="226"/>
      <c r="BB205" s="226">
        <f t="shared" si="137"/>
        <v>0</v>
      </c>
      <c r="BD205" s="275">
        <f t="shared" si="144"/>
        <v>46000</v>
      </c>
      <c r="BE205" s="277"/>
      <c r="BF205" s="280"/>
      <c r="BG205" s="278"/>
      <c r="BH205" s="283"/>
      <c r="BI205" s="226"/>
      <c r="BJ205" s="226"/>
      <c r="BK205" s="226">
        <f t="shared" si="138"/>
        <v>0</v>
      </c>
      <c r="BM205" s="275">
        <f t="shared" si="145"/>
        <v>46000</v>
      </c>
      <c r="BN205" s="277"/>
      <c r="BO205" s="276"/>
      <c r="BP205" s="278"/>
      <c r="BQ205" s="283"/>
      <c r="BR205" s="226"/>
      <c r="BS205" s="226"/>
      <c r="BT205" s="226">
        <f t="shared" si="139"/>
        <v>0</v>
      </c>
      <c r="BV205" s="275">
        <f t="shared" si="146"/>
        <v>46000</v>
      </c>
      <c r="BW205" s="277"/>
      <c r="BX205" s="277"/>
      <c r="BY205" s="278"/>
      <c r="BZ205" s="283"/>
      <c r="CA205" s="226"/>
      <c r="CB205" s="226"/>
      <c r="CC205" s="226">
        <f t="shared" si="140"/>
        <v>0</v>
      </c>
    </row>
    <row r="206" spans="2:81" ht="15.75" x14ac:dyDescent="0.25">
      <c r="B206" s="275">
        <v>46001</v>
      </c>
      <c r="C206" s="277"/>
      <c r="D206" s="276"/>
      <c r="E206" s="276"/>
      <c r="F206" s="276"/>
      <c r="G206" s="278"/>
      <c r="H206" s="283"/>
      <c r="I206" s="226"/>
      <c r="J206" s="226"/>
      <c r="K206" s="226">
        <f t="shared" si="132"/>
        <v>0</v>
      </c>
      <c r="M206" s="275">
        <f t="shared" si="133"/>
        <v>46001</v>
      </c>
      <c r="N206" s="280"/>
      <c r="O206" s="280"/>
      <c r="P206" s="280"/>
      <c r="Q206" s="282"/>
      <c r="R206" s="282"/>
      <c r="S206" s="278"/>
      <c r="T206" s="283"/>
      <c r="U206" s="226"/>
      <c r="V206" s="226"/>
      <c r="W206" s="226">
        <f t="shared" si="134"/>
        <v>0</v>
      </c>
      <c r="Y206" s="275">
        <f t="shared" si="141"/>
        <v>46001</v>
      </c>
      <c r="Z206" s="277"/>
      <c r="AA206" s="277"/>
      <c r="AB206" s="278"/>
      <c r="AC206" s="283"/>
      <c r="AD206" s="226"/>
      <c r="AE206" s="226"/>
      <c r="AF206" s="226">
        <f t="shared" si="135"/>
        <v>0</v>
      </c>
      <c r="AH206" s="275">
        <f t="shared" si="142"/>
        <v>46001</v>
      </c>
      <c r="AI206" s="277"/>
      <c r="AJ206" s="280"/>
      <c r="AK206" s="278"/>
      <c r="AL206" s="283"/>
      <c r="AM206" s="226"/>
      <c r="AN206" s="226"/>
      <c r="AO206" s="226">
        <f t="shared" si="136"/>
        <v>0</v>
      </c>
      <c r="AQ206" s="275">
        <f t="shared" si="143"/>
        <v>46001</v>
      </c>
      <c r="AR206" s="277"/>
      <c r="AS206" s="280"/>
      <c r="AT206" s="280"/>
      <c r="AU206" s="280"/>
      <c r="AV206" s="282"/>
      <c r="AW206" s="280"/>
      <c r="AX206" s="278"/>
      <c r="AY206" s="283"/>
      <c r="AZ206" s="226"/>
      <c r="BA206" s="226"/>
      <c r="BB206" s="226">
        <f t="shared" si="137"/>
        <v>0</v>
      </c>
      <c r="BD206" s="275">
        <f t="shared" si="144"/>
        <v>46001</v>
      </c>
      <c r="BE206" s="277"/>
      <c r="BF206" s="280"/>
      <c r="BG206" s="278"/>
      <c r="BH206" s="283"/>
      <c r="BI206" s="226"/>
      <c r="BJ206" s="226"/>
      <c r="BK206" s="226">
        <f t="shared" si="138"/>
        <v>0</v>
      </c>
      <c r="BM206" s="275">
        <f t="shared" si="145"/>
        <v>46001</v>
      </c>
      <c r="BN206" s="277"/>
      <c r="BO206" s="276"/>
      <c r="BP206" s="278"/>
      <c r="BQ206" s="283"/>
      <c r="BR206" s="226"/>
      <c r="BS206" s="226"/>
      <c r="BT206" s="226">
        <f t="shared" si="139"/>
        <v>0</v>
      </c>
      <c r="BV206" s="275">
        <f t="shared" si="146"/>
        <v>46001</v>
      </c>
      <c r="BW206" s="277"/>
      <c r="BX206" s="277"/>
      <c r="BY206" s="278"/>
      <c r="BZ206" s="283"/>
      <c r="CA206" s="226"/>
      <c r="CB206" s="226"/>
      <c r="CC206" s="226">
        <f t="shared" si="140"/>
        <v>0</v>
      </c>
    </row>
    <row r="207" spans="2:81" ht="15.75" x14ac:dyDescent="0.25">
      <c r="B207" s="275">
        <v>46002</v>
      </c>
      <c r="C207" s="277"/>
      <c r="D207" s="276"/>
      <c r="E207" s="276"/>
      <c r="F207" s="276"/>
      <c r="G207" s="278"/>
      <c r="H207" s="283"/>
      <c r="I207" s="226"/>
      <c r="J207" s="226"/>
      <c r="K207" s="226">
        <f t="shared" si="132"/>
        <v>0</v>
      </c>
      <c r="M207" s="275">
        <f t="shared" si="133"/>
        <v>46002</v>
      </c>
      <c r="N207" s="280"/>
      <c r="O207" s="280"/>
      <c r="P207" s="280"/>
      <c r="Q207" s="282"/>
      <c r="R207" s="282"/>
      <c r="S207" s="278"/>
      <c r="T207" s="283"/>
      <c r="U207" s="226"/>
      <c r="V207" s="226"/>
      <c r="W207" s="226">
        <f t="shared" si="134"/>
        <v>0</v>
      </c>
      <c r="Y207" s="275">
        <f t="shared" si="141"/>
        <v>46002</v>
      </c>
      <c r="Z207" s="277"/>
      <c r="AA207" s="277"/>
      <c r="AB207" s="278"/>
      <c r="AC207" s="283"/>
      <c r="AD207" s="226"/>
      <c r="AE207" s="226"/>
      <c r="AF207" s="226">
        <f t="shared" si="135"/>
        <v>0</v>
      </c>
      <c r="AH207" s="275">
        <f t="shared" si="142"/>
        <v>46002</v>
      </c>
      <c r="AI207" s="277"/>
      <c r="AJ207" s="280"/>
      <c r="AK207" s="278"/>
      <c r="AL207" s="283"/>
      <c r="AM207" s="226"/>
      <c r="AN207" s="226"/>
      <c r="AO207" s="226">
        <f t="shared" si="136"/>
        <v>0</v>
      </c>
      <c r="AQ207" s="275">
        <f t="shared" si="143"/>
        <v>46002</v>
      </c>
      <c r="AR207" s="277"/>
      <c r="AS207" s="280"/>
      <c r="AT207" s="280"/>
      <c r="AU207" s="280"/>
      <c r="AV207" s="282"/>
      <c r="AW207" s="280"/>
      <c r="AX207" s="278"/>
      <c r="AY207" s="283"/>
      <c r="AZ207" s="226"/>
      <c r="BA207" s="226"/>
      <c r="BB207" s="226">
        <f t="shared" si="137"/>
        <v>0</v>
      </c>
      <c r="BD207" s="275">
        <f t="shared" si="144"/>
        <v>46002</v>
      </c>
      <c r="BE207" s="277"/>
      <c r="BF207" s="280"/>
      <c r="BG207" s="278"/>
      <c r="BH207" s="283"/>
      <c r="BI207" s="226"/>
      <c r="BJ207" s="226"/>
      <c r="BK207" s="226">
        <f t="shared" si="138"/>
        <v>0</v>
      </c>
      <c r="BM207" s="275">
        <f t="shared" si="145"/>
        <v>46002</v>
      </c>
      <c r="BN207" s="277"/>
      <c r="BO207" s="276"/>
      <c r="BP207" s="278"/>
      <c r="BQ207" s="283"/>
      <c r="BR207" s="226"/>
      <c r="BS207" s="226"/>
      <c r="BT207" s="226">
        <f t="shared" si="139"/>
        <v>0</v>
      </c>
      <c r="BV207" s="275">
        <f t="shared" si="146"/>
        <v>46002</v>
      </c>
      <c r="BW207" s="277"/>
      <c r="BX207" s="277"/>
      <c r="BY207" s="278"/>
      <c r="BZ207" s="283"/>
      <c r="CA207" s="226"/>
      <c r="CB207" s="226"/>
      <c r="CC207" s="226">
        <f t="shared" si="140"/>
        <v>0</v>
      </c>
    </row>
    <row r="208" spans="2:81" ht="15.75" x14ac:dyDescent="0.25">
      <c r="B208" s="275">
        <v>46003</v>
      </c>
      <c r="C208" s="277"/>
      <c r="D208" s="276"/>
      <c r="E208" s="276"/>
      <c r="F208" s="276"/>
      <c r="G208" s="278"/>
      <c r="H208" s="283"/>
      <c r="I208" s="226"/>
      <c r="J208" s="226"/>
      <c r="K208" s="226">
        <f t="shared" si="132"/>
        <v>0</v>
      </c>
      <c r="M208" s="275">
        <f t="shared" si="133"/>
        <v>46003</v>
      </c>
      <c r="N208" s="280"/>
      <c r="O208" s="280"/>
      <c r="P208" s="280"/>
      <c r="Q208" s="282"/>
      <c r="R208" s="282"/>
      <c r="S208" s="278"/>
      <c r="T208" s="283"/>
      <c r="U208" s="226"/>
      <c r="V208" s="226"/>
      <c r="W208" s="226">
        <f t="shared" si="134"/>
        <v>0</v>
      </c>
      <c r="Y208" s="275">
        <f t="shared" si="141"/>
        <v>46003</v>
      </c>
      <c r="Z208" s="277"/>
      <c r="AA208" s="277"/>
      <c r="AB208" s="278"/>
      <c r="AC208" s="283"/>
      <c r="AD208" s="226"/>
      <c r="AE208" s="226"/>
      <c r="AF208" s="226">
        <f t="shared" si="135"/>
        <v>0</v>
      </c>
      <c r="AH208" s="275">
        <f t="shared" si="142"/>
        <v>46003</v>
      </c>
      <c r="AI208" s="277"/>
      <c r="AJ208" s="280"/>
      <c r="AK208" s="278"/>
      <c r="AL208" s="283"/>
      <c r="AM208" s="226"/>
      <c r="AN208" s="226"/>
      <c r="AO208" s="226">
        <f t="shared" si="136"/>
        <v>0</v>
      </c>
      <c r="AQ208" s="275">
        <f t="shared" si="143"/>
        <v>46003</v>
      </c>
      <c r="AR208" s="277"/>
      <c r="AS208" s="280"/>
      <c r="AT208" s="280"/>
      <c r="AU208" s="280"/>
      <c r="AV208" s="282"/>
      <c r="AW208" s="280"/>
      <c r="AX208" s="278"/>
      <c r="AY208" s="283"/>
      <c r="AZ208" s="226"/>
      <c r="BA208" s="226"/>
      <c r="BB208" s="226">
        <f t="shared" si="137"/>
        <v>0</v>
      </c>
      <c r="BD208" s="275">
        <f t="shared" si="144"/>
        <v>46003</v>
      </c>
      <c r="BE208" s="277"/>
      <c r="BF208" s="280"/>
      <c r="BG208" s="278"/>
      <c r="BH208" s="283"/>
      <c r="BI208" s="226"/>
      <c r="BJ208" s="226"/>
      <c r="BK208" s="226">
        <f t="shared" si="138"/>
        <v>0</v>
      </c>
      <c r="BM208" s="275">
        <f t="shared" si="145"/>
        <v>46003</v>
      </c>
      <c r="BN208" s="277"/>
      <c r="BO208" s="276"/>
      <c r="BP208" s="278"/>
      <c r="BQ208" s="283"/>
      <c r="BR208" s="226"/>
      <c r="BS208" s="226"/>
      <c r="BT208" s="226">
        <f t="shared" si="139"/>
        <v>0</v>
      </c>
      <c r="BV208" s="275">
        <f t="shared" si="146"/>
        <v>46003</v>
      </c>
      <c r="BW208" s="277"/>
      <c r="BX208" s="277"/>
      <c r="BY208" s="278"/>
      <c r="BZ208" s="283"/>
      <c r="CA208" s="226"/>
      <c r="CB208" s="226"/>
      <c r="CC208" s="226">
        <f t="shared" si="140"/>
        <v>0</v>
      </c>
    </row>
    <row r="209" spans="2:81" ht="15.75" x14ac:dyDescent="0.25">
      <c r="B209" s="275">
        <v>46004</v>
      </c>
      <c r="C209" s="277"/>
      <c r="D209" s="276"/>
      <c r="E209" s="276"/>
      <c r="F209" s="276"/>
      <c r="G209" s="278"/>
      <c r="H209" s="283"/>
      <c r="I209" s="226"/>
      <c r="J209" s="226"/>
      <c r="K209" s="226">
        <f t="shared" si="132"/>
        <v>0</v>
      </c>
      <c r="M209" s="275">
        <f t="shared" si="133"/>
        <v>46004</v>
      </c>
      <c r="N209" s="280"/>
      <c r="O209" s="280"/>
      <c r="P209" s="280"/>
      <c r="Q209" s="282"/>
      <c r="R209" s="282"/>
      <c r="S209" s="278"/>
      <c r="T209" s="283"/>
      <c r="U209" s="226"/>
      <c r="V209" s="226"/>
      <c r="W209" s="226">
        <f t="shared" si="134"/>
        <v>0</v>
      </c>
      <c r="Y209" s="275">
        <f t="shared" si="141"/>
        <v>46004</v>
      </c>
      <c r="Z209" s="277"/>
      <c r="AA209" s="277"/>
      <c r="AB209" s="278"/>
      <c r="AC209" s="283"/>
      <c r="AD209" s="226"/>
      <c r="AE209" s="226"/>
      <c r="AF209" s="226">
        <f t="shared" si="135"/>
        <v>0</v>
      </c>
      <c r="AH209" s="275">
        <f t="shared" si="142"/>
        <v>46004</v>
      </c>
      <c r="AI209" s="277"/>
      <c r="AJ209" s="280"/>
      <c r="AK209" s="278"/>
      <c r="AL209" s="283"/>
      <c r="AM209" s="226"/>
      <c r="AN209" s="226"/>
      <c r="AO209" s="226">
        <f t="shared" si="136"/>
        <v>0</v>
      </c>
      <c r="AQ209" s="275">
        <f t="shared" si="143"/>
        <v>46004</v>
      </c>
      <c r="AR209" s="277"/>
      <c r="AS209" s="280"/>
      <c r="AT209" s="280"/>
      <c r="AU209" s="280"/>
      <c r="AV209" s="282"/>
      <c r="AW209" s="280"/>
      <c r="AX209" s="278"/>
      <c r="AY209" s="283"/>
      <c r="AZ209" s="226"/>
      <c r="BA209" s="226"/>
      <c r="BB209" s="226">
        <f t="shared" si="137"/>
        <v>0</v>
      </c>
      <c r="BD209" s="275">
        <f t="shared" si="144"/>
        <v>46004</v>
      </c>
      <c r="BE209" s="277"/>
      <c r="BF209" s="280"/>
      <c r="BG209" s="278"/>
      <c r="BH209" s="283"/>
      <c r="BI209" s="226"/>
      <c r="BJ209" s="226"/>
      <c r="BK209" s="226">
        <f t="shared" si="138"/>
        <v>0</v>
      </c>
      <c r="BM209" s="275">
        <f t="shared" si="145"/>
        <v>46004</v>
      </c>
      <c r="BN209" s="277"/>
      <c r="BO209" s="276"/>
      <c r="BP209" s="278"/>
      <c r="BQ209" s="283"/>
      <c r="BR209" s="226"/>
      <c r="BS209" s="226"/>
      <c r="BT209" s="226">
        <f t="shared" si="139"/>
        <v>0</v>
      </c>
      <c r="BV209" s="275">
        <f t="shared" si="146"/>
        <v>46004</v>
      </c>
      <c r="BW209" s="277"/>
      <c r="BX209" s="277"/>
      <c r="BY209" s="278"/>
      <c r="BZ209" s="283"/>
      <c r="CA209" s="226"/>
      <c r="CB209" s="226"/>
      <c r="CC209" s="226">
        <f t="shared" si="140"/>
        <v>0</v>
      </c>
    </row>
    <row r="210" spans="2:81" ht="15.75" x14ac:dyDescent="0.25">
      <c r="B210" s="275">
        <v>46005</v>
      </c>
      <c r="C210" s="277"/>
      <c r="D210" s="276"/>
      <c r="E210" s="276"/>
      <c r="F210" s="276"/>
      <c r="G210" s="278"/>
      <c r="H210" s="283"/>
      <c r="I210" s="226"/>
      <c r="J210" s="226"/>
      <c r="K210" s="226">
        <f t="shared" si="132"/>
        <v>0</v>
      </c>
      <c r="M210" s="275">
        <f t="shared" si="133"/>
        <v>46005</v>
      </c>
      <c r="N210" s="280"/>
      <c r="O210" s="280"/>
      <c r="P210" s="280"/>
      <c r="Q210" s="282"/>
      <c r="R210" s="282"/>
      <c r="S210" s="278"/>
      <c r="T210" s="283"/>
      <c r="U210" s="226"/>
      <c r="V210" s="226"/>
      <c r="W210" s="226">
        <f t="shared" si="134"/>
        <v>0</v>
      </c>
      <c r="Y210" s="275">
        <f t="shared" si="141"/>
        <v>46005</v>
      </c>
      <c r="Z210" s="277"/>
      <c r="AA210" s="277"/>
      <c r="AB210" s="278"/>
      <c r="AC210" s="283"/>
      <c r="AD210" s="226"/>
      <c r="AE210" s="226"/>
      <c r="AF210" s="226">
        <f t="shared" si="135"/>
        <v>0</v>
      </c>
      <c r="AH210" s="275">
        <f t="shared" si="142"/>
        <v>46005</v>
      </c>
      <c r="AI210" s="277"/>
      <c r="AJ210" s="280"/>
      <c r="AK210" s="278"/>
      <c r="AL210" s="283"/>
      <c r="AM210" s="226"/>
      <c r="AN210" s="226"/>
      <c r="AO210" s="226">
        <f t="shared" si="136"/>
        <v>0</v>
      </c>
      <c r="AQ210" s="275">
        <f t="shared" si="143"/>
        <v>46005</v>
      </c>
      <c r="AR210" s="277"/>
      <c r="AS210" s="280"/>
      <c r="AT210" s="280"/>
      <c r="AU210" s="280"/>
      <c r="AV210" s="282"/>
      <c r="AW210" s="280"/>
      <c r="AX210" s="278"/>
      <c r="AY210" s="283"/>
      <c r="AZ210" s="226"/>
      <c r="BA210" s="226"/>
      <c r="BB210" s="226">
        <f t="shared" si="137"/>
        <v>0</v>
      </c>
      <c r="BD210" s="275">
        <f t="shared" si="144"/>
        <v>46005</v>
      </c>
      <c r="BE210" s="277"/>
      <c r="BF210" s="280"/>
      <c r="BG210" s="278"/>
      <c r="BH210" s="283"/>
      <c r="BI210" s="226"/>
      <c r="BJ210" s="226"/>
      <c r="BK210" s="226">
        <f t="shared" si="138"/>
        <v>0</v>
      </c>
      <c r="BM210" s="275">
        <f t="shared" si="145"/>
        <v>46005</v>
      </c>
      <c r="BN210" s="277"/>
      <c r="BO210" s="276"/>
      <c r="BP210" s="278"/>
      <c r="BQ210" s="283"/>
      <c r="BR210" s="226"/>
      <c r="BS210" s="226"/>
      <c r="BT210" s="226">
        <f t="shared" si="139"/>
        <v>0</v>
      </c>
      <c r="BV210" s="275">
        <f t="shared" si="146"/>
        <v>46005</v>
      </c>
      <c r="BW210" s="277"/>
      <c r="BX210" s="277"/>
      <c r="BY210" s="278"/>
      <c r="BZ210" s="283"/>
      <c r="CA210" s="226"/>
      <c r="CB210" s="226"/>
      <c r="CC210" s="226">
        <f t="shared" si="140"/>
        <v>0</v>
      </c>
    </row>
    <row r="211" spans="2:81" ht="15.75" x14ac:dyDescent="0.25">
      <c r="B211" s="275">
        <v>46006</v>
      </c>
      <c r="C211" s="277"/>
      <c r="D211" s="276"/>
      <c r="E211" s="276"/>
      <c r="F211" s="276"/>
      <c r="G211" s="278"/>
      <c r="H211" s="283"/>
      <c r="I211" s="226"/>
      <c r="J211" s="226"/>
      <c r="K211" s="226">
        <f t="shared" si="132"/>
        <v>0</v>
      </c>
      <c r="M211" s="275">
        <f t="shared" si="133"/>
        <v>46006</v>
      </c>
      <c r="N211" s="280"/>
      <c r="O211" s="280"/>
      <c r="P211" s="280"/>
      <c r="Q211" s="282"/>
      <c r="R211" s="282"/>
      <c r="S211" s="278"/>
      <c r="T211" s="283"/>
      <c r="U211" s="226"/>
      <c r="V211" s="226"/>
      <c r="W211" s="226">
        <f t="shared" si="134"/>
        <v>0</v>
      </c>
      <c r="Y211" s="275">
        <f t="shared" si="141"/>
        <v>46006</v>
      </c>
      <c r="Z211" s="277"/>
      <c r="AA211" s="277"/>
      <c r="AB211" s="278"/>
      <c r="AC211" s="283"/>
      <c r="AD211" s="226"/>
      <c r="AE211" s="226"/>
      <c r="AF211" s="226">
        <f t="shared" si="135"/>
        <v>0</v>
      </c>
      <c r="AH211" s="275">
        <f t="shared" si="142"/>
        <v>46006</v>
      </c>
      <c r="AI211" s="277"/>
      <c r="AJ211" s="280"/>
      <c r="AK211" s="278"/>
      <c r="AL211" s="283"/>
      <c r="AM211" s="226"/>
      <c r="AN211" s="226"/>
      <c r="AO211" s="226">
        <f t="shared" si="136"/>
        <v>0</v>
      </c>
      <c r="AQ211" s="275">
        <f t="shared" si="143"/>
        <v>46006</v>
      </c>
      <c r="AR211" s="277"/>
      <c r="AS211" s="280"/>
      <c r="AT211" s="280"/>
      <c r="AU211" s="280"/>
      <c r="AV211" s="282"/>
      <c r="AW211" s="280"/>
      <c r="AX211" s="278"/>
      <c r="AY211" s="283"/>
      <c r="AZ211" s="226"/>
      <c r="BA211" s="226"/>
      <c r="BB211" s="226">
        <f t="shared" si="137"/>
        <v>0</v>
      </c>
      <c r="BD211" s="275">
        <f t="shared" si="144"/>
        <v>46006</v>
      </c>
      <c r="BE211" s="277"/>
      <c r="BF211" s="280"/>
      <c r="BG211" s="278"/>
      <c r="BH211" s="283"/>
      <c r="BI211" s="226"/>
      <c r="BJ211" s="226"/>
      <c r="BK211" s="226">
        <f t="shared" si="138"/>
        <v>0</v>
      </c>
      <c r="BM211" s="275">
        <f t="shared" si="145"/>
        <v>46006</v>
      </c>
      <c r="BN211" s="277"/>
      <c r="BO211" s="276"/>
      <c r="BP211" s="278"/>
      <c r="BQ211" s="283"/>
      <c r="BR211" s="226"/>
      <c r="BS211" s="226"/>
      <c r="BT211" s="226">
        <f t="shared" si="139"/>
        <v>0</v>
      </c>
      <c r="BV211" s="275">
        <f t="shared" si="146"/>
        <v>46006</v>
      </c>
      <c r="BW211" s="277"/>
      <c r="BX211" s="277"/>
      <c r="BY211" s="278"/>
      <c r="BZ211" s="283"/>
      <c r="CA211" s="226"/>
      <c r="CB211" s="226"/>
      <c r="CC211" s="226">
        <f t="shared" si="140"/>
        <v>0</v>
      </c>
    </row>
    <row r="212" spans="2:81" ht="15.75" x14ac:dyDescent="0.25">
      <c r="B212" s="275">
        <v>46007</v>
      </c>
      <c r="C212" s="277"/>
      <c r="D212" s="276"/>
      <c r="E212" s="276"/>
      <c r="F212" s="276"/>
      <c r="G212" s="278"/>
      <c r="H212" s="283"/>
      <c r="I212" s="226"/>
      <c r="J212" s="226"/>
      <c r="K212" s="226">
        <f t="shared" si="132"/>
        <v>0</v>
      </c>
      <c r="M212" s="275">
        <f t="shared" si="133"/>
        <v>46007</v>
      </c>
      <c r="N212" s="280"/>
      <c r="O212" s="280"/>
      <c r="P212" s="280"/>
      <c r="Q212" s="282"/>
      <c r="R212" s="282"/>
      <c r="S212" s="278"/>
      <c r="T212" s="283"/>
      <c r="U212" s="226"/>
      <c r="V212" s="226"/>
      <c r="W212" s="226">
        <f t="shared" si="134"/>
        <v>0</v>
      </c>
      <c r="Y212" s="275">
        <f t="shared" si="141"/>
        <v>46007</v>
      </c>
      <c r="Z212" s="277"/>
      <c r="AA212" s="277"/>
      <c r="AB212" s="278"/>
      <c r="AC212" s="283"/>
      <c r="AD212" s="226"/>
      <c r="AE212" s="226"/>
      <c r="AF212" s="226">
        <f t="shared" si="135"/>
        <v>0</v>
      </c>
      <c r="AH212" s="275">
        <f t="shared" si="142"/>
        <v>46007</v>
      </c>
      <c r="AI212" s="277"/>
      <c r="AJ212" s="280"/>
      <c r="AK212" s="278"/>
      <c r="AL212" s="283"/>
      <c r="AM212" s="226"/>
      <c r="AN212" s="226"/>
      <c r="AO212" s="226">
        <f t="shared" si="136"/>
        <v>0</v>
      </c>
      <c r="AQ212" s="275">
        <f t="shared" si="143"/>
        <v>46007</v>
      </c>
      <c r="AR212" s="277"/>
      <c r="AS212" s="280"/>
      <c r="AT212" s="280"/>
      <c r="AU212" s="280"/>
      <c r="AV212" s="282"/>
      <c r="AW212" s="280"/>
      <c r="AX212" s="278"/>
      <c r="AY212" s="283"/>
      <c r="AZ212" s="226"/>
      <c r="BA212" s="226"/>
      <c r="BB212" s="226">
        <f t="shared" si="137"/>
        <v>0</v>
      </c>
      <c r="BD212" s="275">
        <f t="shared" si="144"/>
        <v>46007</v>
      </c>
      <c r="BE212" s="277"/>
      <c r="BF212" s="280"/>
      <c r="BG212" s="278"/>
      <c r="BH212" s="283"/>
      <c r="BI212" s="226"/>
      <c r="BJ212" s="226"/>
      <c r="BK212" s="226">
        <f t="shared" si="138"/>
        <v>0</v>
      </c>
      <c r="BM212" s="275">
        <f t="shared" si="145"/>
        <v>46007</v>
      </c>
      <c r="BN212" s="277"/>
      <c r="BO212" s="276"/>
      <c r="BP212" s="278"/>
      <c r="BQ212" s="283"/>
      <c r="BR212" s="226"/>
      <c r="BS212" s="226"/>
      <c r="BT212" s="226">
        <f t="shared" si="139"/>
        <v>0</v>
      </c>
      <c r="BV212" s="275">
        <f t="shared" si="146"/>
        <v>46007</v>
      </c>
      <c r="BW212" s="277"/>
      <c r="BX212" s="277"/>
      <c r="BY212" s="278"/>
      <c r="BZ212" s="283"/>
      <c r="CA212" s="226"/>
      <c r="CB212" s="226"/>
      <c r="CC212" s="226">
        <f t="shared" si="140"/>
        <v>0</v>
      </c>
    </row>
    <row r="213" spans="2:81" ht="15.75" x14ac:dyDescent="0.25">
      <c r="B213" s="275">
        <v>46008</v>
      </c>
      <c r="C213" s="277"/>
      <c r="D213" s="276"/>
      <c r="E213" s="276"/>
      <c r="F213" s="276"/>
      <c r="G213" s="278"/>
      <c r="H213" s="283"/>
      <c r="I213" s="226"/>
      <c r="J213" s="226"/>
      <c r="K213" s="226">
        <f t="shared" si="132"/>
        <v>0</v>
      </c>
      <c r="M213" s="275">
        <f t="shared" si="133"/>
        <v>46008</v>
      </c>
      <c r="N213" s="280"/>
      <c r="O213" s="280"/>
      <c r="P213" s="280"/>
      <c r="Q213" s="282"/>
      <c r="R213" s="282"/>
      <c r="S213" s="278"/>
      <c r="T213" s="283"/>
      <c r="U213" s="226"/>
      <c r="V213" s="226"/>
      <c r="W213" s="226">
        <f t="shared" si="134"/>
        <v>0</v>
      </c>
      <c r="Y213" s="275">
        <f t="shared" si="141"/>
        <v>46008</v>
      </c>
      <c r="Z213" s="277"/>
      <c r="AA213" s="277"/>
      <c r="AB213" s="278"/>
      <c r="AC213" s="283"/>
      <c r="AD213" s="226"/>
      <c r="AE213" s="226"/>
      <c r="AF213" s="226">
        <f t="shared" si="135"/>
        <v>0</v>
      </c>
      <c r="AH213" s="275">
        <f t="shared" si="142"/>
        <v>46008</v>
      </c>
      <c r="AI213" s="277"/>
      <c r="AJ213" s="280"/>
      <c r="AK213" s="278"/>
      <c r="AL213" s="283"/>
      <c r="AM213" s="226"/>
      <c r="AN213" s="226"/>
      <c r="AO213" s="226">
        <f t="shared" si="136"/>
        <v>0</v>
      </c>
      <c r="AQ213" s="275">
        <f t="shared" si="143"/>
        <v>46008</v>
      </c>
      <c r="AR213" s="277"/>
      <c r="AS213" s="280"/>
      <c r="AT213" s="280"/>
      <c r="AU213" s="280"/>
      <c r="AV213" s="282"/>
      <c r="AW213" s="280"/>
      <c r="AX213" s="278"/>
      <c r="AY213" s="283"/>
      <c r="AZ213" s="226"/>
      <c r="BA213" s="226"/>
      <c r="BB213" s="226">
        <f t="shared" si="137"/>
        <v>0</v>
      </c>
      <c r="BD213" s="275">
        <f t="shared" si="144"/>
        <v>46008</v>
      </c>
      <c r="BE213" s="277"/>
      <c r="BF213" s="280"/>
      <c r="BG213" s="278"/>
      <c r="BH213" s="283"/>
      <c r="BI213" s="226"/>
      <c r="BJ213" s="226"/>
      <c r="BK213" s="226">
        <f t="shared" si="138"/>
        <v>0</v>
      </c>
      <c r="BM213" s="275">
        <f t="shared" si="145"/>
        <v>46008</v>
      </c>
      <c r="BN213" s="277"/>
      <c r="BO213" s="276"/>
      <c r="BP213" s="278"/>
      <c r="BQ213" s="283"/>
      <c r="BR213" s="226"/>
      <c r="BS213" s="226"/>
      <c r="BT213" s="226">
        <f t="shared" si="139"/>
        <v>0</v>
      </c>
      <c r="BV213" s="275">
        <f t="shared" si="146"/>
        <v>46008</v>
      </c>
      <c r="BW213" s="277"/>
      <c r="BX213" s="277"/>
      <c r="BY213" s="278"/>
      <c r="BZ213" s="283"/>
      <c r="CA213" s="226"/>
      <c r="CB213" s="226"/>
      <c r="CC213" s="226">
        <f t="shared" si="140"/>
        <v>0</v>
      </c>
    </row>
    <row r="214" spans="2:81" ht="15.75" x14ac:dyDescent="0.25">
      <c r="B214" s="275">
        <v>46009</v>
      </c>
      <c r="C214" s="277"/>
      <c r="D214" s="276"/>
      <c r="E214" s="276"/>
      <c r="F214" s="276"/>
      <c r="G214" s="278"/>
      <c r="H214" s="283"/>
      <c r="I214" s="226"/>
      <c r="J214" s="226"/>
      <c r="K214" s="226">
        <f t="shared" si="132"/>
        <v>0</v>
      </c>
      <c r="M214" s="275">
        <f t="shared" si="133"/>
        <v>46009</v>
      </c>
      <c r="N214" s="280"/>
      <c r="O214" s="280"/>
      <c r="P214" s="280"/>
      <c r="Q214" s="282"/>
      <c r="R214" s="282"/>
      <c r="S214" s="278"/>
      <c r="T214" s="283"/>
      <c r="U214" s="226"/>
      <c r="V214" s="226"/>
      <c r="W214" s="226">
        <f t="shared" si="134"/>
        <v>0</v>
      </c>
      <c r="Y214" s="275">
        <f t="shared" si="141"/>
        <v>46009</v>
      </c>
      <c r="Z214" s="277"/>
      <c r="AA214" s="277"/>
      <c r="AB214" s="278"/>
      <c r="AC214" s="283"/>
      <c r="AD214" s="226"/>
      <c r="AE214" s="226"/>
      <c r="AF214" s="226">
        <f t="shared" si="135"/>
        <v>0</v>
      </c>
      <c r="AH214" s="275">
        <f t="shared" si="142"/>
        <v>46009</v>
      </c>
      <c r="AI214" s="277"/>
      <c r="AJ214" s="280"/>
      <c r="AK214" s="278"/>
      <c r="AL214" s="283"/>
      <c r="AM214" s="226"/>
      <c r="AN214" s="226"/>
      <c r="AO214" s="226">
        <f t="shared" si="136"/>
        <v>0</v>
      </c>
      <c r="AQ214" s="275">
        <f t="shared" si="143"/>
        <v>46009</v>
      </c>
      <c r="AR214" s="277"/>
      <c r="AS214" s="280"/>
      <c r="AT214" s="280"/>
      <c r="AU214" s="280"/>
      <c r="AV214" s="282"/>
      <c r="AW214" s="280"/>
      <c r="AX214" s="278"/>
      <c r="AY214" s="283"/>
      <c r="AZ214" s="226"/>
      <c r="BA214" s="226"/>
      <c r="BB214" s="226">
        <f t="shared" si="137"/>
        <v>0</v>
      </c>
      <c r="BD214" s="275">
        <f t="shared" si="144"/>
        <v>46009</v>
      </c>
      <c r="BE214" s="277"/>
      <c r="BF214" s="280"/>
      <c r="BG214" s="278"/>
      <c r="BH214" s="283"/>
      <c r="BI214" s="226"/>
      <c r="BJ214" s="226"/>
      <c r="BK214" s="226">
        <f t="shared" si="138"/>
        <v>0</v>
      </c>
      <c r="BM214" s="275">
        <f t="shared" si="145"/>
        <v>46009</v>
      </c>
      <c r="BN214" s="277"/>
      <c r="BO214" s="276"/>
      <c r="BP214" s="278"/>
      <c r="BQ214" s="283"/>
      <c r="BR214" s="226"/>
      <c r="BS214" s="226"/>
      <c r="BT214" s="226">
        <f t="shared" si="139"/>
        <v>0</v>
      </c>
      <c r="BV214" s="275">
        <f t="shared" si="146"/>
        <v>46009</v>
      </c>
      <c r="BW214" s="277"/>
      <c r="BX214" s="277"/>
      <c r="BY214" s="278"/>
      <c r="BZ214" s="283"/>
      <c r="CA214" s="226"/>
      <c r="CB214" s="226"/>
      <c r="CC214" s="226">
        <f t="shared" si="140"/>
        <v>0</v>
      </c>
    </row>
    <row r="215" spans="2:81" ht="15.75" x14ac:dyDescent="0.25">
      <c r="B215" s="275">
        <v>46010</v>
      </c>
      <c r="C215" s="277"/>
      <c r="D215" s="276"/>
      <c r="E215" s="276"/>
      <c r="F215" s="276"/>
      <c r="G215" s="278"/>
      <c r="H215" s="283"/>
      <c r="I215" s="226"/>
      <c r="J215" s="226"/>
      <c r="K215" s="226">
        <f t="shared" si="132"/>
        <v>0</v>
      </c>
      <c r="M215" s="275">
        <f t="shared" si="133"/>
        <v>46010</v>
      </c>
      <c r="N215" s="280"/>
      <c r="O215" s="280"/>
      <c r="P215" s="280"/>
      <c r="Q215" s="282"/>
      <c r="R215" s="282"/>
      <c r="S215" s="278"/>
      <c r="T215" s="283"/>
      <c r="U215" s="226"/>
      <c r="V215" s="226"/>
      <c r="W215" s="226">
        <f t="shared" si="134"/>
        <v>0</v>
      </c>
      <c r="Y215" s="275">
        <f t="shared" si="141"/>
        <v>46010</v>
      </c>
      <c r="Z215" s="277"/>
      <c r="AA215" s="277"/>
      <c r="AB215" s="278"/>
      <c r="AC215" s="283"/>
      <c r="AD215" s="226"/>
      <c r="AE215" s="226"/>
      <c r="AF215" s="226">
        <f t="shared" si="135"/>
        <v>0</v>
      </c>
      <c r="AH215" s="275">
        <f t="shared" si="142"/>
        <v>46010</v>
      </c>
      <c r="AI215" s="277"/>
      <c r="AJ215" s="280"/>
      <c r="AK215" s="278"/>
      <c r="AL215" s="283"/>
      <c r="AM215" s="226"/>
      <c r="AN215" s="226"/>
      <c r="AO215" s="226">
        <f t="shared" si="136"/>
        <v>0</v>
      </c>
      <c r="AQ215" s="275">
        <f t="shared" si="143"/>
        <v>46010</v>
      </c>
      <c r="AR215" s="277"/>
      <c r="AS215" s="280"/>
      <c r="AT215" s="280"/>
      <c r="AU215" s="280"/>
      <c r="AV215" s="282"/>
      <c r="AW215" s="280"/>
      <c r="AX215" s="278"/>
      <c r="AY215" s="283"/>
      <c r="AZ215" s="226"/>
      <c r="BA215" s="226"/>
      <c r="BB215" s="226">
        <f t="shared" si="137"/>
        <v>0</v>
      </c>
      <c r="BD215" s="275">
        <f t="shared" si="144"/>
        <v>46010</v>
      </c>
      <c r="BE215" s="277"/>
      <c r="BF215" s="280"/>
      <c r="BG215" s="278"/>
      <c r="BH215" s="283"/>
      <c r="BI215" s="226"/>
      <c r="BJ215" s="226"/>
      <c r="BK215" s="226">
        <f t="shared" si="138"/>
        <v>0</v>
      </c>
      <c r="BM215" s="275">
        <f t="shared" si="145"/>
        <v>46010</v>
      </c>
      <c r="BN215" s="277"/>
      <c r="BO215" s="276"/>
      <c r="BP215" s="278"/>
      <c r="BQ215" s="283"/>
      <c r="BR215" s="226"/>
      <c r="BS215" s="226"/>
      <c r="BT215" s="226">
        <f t="shared" si="139"/>
        <v>0</v>
      </c>
      <c r="BV215" s="275">
        <f t="shared" si="146"/>
        <v>46010</v>
      </c>
      <c r="BW215" s="277"/>
      <c r="BX215" s="277"/>
      <c r="BY215" s="278"/>
      <c r="BZ215" s="283"/>
      <c r="CA215" s="226"/>
      <c r="CB215" s="226"/>
      <c r="CC215" s="226">
        <f t="shared" si="140"/>
        <v>0</v>
      </c>
    </row>
    <row r="216" spans="2:81" ht="15.75" x14ac:dyDescent="0.25">
      <c r="B216" s="275">
        <v>46011</v>
      </c>
      <c r="C216" s="277"/>
      <c r="D216" s="276"/>
      <c r="E216" s="276"/>
      <c r="F216" s="276"/>
      <c r="G216" s="278"/>
      <c r="H216" s="283"/>
      <c r="I216" s="226"/>
      <c r="J216" s="226"/>
      <c r="K216" s="226">
        <f t="shared" si="132"/>
        <v>0</v>
      </c>
      <c r="M216" s="275">
        <f t="shared" si="133"/>
        <v>46011</v>
      </c>
      <c r="N216" s="280"/>
      <c r="O216" s="280"/>
      <c r="P216" s="280"/>
      <c r="Q216" s="282"/>
      <c r="R216" s="282"/>
      <c r="S216" s="278"/>
      <c r="T216" s="283"/>
      <c r="U216" s="226"/>
      <c r="V216" s="226"/>
      <c r="W216" s="226">
        <f t="shared" si="134"/>
        <v>0</v>
      </c>
      <c r="Y216" s="275">
        <f t="shared" si="141"/>
        <v>46011</v>
      </c>
      <c r="Z216" s="277"/>
      <c r="AA216" s="277"/>
      <c r="AB216" s="278"/>
      <c r="AC216" s="283"/>
      <c r="AD216" s="226"/>
      <c r="AE216" s="226"/>
      <c r="AF216" s="226">
        <f t="shared" si="135"/>
        <v>0</v>
      </c>
      <c r="AH216" s="275">
        <f t="shared" si="142"/>
        <v>46011</v>
      </c>
      <c r="AI216" s="277"/>
      <c r="AJ216" s="280"/>
      <c r="AK216" s="278"/>
      <c r="AL216" s="283"/>
      <c r="AM216" s="226"/>
      <c r="AN216" s="226"/>
      <c r="AO216" s="226">
        <f t="shared" si="136"/>
        <v>0</v>
      </c>
      <c r="AQ216" s="275">
        <f t="shared" si="143"/>
        <v>46011</v>
      </c>
      <c r="AR216" s="277"/>
      <c r="AS216" s="280"/>
      <c r="AT216" s="280"/>
      <c r="AU216" s="280"/>
      <c r="AV216" s="282"/>
      <c r="AW216" s="280"/>
      <c r="AX216" s="278"/>
      <c r="AY216" s="283"/>
      <c r="AZ216" s="226"/>
      <c r="BA216" s="226"/>
      <c r="BB216" s="226">
        <f t="shared" si="137"/>
        <v>0</v>
      </c>
      <c r="BD216" s="275">
        <f t="shared" si="144"/>
        <v>46011</v>
      </c>
      <c r="BE216" s="277"/>
      <c r="BF216" s="280"/>
      <c r="BG216" s="278"/>
      <c r="BH216" s="283"/>
      <c r="BI216" s="226"/>
      <c r="BJ216" s="226"/>
      <c r="BK216" s="226">
        <f t="shared" si="138"/>
        <v>0</v>
      </c>
      <c r="BM216" s="275">
        <f t="shared" si="145"/>
        <v>46011</v>
      </c>
      <c r="BN216" s="277"/>
      <c r="BO216" s="276"/>
      <c r="BP216" s="278"/>
      <c r="BQ216" s="283"/>
      <c r="BR216" s="226"/>
      <c r="BS216" s="226"/>
      <c r="BT216" s="226">
        <f t="shared" si="139"/>
        <v>0</v>
      </c>
      <c r="BV216" s="275">
        <f t="shared" si="146"/>
        <v>46011</v>
      </c>
      <c r="BW216" s="277"/>
      <c r="BX216" s="277"/>
      <c r="BY216" s="278"/>
      <c r="BZ216" s="283"/>
      <c r="CA216" s="226"/>
      <c r="CB216" s="226"/>
      <c r="CC216" s="226">
        <f t="shared" si="140"/>
        <v>0</v>
      </c>
    </row>
    <row r="217" spans="2:81" ht="15.75" x14ac:dyDescent="0.25">
      <c r="B217" s="275">
        <v>46012</v>
      </c>
      <c r="C217" s="277"/>
      <c r="D217" s="276"/>
      <c r="E217" s="276"/>
      <c r="F217" s="276"/>
      <c r="G217" s="278"/>
      <c r="H217" s="283"/>
      <c r="I217" s="226"/>
      <c r="J217" s="226"/>
      <c r="K217" s="226">
        <f t="shared" si="132"/>
        <v>0</v>
      </c>
      <c r="M217" s="275">
        <f t="shared" si="133"/>
        <v>46012</v>
      </c>
      <c r="N217" s="280"/>
      <c r="O217" s="280"/>
      <c r="P217" s="280"/>
      <c r="Q217" s="282"/>
      <c r="R217" s="282"/>
      <c r="S217" s="278"/>
      <c r="T217" s="283"/>
      <c r="U217" s="226"/>
      <c r="V217" s="226"/>
      <c r="W217" s="226">
        <f t="shared" si="134"/>
        <v>0</v>
      </c>
      <c r="Y217" s="275">
        <f t="shared" si="141"/>
        <v>46012</v>
      </c>
      <c r="Z217" s="277"/>
      <c r="AA217" s="277"/>
      <c r="AB217" s="278"/>
      <c r="AC217" s="283"/>
      <c r="AD217" s="226"/>
      <c r="AE217" s="226"/>
      <c r="AF217" s="226">
        <f t="shared" si="135"/>
        <v>0</v>
      </c>
      <c r="AH217" s="275">
        <f t="shared" si="142"/>
        <v>46012</v>
      </c>
      <c r="AI217" s="277"/>
      <c r="AJ217" s="280"/>
      <c r="AK217" s="278"/>
      <c r="AL217" s="283"/>
      <c r="AM217" s="226"/>
      <c r="AN217" s="226"/>
      <c r="AO217" s="226">
        <f t="shared" si="136"/>
        <v>0</v>
      </c>
      <c r="AQ217" s="275">
        <f t="shared" si="143"/>
        <v>46012</v>
      </c>
      <c r="AR217" s="277"/>
      <c r="AS217" s="280"/>
      <c r="AT217" s="280"/>
      <c r="AU217" s="280"/>
      <c r="AV217" s="282"/>
      <c r="AW217" s="280"/>
      <c r="AX217" s="278"/>
      <c r="AY217" s="283"/>
      <c r="AZ217" s="226"/>
      <c r="BA217" s="226"/>
      <c r="BB217" s="226">
        <f t="shared" si="137"/>
        <v>0</v>
      </c>
      <c r="BD217" s="275">
        <f t="shared" si="144"/>
        <v>46012</v>
      </c>
      <c r="BE217" s="277"/>
      <c r="BF217" s="280"/>
      <c r="BG217" s="278"/>
      <c r="BH217" s="283"/>
      <c r="BI217" s="226"/>
      <c r="BJ217" s="226"/>
      <c r="BK217" s="226">
        <f t="shared" si="138"/>
        <v>0</v>
      </c>
      <c r="BM217" s="275">
        <f t="shared" si="145"/>
        <v>46012</v>
      </c>
      <c r="BN217" s="277"/>
      <c r="BO217" s="276"/>
      <c r="BP217" s="278"/>
      <c r="BQ217" s="283"/>
      <c r="BR217" s="226"/>
      <c r="BS217" s="226"/>
      <c r="BT217" s="226">
        <f t="shared" si="139"/>
        <v>0</v>
      </c>
      <c r="BV217" s="275">
        <f t="shared" si="146"/>
        <v>46012</v>
      </c>
      <c r="BW217" s="277"/>
      <c r="BX217" s="277"/>
      <c r="BY217" s="278"/>
      <c r="BZ217" s="283"/>
      <c r="CA217" s="226"/>
      <c r="CB217" s="226"/>
      <c r="CC217" s="226">
        <f t="shared" si="140"/>
        <v>0</v>
      </c>
    </row>
    <row r="218" spans="2:81" ht="15.75" x14ac:dyDescent="0.25">
      <c r="B218" s="275">
        <v>46013</v>
      </c>
      <c r="C218" s="277"/>
      <c r="D218" s="276"/>
      <c r="E218" s="276"/>
      <c r="F218" s="276"/>
      <c r="G218" s="278"/>
      <c r="H218" s="283"/>
      <c r="I218" s="226"/>
      <c r="J218" s="226"/>
      <c r="K218" s="226">
        <f t="shared" si="132"/>
        <v>0</v>
      </c>
      <c r="M218" s="275">
        <f t="shared" si="133"/>
        <v>46013</v>
      </c>
      <c r="N218" s="280"/>
      <c r="O218" s="280"/>
      <c r="P218" s="280"/>
      <c r="Q218" s="282"/>
      <c r="R218" s="282"/>
      <c r="S218" s="278"/>
      <c r="T218" s="283"/>
      <c r="U218" s="226"/>
      <c r="V218" s="226"/>
      <c r="W218" s="226">
        <f t="shared" si="134"/>
        <v>0</v>
      </c>
      <c r="Y218" s="275">
        <f t="shared" si="141"/>
        <v>46013</v>
      </c>
      <c r="Z218" s="277"/>
      <c r="AA218" s="277"/>
      <c r="AB218" s="278"/>
      <c r="AC218" s="283"/>
      <c r="AD218" s="226"/>
      <c r="AE218" s="226"/>
      <c r="AF218" s="226">
        <f t="shared" si="135"/>
        <v>0</v>
      </c>
      <c r="AH218" s="275">
        <f t="shared" si="142"/>
        <v>46013</v>
      </c>
      <c r="AI218" s="277"/>
      <c r="AJ218" s="280"/>
      <c r="AK218" s="278"/>
      <c r="AL218" s="283"/>
      <c r="AM218" s="226"/>
      <c r="AN218" s="226"/>
      <c r="AO218" s="226">
        <f t="shared" si="136"/>
        <v>0</v>
      </c>
      <c r="AQ218" s="275">
        <f t="shared" si="143"/>
        <v>46013</v>
      </c>
      <c r="AR218" s="277"/>
      <c r="AS218" s="280"/>
      <c r="AT218" s="280"/>
      <c r="AU218" s="280"/>
      <c r="AV218" s="282"/>
      <c r="AW218" s="280"/>
      <c r="AX218" s="278"/>
      <c r="AY218" s="283"/>
      <c r="AZ218" s="226"/>
      <c r="BA218" s="226"/>
      <c r="BB218" s="226">
        <f t="shared" si="137"/>
        <v>0</v>
      </c>
      <c r="BD218" s="275">
        <f t="shared" si="144"/>
        <v>46013</v>
      </c>
      <c r="BE218" s="277"/>
      <c r="BF218" s="280"/>
      <c r="BG218" s="278"/>
      <c r="BH218" s="283"/>
      <c r="BI218" s="226"/>
      <c r="BJ218" s="226"/>
      <c r="BK218" s="226">
        <f t="shared" si="138"/>
        <v>0</v>
      </c>
      <c r="BM218" s="275">
        <f t="shared" si="145"/>
        <v>46013</v>
      </c>
      <c r="BN218" s="277"/>
      <c r="BO218" s="276"/>
      <c r="BP218" s="278"/>
      <c r="BQ218" s="283"/>
      <c r="BR218" s="226"/>
      <c r="BS218" s="226"/>
      <c r="BT218" s="226">
        <f t="shared" si="139"/>
        <v>0</v>
      </c>
      <c r="BV218" s="275">
        <f t="shared" si="146"/>
        <v>46013</v>
      </c>
      <c r="BW218" s="277"/>
      <c r="BX218" s="277"/>
      <c r="BY218" s="278"/>
      <c r="BZ218" s="283"/>
      <c r="CA218" s="226"/>
      <c r="CB218" s="226"/>
      <c r="CC218" s="226">
        <f t="shared" si="140"/>
        <v>0</v>
      </c>
    </row>
    <row r="219" spans="2:81" ht="15.75" x14ac:dyDescent="0.25">
      <c r="B219" s="275">
        <v>46014</v>
      </c>
      <c r="C219" s="277"/>
      <c r="D219" s="276"/>
      <c r="E219" s="276"/>
      <c r="F219" s="276"/>
      <c r="G219" s="278"/>
      <c r="H219" s="283"/>
      <c r="I219" s="226"/>
      <c r="J219" s="226"/>
      <c r="K219" s="226">
        <f t="shared" si="132"/>
        <v>0</v>
      </c>
      <c r="M219" s="275">
        <f t="shared" si="133"/>
        <v>46014</v>
      </c>
      <c r="N219" s="280"/>
      <c r="O219" s="280"/>
      <c r="P219" s="280"/>
      <c r="Q219" s="282"/>
      <c r="R219" s="282"/>
      <c r="S219" s="278"/>
      <c r="T219" s="283"/>
      <c r="U219" s="226"/>
      <c r="V219" s="226"/>
      <c r="W219" s="226">
        <f t="shared" si="134"/>
        <v>0</v>
      </c>
      <c r="Y219" s="275">
        <f t="shared" si="141"/>
        <v>46014</v>
      </c>
      <c r="Z219" s="277"/>
      <c r="AA219" s="277"/>
      <c r="AB219" s="278"/>
      <c r="AC219" s="283"/>
      <c r="AD219" s="226"/>
      <c r="AE219" s="226"/>
      <c r="AF219" s="226">
        <f t="shared" si="135"/>
        <v>0</v>
      </c>
      <c r="AH219" s="275">
        <f t="shared" si="142"/>
        <v>46014</v>
      </c>
      <c r="AI219" s="277"/>
      <c r="AJ219" s="280"/>
      <c r="AK219" s="278"/>
      <c r="AL219" s="283"/>
      <c r="AM219" s="226"/>
      <c r="AN219" s="226"/>
      <c r="AO219" s="226">
        <f t="shared" si="136"/>
        <v>0</v>
      </c>
      <c r="AQ219" s="275">
        <f t="shared" si="143"/>
        <v>46014</v>
      </c>
      <c r="AR219" s="277"/>
      <c r="AS219" s="280"/>
      <c r="AT219" s="280"/>
      <c r="AU219" s="280"/>
      <c r="AV219" s="282"/>
      <c r="AW219" s="280"/>
      <c r="AX219" s="278"/>
      <c r="AY219" s="283"/>
      <c r="AZ219" s="226"/>
      <c r="BA219" s="226"/>
      <c r="BB219" s="226">
        <f t="shared" si="137"/>
        <v>0</v>
      </c>
      <c r="BD219" s="275">
        <f t="shared" si="144"/>
        <v>46014</v>
      </c>
      <c r="BE219" s="277"/>
      <c r="BF219" s="280"/>
      <c r="BG219" s="278"/>
      <c r="BH219" s="283"/>
      <c r="BI219" s="226"/>
      <c r="BJ219" s="226"/>
      <c r="BK219" s="226">
        <f t="shared" si="138"/>
        <v>0</v>
      </c>
      <c r="BM219" s="275">
        <f t="shared" si="145"/>
        <v>46014</v>
      </c>
      <c r="BN219" s="277"/>
      <c r="BO219" s="276"/>
      <c r="BP219" s="278"/>
      <c r="BQ219" s="283"/>
      <c r="BR219" s="226"/>
      <c r="BS219" s="226"/>
      <c r="BT219" s="226">
        <f t="shared" si="139"/>
        <v>0</v>
      </c>
      <c r="BV219" s="275">
        <f t="shared" si="146"/>
        <v>46014</v>
      </c>
      <c r="BW219" s="277"/>
      <c r="BX219" s="277"/>
      <c r="BY219" s="278"/>
      <c r="BZ219" s="283"/>
      <c r="CA219" s="226"/>
      <c r="CB219" s="226"/>
      <c r="CC219" s="226">
        <f t="shared" si="140"/>
        <v>0</v>
      </c>
    </row>
    <row r="220" spans="2:81" ht="15.75" x14ac:dyDescent="0.25">
      <c r="B220" s="275">
        <v>46015</v>
      </c>
      <c r="C220" s="277"/>
      <c r="D220" s="276"/>
      <c r="E220" s="276"/>
      <c r="F220" s="276"/>
      <c r="G220" s="278"/>
      <c r="H220" s="283"/>
      <c r="I220" s="226"/>
      <c r="J220" s="226"/>
      <c r="K220" s="226">
        <f t="shared" si="132"/>
        <v>0</v>
      </c>
      <c r="M220" s="275">
        <f t="shared" si="133"/>
        <v>46015</v>
      </c>
      <c r="N220" s="280"/>
      <c r="O220" s="280"/>
      <c r="P220" s="280"/>
      <c r="Q220" s="282"/>
      <c r="R220" s="282"/>
      <c r="S220" s="278"/>
      <c r="T220" s="283"/>
      <c r="U220" s="226"/>
      <c r="V220" s="226"/>
      <c r="W220" s="226">
        <f t="shared" si="134"/>
        <v>0</v>
      </c>
      <c r="Y220" s="275">
        <f t="shared" si="141"/>
        <v>46015</v>
      </c>
      <c r="Z220" s="277"/>
      <c r="AA220" s="277"/>
      <c r="AB220" s="278"/>
      <c r="AC220" s="283"/>
      <c r="AD220" s="226"/>
      <c r="AE220" s="226"/>
      <c r="AF220" s="226">
        <f t="shared" si="135"/>
        <v>0</v>
      </c>
      <c r="AH220" s="275">
        <f t="shared" si="142"/>
        <v>46015</v>
      </c>
      <c r="AI220" s="277"/>
      <c r="AJ220" s="280"/>
      <c r="AK220" s="278"/>
      <c r="AL220" s="283"/>
      <c r="AM220" s="226"/>
      <c r="AN220" s="226"/>
      <c r="AO220" s="226">
        <f t="shared" si="136"/>
        <v>0</v>
      </c>
      <c r="AQ220" s="275">
        <f t="shared" si="143"/>
        <v>46015</v>
      </c>
      <c r="AR220" s="277"/>
      <c r="AS220" s="280"/>
      <c r="AT220" s="280"/>
      <c r="AU220" s="280"/>
      <c r="AV220" s="282"/>
      <c r="AW220" s="280"/>
      <c r="AX220" s="278"/>
      <c r="AY220" s="283"/>
      <c r="AZ220" s="226"/>
      <c r="BA220" s="226"/>
      <c r="BB220" s="226">
        <f t="shared" si="137"/>
        <v>0</v>
      </c>
      <c r="BD220" s="275">
        <f t="shared" si="144"/>
        <v>46015</v>
      </c>
      <c r="BE220" s="277"/>
      <c r="BF220" s="280"/>
      <c r="BG220" s="278"/>
      <c r="BH220" s="283"/>
      <c r="BI220" s="226"/>
      <c r="BJ220" s="226"/>
      <c r="BK220" s="226">
        <f t="shared" si="138"/>
        <v>0</v>
      </c>
      <c r="BM220" s="275">
        <f t="shared" si="145"/>
        <v>46015</v>
      </c>
      <c r="BN220" s="277"/>
      <c r="BO220" s="276"/>
      <c r="BP220" s="278"/>
      <c r="BQ220" s="283"/>
      <c r="BR220" s="226"/>
      <c r="BS220" s="226"/>
      <c r="BT220" s="226">
        <f t="shared" si="139"/>
        <v>0</v>
      </c>
      <c r="BV220" s="275">
        <f t="shared" si="146"/>
        <v>46015</v>
      </c>
      <c r="BW220" s="277"/>
      <c r="BX220" s="277"/>
      <c r="BY220" s="278"/>
      <c r="BZ220" s="283"/>
      <c r="CA220" s="226"/>
      <c r="CB220" s="226"/>
      <c r="CC220" s="226">
        <f t="shared" si="140"/>
        <v>0</v>
      </c>
    </row>
    <row r="221" spans="2:81" ht="15.75" x14ac:dyDescent="0.25">
      <c r="B221" s="275">
        <v>46016</v>
      </c>
      <c r="C221" s="277"/>
      <c r="D221" s="276"/>
      <c r="E221" s="276"/>
      <c r="F221" s="276"/>
      <c r="G221" s="278"/>
      <c r="H221" s="283"/>
      <c r="I221" s="226"/>
      <c r="J221" s="226"/>
      <c r="K221" s="226">
        <f t="shared" si="132"/>
        <v>0</v>
      </c>
      <c r="M221" s="275">
        <f t="shared" si="133"/>
        <v>46016</v>
      </c>
      <c r="N221" s="280"/>
      <c r="O221" s="280"/>
      <c r="P221" s="280"/>
      <c r="Q221" s="282"/>
      <c r="R221" s="282"/>
      <c r="S221" s="278"/>
      <c r="T221" s="283"/>
      <c r="U221" s="226"/>
      <c r="V221" s="226"/>
      <c r="W221" s="226">
        <f t="shared" si="134"/>
        <v>0</v>
      </c>
      <c r="Y221" s="275">
        <f t="shared" si="141"/>
        <v>46016</v>
      </c>
      <c r="Z221" s="277"/>
      <c r="AA221" s="277"/>
      <c r="AB221" s="278"/>
      <c r="AC221" s="283"/>
      <c r="AD221" s="226"/>
      <c r="AE221" s="226"/>
      <c r="AF221" s="226">
        <f t="shared" si="135"/>
        <v>0</v>
      </c>
      <c r="AH221" s="275">
        <f t="shared" si="142"/>
        <v>46016</v>
      </c>
      <c r="AI221" s="277"/>
      <c r="AJ221" s="280"/>
      <c r="AK221" s="278"/>
      <c r="AL221" s="283"/>
      <c r="AM221" s="226"/>
      <c r="AN221" s="226"/>
      <c r="AO221" s="226">
        <f t="shared" si="136"/>
        <v>0</v>
      </c>
      <c r="AQ221" s="275">
        <f t="shared" si="143"/>
        <v>46016</v>
      </c>
      <c r="AR221" s="277"/>
      <c r="AS221" s="280"/>
      <c r="AT221" s="280"/>
      <c r="AU221" s="280"/>
      <c r="AV221" s="282"/>
      <c r="AW221" s="280"/>
      <c r="AX221" s="278"/>
      <c r="AY221" s="283"/>
      <c r="AZ221" s="226"/>
      <c r="BA221" s="226"/>
      <c r="BB221" s="226">
        <f t="shared" si="137"/>
        <v>0</v>
      </c>
      <c r="BD221" s="275">
        <f t="shared" si="144"/>
        <v>46016</v>
      </c>
      <c r="BE221" s="277"/>
      <c r="BF221" s="280"/>
      <c r="BG221" s="278"/>
      <c r="BH221" s="283"/>
      <c r="BI221" s="226"/>
      <c r="BJ221" s="226"/>
      <c r="BK221" s="226">
        <f t="shared" si="138"/>
        <v>0</v>
      </c>
      <c r="BM221" s="275">
        <f t="shared" si="145"/>
        <v>46016</v>
      </c>
      <c r="BN221" s="277"/>
      <c r="BO221" s="276"/>
      <c r="BP221" s="278"/>
      <c r="BQ221" s="283"/>
      <c r="BR221" s="226"/>
      <c r="BS221" s="226"/>
      <c r="BT221" s="226">
        <f t="shared" si="139"/>
        <v>0</v>
      </c>
      <c r="BV221" s="275">
        <f t="shared" si="146"/>
        <v>46016</v>
      </c>
      <c r="BW221" s="277"/>
      <c r="BX221" s="277"/>
      <c r="BY221" s="278"/>
      <c r="BZ221" s="283"/>
      <c r="CA221" s="226"/>
      <c r="CB221" s="226"/>
      <c r="CC221" s="226">
        <f t="shared" si="140"/>
        <v>0</v>
      </c>
    </row>
    <row r="222" spans="2:81" ht="15.75" x14ac:dyDescent="0.25">
      <c r="B222" s="275">
        <v>46017</v>
      </c>
      <c r="C222" s="277"/>
      <c r="D222" s="276"/>
      <c r="E222" s="276"/>
      <c r="F222" s="276"/>
      <c r="G222" s="278"/>
      <c r="H222" s="283"/>
      <c r="I222" s="226"/>
      <c r="J222" s="226"/>
      <c r="K222" s="226">
        <f t="shared" si="132"/>
        <v>0</v>
      </c>
      <c r="M222" s="275">
        <f t="shared" si="133"/>
        <v>46017</v>
      </c>
      <c r="N222" s="280"/>
      <c r="O222" s="280"/>
      <c r="P222" s="280"/>
      <c r="Q222" s="282"/>
      <c r="R222" s="282"/>
      <c r="S222" s="278"/>
      <c r="T222" s="283"/>
      <c r="U222" s="226"/>
      <c r="V222" s="226"/>
      <c r="W222" s="226">
        <f t="shared" si="134"/>
        <v>0</v>
      </c>
      <c r="Y222" s="275">
        <f t="shared" si="141"/>
        <v>46017</v>
      </c>
      <c r="Z222" s="277"/>
      <c r="AA222" s="277"/>
      <c r="AB222" s="278"/>
      <c r="AC222" s="283"/>
      <c r="AD222" s="226"/>
      <c r="AE222" s="226"/>
      <c r="AF222" s="226">
        <f t="shared" si="135"/>
        <v>0</v>
      </c>
      <c r="AH222" s="275">
        <f t="shared" si="142"/>
        <v>46017</v>
      </c>
      <c r="AI222" s="277"/>
      <c r="AJ222" s="280"/>
      <c r="AK222" s="278"/>
      <c r="AL222" s="283"/>
      <c r="AM222" s="226"/>
      <c r="AN222" s="226"/>
      <c r="AO222" s="226">
        <f t="shared" si="136"/>
        <v>0</v>
      </c>
      <c r="AQ222" s="275">
        <f t="shared" si="143"/>
        <v>46017</v>
      </c>
      <c r="AR222" s="277"/>
      <c r="AS222" s="280"/>
      <c r="AT222" s="280"/>
      <c r="AU222" s="280"/>
      <c r="AV222" s="282"/>
      <c r="AW222" s="280"/>
      <c r="AX222" s="278"/>
      <c r="AY222" s="283"/>
      <c r="AZ222" s="226"/>
      <c r="BA222" s="226"/>
      <c r="BB222" s="226">
        <f t="shared" si="137"/>
        <v>0</v>
      </c>
      <c r="BD222" s="275">
        <f t="shared" si="144"/>
        <v>46017</v>
      </c>
      <c r="BE222" s="277"/>
      <c r="BF222" s="280"/>
      <c r="BG222" s="278"/>
      <c r="BH222" s="283"/>
      <c r="BI222" s="226"/>
      <c r="BJ222" s="226"/>
      <c r="BK222" s="226">
        <f t="shared" si="138"/>
        <v>0</v>
      </c>
      <c r="BM222" s="275">
        <f t="shared" si="145"/>
        <v>46017</v>
      </c>
      <c r="BN222" s="277"/>
      <c r="BO222" s="276"/>
      <c r="BP222" s="278"/>
      <c r="BQ222" s="283"/>
      <c r="BR222" s="226"/>
      <c r="BS222" s="226"/>
      <c r="BT222" s="226">
        <f t="shared" si="139"/>
        <v>0</v>
      </c>
      <c r="BV222" s="275">
        <f t="shared" si="146"/>
        <v>46017</v>
      </c>
      <c r="BW222" s="277"/>
      <c r="BX222" s="277"/>
      <c r="BY222" s="278"/>
      <c r="BZ222" s="283"/>
      <c r="CA222" s="226"/>
      <c r="CB222" s="226"/>
      <c r="CC222" s="226">
        <f t="shared" si="140"/>
        <v>0</v>
      </c>
    </row>
    <row r="223" spans="2:81" ht="15.75" x14ac:dyDescent="0.25">
      <c r="B223" s="275">
        <v>46018</v>
      </c>
      <c r="C223" s="277"/>
      <c r="D223" s="276"/>
      <c r="E223" s="276"/>
      <c r="F223" s="276"/>
      <c r="G223" s="278"/>
      <c r="H223" s="283"/>
      <c r="I223" s="226"/>
      <c r="J223" s="226"/>
      <c r="K223" s="226">
        <f t="shared" si="132"/>
        <v>0</v>
      </c>
      <c r="M223" s="275">
        <f t="shared" si="133"/>
        <v>46018</v>
      </c>
      <c r="N223" s="280"/>
      <c r="O223" s="280"/>
      <c r="P223" s="280"/>
      <c r="Q223" s="282"/>
      <c r="R223" s="282"/>
      <c r="S223" s="278"/>
      <c r="T223" s="283"/>
      <c r="U223" s="226"/>
      <c r="V223" s="226"/>
      <c r="W223" s="226">
        <f t="shared" si="134"/>
        <v>0</v>
      </c>
      <c r="Y223" s="275">
        <f t="shared" si="141"/>
        <v>46018</v>
      </c>
      <c r="Z223" s="277"/>
      <c r="AA223" s="277"/>
      <c r="AB223" s="278"/>
      <c r="AC223" s="283"/>
      <c r="AD223" s="226"/>
      <c r="AE223" s="226"/>
      <c r="AF223" s="226">
        <f t="shared" si="135"/>
        <v>0</v>
      </c>
      <c r="AH223" s="275">
        <f t="shared" si="142"/>
        <v>46018</v>
      </c>
      <c r="AI223" s="277"/>
      <c r="AJ223" s="280"/>
      <c r="AK223" s="278"/>
      <c r="AL223" s="283"/>
      <c r="AM223" s="226"/>
      <c r="AN223" s="226"/>
      <c r="AO223" s="226">
        <f t="shared" si="136"/>
        <v>0</v>
      </c>
      <c r="AQ223" s="275">
        <f t="shared" si="143"/>
        <v>46018</v>
      </c>
      <c r="AR223" s="277"/>
      <c r="AS223" s="280"/>
      <c r="AT223" s="280"/>
      <c r="AU223" s="280"/>
      <c r="AV223" s="282"/>
      <c r="AW223" s="280"/>
      <c r="AX223" s="278"/>
      <c r="AY223" s="283"/>
      <c r="AZ223" s="226"/>
      <c r="BA223" s="226"/>
      <c r="BB223" s="226">
        <f t="shared" si="137"/>
        <v>0</v>
      </c>
      <c r="BD223" s="275">
        <f t="shared" si="144"/>
        <v>46018</v>
      </c>
      <c r="BE223" s="277"/>
      <c r="BF223" s="280"/>
      <c r="BG223" s="278"/>
      <c r="BH223" s="283"/>
      <c r="BI223" s="226"/>
      <c r="BJ223" s="226"/>
      <c r="BK223" s="226">
        <f t="shared" si="138"/>
        <v>0</v>
      </c>
      <c r="BM223" s="275">
        <f t="shared" si="145"/>
        <v>46018</v>
      </c>
      <c r="BN223" s="277"/>
      <c r="BO223" s="276"/>
      <c r="BP223" s="278"/>
      <c r="BQ223" s="283"/>
      <c r="BR223" s="226"/>
      <c r="BS223" s="226"/>
      <c r="BT223" s="226">
        <f t="shared" si="139"/>
        <v>0</v>
      </c>
      <c r="BV223" s="275">
        <f t="shared" si="146"/>
        <v>46018</v>
      </c>
      <c r="BW223" s="277"/>
      <c r="BX223" s="277"/>
      <c r="BY223" s="278"/>
      <c r="BZ223" s="283"/>
      <c r="CA223" s="226"/>
      <c r="CB223" s="226"/>
      <c r="CC223" s="226">
        <f t="shared" si="140"/>
        <v>0</v>
      </c>
    </row>
    <row r="224" spans="2:81" ht="15.75" x14ac:dyDescent="0.25">
      <c r="B224" s="275">
        <v>46019</v>
      </c>
      <c r="C224" s="277"/>
      <c r="D224" s="276"/>
      <c r="E224" s="276"/>
      <c r="F224" s="276"/>
      <c r="G224" s="278"/>
      <c r="H224" s="283"/>
      <c r="I224" s="226"/>
      <c r="J224" s="226"/>
      <c r="K224" s="226">
        <f t="shared" si="132"/>
        <v>0</v>
      </c>
      <c r="M224" s="275">
        <f t="shared" si="133"/>
        <v>46019</v>
      </c>
      <c r="N224" s="280"/>
      <c r="O224" s="280"/>
      <c r="P224" s="280"/>
      <c r="Q224" s="282"/>
      <c r="R224" s="282"/>
      <c r="S224" s="278"/>
      <c r="T224" s="283"/>
      <c r="U224" s="226"/>
      <c r="V224" s="226"/>
      <c r="W224" s="226">
        <f t="shared" si="134"/>
        <v>0</v>
      </c>
      <c r="Y224" s="275">
        <f t="shared" si="141"/>
        <v>46019</v>
      </c>
      <c r="Z224" s="277"/>
      <c r="AA224" s="277"/>
      <c r="AB224" s="278"/>
      <c r="AC224" s="283"/>
      <c r="AD224" s="226"/>
      <c r="AE224" s="226"/>
      <c r="AF224" s="226">
        <f t="shared" si="135"/>
        <v>0</v>
      </c>
      <c r="AH224" s="275">
        <f t="shared" si="142"/>
        <v>46019</v>
      </c>
      <c r="AI224" s="277"/>
      <c r="AJ224" s="280"/>
      <c r="AK224" s="278"/>
      <c r="AL224" s="283"/>
      <c r="AM224" s="226"/>
      <c r="AN224" s="226"/>
      <c r="AO224" s="226">
        <f t="shared" si="136"/>
        <v>0</v>
      </c>
      <c r="AQ224" s="275">
        <f t="shared" si="143"/>
        <v>46019</v>
      </c>
      <c r="AR224" s="277"/>
      <c r="AS224" s="280"/>
      <c r="AT224" s="280"/>
      <c r="AU224" s="280"/>
      <c r="AV224" s="282"/>
      <c r="AW224" s="280"/>
      <c r="AX224" s="278"/>
      <c r="AY224" s="283"/>
      <c r="AZ224" s="226"/>
      <c r="BA224" s="226"/>
      <c r="BB224" s="226">
        <f t="shared" si="137"/>
        <v>0</v>
      </c>
      <c r="BD224" s="275">
        <f t="shared" si="144"/>
        <v>46019</v>
      </c>
      <c r="BE224" s="277"/>
      <c r="BF224" s="280"/>
      <c r="BG224" s="278"/>
      <c r="BH224" s="283"/>
      <c r="BI224" s="226"/>
      <c r="BJ224" s="226"/>
      <c r="BK224" s="226">
        <f t="shared" si="138"/>
        <v>0</v>
      </c>
      <c r="BM224" s="275">
        <f t="shared" si="145"/>
        <v>46019</v>
      </c>
      <c r="BN224" s="277"/>
      <c r="BO224" s="276"/>
      <c r="BP224" s="278"/>
      <c r="BQ224" s="283"/>
      <c r="BR224" s="226"/>
      <c r="BS224" s="226"/>
      <c r="BT224" s="226">
        <f t="shared" si="139"/>
        <v>0</v>
      </c>
      <c r="BV224" s="275">
        <f t="shared" si="146"/>
        <v>46019</v>
      </c>
      <c r="BW224" s="277"/>
      <c r="BX224" s="277"/>
      <c r="BY224" s="278"/>
      <c r="BZ224" s="283"/>
      <c r="CA224" s="226"/>
      <c r="CB224" s="226"/>
      <c r="CC224" s="226">
        <f t="shared" si="140"/>
        <v>0</v>
      </c>
    </row>
    <row r="225" spans="2:81" ht="15.75" x14ac:dyDescent="0.25">
      <c r="B225" s="275">
        <v>46020</v>
      </c>
      <c r="C225" s="277"/>
      <c r="D225" s="276"/>
      <c r="E225" s="276"/>
      <c r="F225" s="276"/>
      <c r="G225" s="278"/>
      <c r="H225" s="283"/>
      <c r="I225" s="226"/>
      <c r="J225" s="226"/>
      <c r="K225" s="226">
        <f t="shared" si="132"/>
        <v>0</v>
      </c>
      <c r="M225" s="275">
        <f t="shared" si="133"/>
        <v>46020</v>
      </c>
      <c r="N225" s="280"/>
      <c r="O225" s="280"/>
      <c r="P225" s="280"/>
      <c r="Q225" s="282"/>
      <c r="R225" s="282"/>
      <c r="S225" s="278"/>
      <c r="T225" s="283"/>
      <c r="U225" s="226"/>
      <c r="V225" s="226"/>
      <c r="W225" s="226">
        <f t="shared" si="134"/>
        <v>0</v>
      </c>
      <c r="Y225" s="275">
        <f t="shared" si="141"/>
        <v>46020</v>
      </c>
      <c r="Z225" s="277"/>
      <c r="AA225" s="277"/>
      <c r="AB225" s="278"/>
      <c r="AC225" s="283"/>
      <c r="AD225" s="226"/>
      <c r="AE225" s="226"/>
      <c r="AF225" s="226">
        <f t="shared" si="135"/>
        <v>0</v>
      </c>
      <c r="AH225" s="275">
        <f t="shared" si="142"/>
        <v>46020</v>
      </c>
      <c r="AI225" s="277"/>
      <c r="AJ225" s="280"/>
      <c r="AK225" s="278"/>
      <c r="AL225" s="283"/>
      <c r="AM225" s="226"/>
      <c r="AN225" s="226"/>
      <c r="AO225" s="226">
        <f t="shared" si="136"/>
        <v>0</v>
      </c>
      <c r="AQ225" s="275">
        <f t="shared" si="143"/>
        <v>46020</v>
      </c>
      <c r="AR225" s="277"/>
      <c r="AS225" s="280"/>
      <c r="AT225" s="280"/>
      <c r="AU225" s="280"/>
      <c r="AV225" s="282"/>
      <c r="AW225" s="280"/>
      <c r="AX225" s="278"/>
      <c r="AY225" s="283"/>
      <c r="AZ225" s="226"/>
      <c r="BA225" s="226"/>
      <c r="BB225" s="226">
        <f t="shared" si="137"/>
        <v>0</v>
      </c>
      <c r="BD225" s="275">
        <f t="shared" si="144"/>
        <v>46020</v>
      </c>
      <c r="BE225" s="277"/>
      <c r="BF225" s="280"/>
      <c r="BG225" s="278"/>
      <c r="BH225" s="283"/>
      <c r="BI225" s="226"/>
      <c r="BJ225" s="226"/>
      <c r="BK225" s="226">
        <f t="shared" si="138"/>
        <v>0</v>
      </c>
      <c r="BM225" s="275">
        <f t="shared" si="145"/>
        <v>46020</v>
      </c>
      <c r="BN225" s="277"/>
      <c r="BO225" s="276"/>
      <c r="BP225" s="278"/>
      <c r="BQ225" s="283"/>
      <c r="BR225" s="226"/>
      <c r="BS225" s="226"/>
      <c r="BT225" s="226">
        <f t="shared" si="139"/>
        <v>0</v>
      </c>
      <c r="BV225" s="275">
        <f t="shared" si="146"/>
        <v>46020</v>
      </c>
      <c r="BW225" s="277"/>
      <c r="BX225" s="277"/>
      <c r="BY225" s="278"/>
      <c r="BZ225" s="283"/>
      <c r="CA225" s="226"/>
      <c r="CB225" s="226"/>
      <c r="CC225" s="226">
        <f t="shared" si="140"/>
        <v>0</v>
      </c>
    </row>
    <row r="226" spans="2:81" ht="15.75" x14ac:dyDescent="0.25">
      <c r="B226" s="275">
        <v>46021</v>
      </c>
      <c r="C226" s="277"/>
      <c r="D226" s="276"/>
      <c r="E226" s="276"/>
      <c r="F226" s="276"/>
      <c r="G226" s="278"/>
      <c r="H226" s="283"/>
      <c r="I226" s="226"/>
      <c r="J226" s="226"/>
      <c r="K226" s="226">
        <f t="shared" si="132"/>
        <v>0</v>
      </c>
      <c r="M226" s="275">
        <f t="shared" si="133"/>
        <v>46021</v>
      </c>
      <c r="N226" s="280"/>
      <c r="O226" s="280"/>
      <c r="P226" s="280"/>
      <c r="Q226" s="282"/>
      <c r="R226" s="282"/>
      <c r="S226" s="278"/>
      <c r="T226" s="283"/>
      <c r="U226" s="226"/>
      <c r="V226" s="226"/>
      <c r="W226" s="226">
        <f t="shared" si="134"/>
        <v>0</v>
      </c>
      <c r="Y226" s="275">
        <f t="shared" si="141"/>
        <v>46021</v>
      </c>
      <c r="Z226" s="277"/>
      <c r="AA226" s="277"/>
      <c r="AB226" s="278"/>
      <c r="AC226" s="283"/>
      <c r="AD226" s="226"/>
      <c r="AE226" s="226"/>
      <c r="AF226" s="226">
        <f t="shared" si="135"/>
        <v>0</v>
      </c>
      <c r="AH226" s="275">
        <f t="shared" si="142"/>
        <v>46021</v>
      </c>
      <c r="AI226" s="277"/>
      <c r="AJ226" s="280"/>
      <c r="AK226" s="278"/>
      <c r="AL226" s="283"/>
      <c r="AM226" s="226"/>
      <c r="AN226" s="226"/>
      <c r="AO226" s="226">
        <f t="shared" si="136"/>
        <v>0</v>
      </c>
      <c r="AQ226" s="275">
        <f t="shared" si="143"/>
        <v>46021</v>
      </c>
      <c r="AR226" s="277"/>
      <c r="AS226" s="280"/>
      <c r="AT226" s="280"/>
      <c r="AU226" s="280"/>
      <c r="AV226" s="282"/>
      <c r="AW226" s="280"/>
      <c r="AX226" s="278"/>
      <c r="AY226" s="283"/>
      <c r="AZ226" s="226"/>
      <c r="BA226" s="226"/>
      <c r="BB226" s="226">
        <f t="shared" si="137"/>
        <v>0</v>
      </c>
      <c r="BD226" s="275">
        <f t="shared" si="144"/>
        <v>46021</v>
      </c>
      <c r="BE226" s="277"/>
      <c r="BF226" s="280"/>
      <c r="BG226" s="278"/>
      <c r="BH226" s="283"/>
      <c r="BI226" s="226"/>
      <c r="BJ226" s="226"/>
      <c r="BK226" s="226">
        <f t="shared" si="138"/>
        <v>0</v>
      </c>
      <c r="BM226" s="275">
        <f t="shared" si="145"/>
        <v>46021</v>
      </c>
      <c r="BN226" s="277"/>
      <c r="BO226" s="276"/>
      <c r="BP226" s="278"/>
      <c r="BQ226" s="283"/>
      <c r="BR226" s="226"/>
      <c r="BS226" s="226"/>
      <c r="BT226" s="226">
        <f t="shared" si="139"/>
        <v>0</v>
      </c>
      <c r="BV226" s="275">
        <f t="shared" si="146"/>
        <v>46021</v>
      </c>
      <c r="BW226" s="277"/>
      <c r="BX226" s="277"/>
      <c r="BY226" s="278"/>
      <c r="BZ226" s="283"/>
      <c r="CA226" s="226"/>
      <c r="CB226" s="226"/>
      <c r="CC226" s="226">
        <f t="shared" si="140"/>
        <v>0</v>
      </c>
    </row>
    <row r="227" spans="2:81" ht="16.5" thickBot="1" x14ac:dyDescent="0.3">
      <c r="B227" s="275">
        <v>46022</v>
      </c>
      <c r="C227" s="277"/>
      <c r="D227" s="276"/>
      <c r="E227" s="276"/>
      <c r="F227" s="276"/>
      <c r="G227" s="278"/>
      <c r="H227" s="284"/>
      <c r="I227" s="227"/>
      <c r="J227" s="227"/>
      <c r="K227" s="227">
        <f t="shared" si="132"/>
        <v>0</v>
      </c>
      <c r="M227" s="275">
        <f t="shared" si="133"/>
        <v>46022</v>
      </c>
      <c r="N227" s="280"/>
      <c r="O227" s="280"/>
      <c r="P227" s="280"/>
      <c r="Q227" s="282"/>
      <c r="R227" s="282"/>
      <c r="S227" s="278"/>
      <c r="T227" s="284"/>
      <c r="U227" s="227"/>
      <c r="V227" s="227"/>
      <c r="W227" s="227">
        <f t="shared" si="134"/>
        <v>0</v>
      </c>
      <c r="Y227" s="275">
        <f t="shared" si="141"/>
        <v>46022</v>
      </c>
      <c r="Z227" s="277"/>
      <c r="AA227" s="277"/>
      <c r="AB227" s="278"/>
      <c r="AC227" s="284"/>
      <c r="AD227" s="227"/>
      <c r="AE227" s="227"/>
      <c r="AF227" s="227">
        <f t="shared" si="135"/>
        <v>0</v>
      </c>
      <c r="AH227" s="275">
        <f t="shared" si="142"/>
        <v>46022</v>
      </c>
      <c r="AI227" s="277"/>
      <c r="AJ227" s="280"/>
      <c r="AK227" s="278"/>
      <c r="AL227" s="284"/>
      <c r="AM227" s="227"/>
      <c r="AN227" s="227"/>
      <c r="AO227" s="227">
        <f t="shared" si="136"/>
        <v>0</v>
      </c>
      <c r="AQ227" s="275">
        <f t="shared" si="143"/>
        <v>46022</v>
      </c>
      <c r="AR227" s="277"/>
      <c r="AS227" s="280"/>
      <c r="AT227" s="280"/>
      <c r="AU227" s="280"/>
      <c r="AV227" s="282"/>
      <c r="AW227" s="280"/>
      <c r="AX227" s="278"/>
      <c r="AY227" s="284"/>
      <c r="AZ227" s="227"/>
      <c r="BA227" s="227"/>
      <c r="BB227" s="227">
        <f t="shared" si="137"/>
        <v>0</v>
      </c>
      <c r="BD227" s="275">
        <f t="shared" si="144"/>
        <v>46022</v>
      </c>
      <c r="BE227" s="277"/>
      <c r="BF227" s="280"/>
      <c r="BG227" s="278"/>
      <c r="BH227" s="284"/>
      <c r="BI227" s="227"/>
      <c r="BJ227" s="227"/>
      <c r="BK227" s="227">
        <f t="shared" si="138"/>
        <v>0</v>
      </c>
      <c r="BM227" s="275">
        <f t="shared" si="145"/>
        <v>46022</v>
      </c>
      <c r="BN227" s="277"/>
      <c r="BO227" s="276"/>
      <c r="BP227" s="278"/>
      <c r="BQ227" s="284"/>
      <c r="BR227" s="227"/>
      <c r="BS227" s="227"/>
      <c r="BT227" s="227">
        <f t="shared" si="139"/>
        <v>0</v>
      </c>
      <c r="BV227" s="275">
        <f t="shared" si="146"/>
        <v>46022</v>
      </c>
      <c r="BW227" s="277"/>
      <c r="BX227" s="277"/>
      <c r="BY227" s="278"/>
      <c r="BZ227" s="284"/>
      <c r="CA227" s="227"/>
      <c r="CB227" s="227"/>
      <c r="CC227" s="227">
        <f t="shared" si="140"/>
        <v>0</v>
      </c>
    </row>
    <row r="228" spans="2:81" ht="19.5" thickBot="1" x14ac:dyDescent="0.35">
      <c r="B228" s="297"/>
      <c r="C228" s="285">
        <f t="shared" ref="C228:F228" si="147">SUM(C197:C227)</f>
        <v>0</v>
      </c>
      <c r="D228" s="285">
        <f t="shared" si="147"/>
        <v>0</v>
      </c>
      <c r="E228" s="285">
        <f t="shared" si="147"/>
        <v>0</v>
      </c>
      <c r="F228" s="285">
        <f t="shared" si="147"/>
        <v>0</v>
      </c>
      <c r="G228" s="250"/>
      <c r="H228" s="248">
        <f t="shared" ref="H228:K228" si="148">SUM(H197:H227)</f>
        <v>0</v>
      </c>
      <c r="I228" s="245">
        <f t="shared" si="148"/>
        <v>0</v>
      </c>
      <c r="J228" s="245">
        <f t="shared" si="148"/>
        <v>0</v>
      </c>
      <c r="K228" s="245">
        <f t="shared" si="148"/>
        <v>0</v>
      </c>
      <c r="M228" s="1"/>
      <c r="N228" s="285">
        <f t="shared" ref="N228:R228" si="149">SUM(N197:N227)</f>
        <v>0</v>
      </c>
      <c r="O228" s="285">
        <f t="shared" si="149"/>
        <v>0</v>
      </c>
      <c r="P228" s="285">
        <f t="shared" si="149"/>
        <v>0</v>
      </c>
      <c r="Q228" s="286">
        <f t="shared" si="149"/>
        <v>0</v>
      </c>
      <c r="R228" s="286">
        <f t="shared" si="149"/>
        <v>0</v>
      </c>
      <c r="S228" s="250"/>
      <c r="T228" s="248">
        <f t="shared" ref="T228:W228" si="150">SUM(T197:T227)</f>
        <v>0</v>
      </c>
      <c r="U228" s="245">
        <f t="shared" si="150"/>
        <v>0</v>
      </c>
      <c r="V228" s="245">
        <f t="shared" si="150"/>
        <v>0</v>
      </c>
      <c r="W228" s="245">
        <f t="shared" si="150"/>
        <v>0</v>
      </c>
      <c r="Z228" s="287">
        <f t="shared" ref="Z228" si="151">SUM(Z197:Z227)</f>
        <v>0</v>
      </c>
      <c r="AA228" s="288">
        <f>SUM(AA197:AA227)</f>
        <v>0</v>
      </c>
      <c r="AB228" s="250"/>
      <c r="AC228" s="248">
        <f t="shared" ref="AC228:AF228" si="152">SUM(AC197:AC227)</f>
        <v>0</v>
      </c>
      <c r="AD228" s="245">
        <f t="shared" si="152"/>
        <v>0</v>
      </c>
      <c r="AE228" s="245">
        <f t="shared" si="152"/>
        <v>0</v>
      </c>
      <c r="AF228" s="245">
        <f t="shared" si="152"/>
        <v>0</v>
      </c>
      <c r="AH228" s="298"/>
      <c r="AI228" s="289">
        <f t="shared" ref="AI228:AJ228" si="153">SUM(AI197:AI227)</f>
        <v>0</v>
      </c>
      <c r="AJ228" s="289">
        <f t="shared" si="153"/>
        <v>0</v>
      </c>
      <c r="AK228" s="250"/>
      <c r="AL228" s="248">
        <f t="shared" ref="AL228:AO228" si="154">SUM(AL197:AL227)</f>
        <v>0</v>
      </c>
      <c r="AM228" s="245">
        <f t="shared" si="154"/>
        <v>0</v>
      </c>
      <c r="AN228" s="245">
        <f t="shared" si="154"/>
        <v>0</v>
      </c>
      <c r="AO228" s="245">
        <f t="shared" si="154"/>
        <v>0</v>
      </c>
      <c r="AQ228" s="299"/>
      <c r="AR228" s="289">
        <f t="shared" ref="AR228:AT228" si="155">SUM(AR197:AR227)</f>
        <v>0</v>
      </c>
      <c r="AS228" s="289">
        <f t="shared" si="155"/>
        <v>0</v>
      </c>
      <c r="AT228" s="289">
        <f t="shared" si="155"/>
        <v>0</v>
      </c>
      <c r="AU228" s="289">
        <f>SUM(AU197:AU227)</f>
        <v>0</v>
      </c>
      <c r="AV228" s="289">
        <f>SUM(AV197:AV227)</f>
        <v>0</v>
      </c>
      <c r="AW228" s="289">
        <f>SUM(AW197:AW227)</f>
        <v>0</v>
      </c>
      <c r="AX228" s="250"/>
      <c r="AY228" s="248">
        <f t="shared" ref="AY228:BB228" si="156">SUM(AY197:AY227)</f>
        <v>0</v>
      </c>
      <c r="AZ228" s="245">
        <f t="shared" si="156"/>
        <v>0</v>
      </c>
      <c r="BA228" s="245">
        <f t="shared" si="156"/>
        <v>0</v>
      </c>
      <c r="BB228" s="245">
        <f t="shared" si="156"/>
        <v>0</v>
      </c>
      <c r="BD228" s="298"/>
      <c r="BE228" s="289">
        <f t="shared" ref="BE228:BF228" si="157">SUM(BE197:BE227)</f>
        <v>0</v>
      </c>
      <c r="BF228" s="289">
        <f t="shared" si="157"/>
        <v>0</v>
      </c>
      <c r="BG228" s="250"/>
      <c r="BH228" s="248">
        <f t="shared" ref="BH228:BK228" si="158">SUM(BH197:BH227)</f>
        <v>0</v>
      </c>
      <c r="BI228" s="245">
        <f t="shared" si="158"/>
        <v>0</v>
      </c>
      <c r="BJ228" s="245">
        <f t="shared" si="158"/>
        <v>0</v>
      </c>
      <c r="BK228" s="245">
        <f t="shared" si="158"/>
        <v>0</v>
      </c>
      <c r="BM228" s="298"/>
      <c r="BN228" s="289">
        <f t="shared" ref="BN228:BO228" si="159">SUM(BN197:BN227)</f>
        <v>0</v>
      </c>
      <c r="BO228" s="289">
        <f t="shared" si="159"/>
        <v>0</v>
      </c>
      <c r="BP228" s="250"/>
      <c r="BQ228" s="248">
        <f t="shared" ref="BQ228:BT228" si="160">SUM(BQ197:BQ227)</f>
        <v>0</v>
      </c>
      <c r="BR228" s="245">
        <f t="shared" si="160"/>
        <v>0</v>
      </c>
      <c r="BS228" s="245">
        <f t="shared" si="160"/>
        <v>0</v>
      </c>
      <c r="BT228" s="245">
        <f t="shared" si="160"/>
        <v>0</v>
      </c>
      <c r="BV228" s="298"/>
      <c r="BW228" s="289">
        <f t="shared" ref="BW228:BX228" si="161">SUM(BW197:BW227)</f>
        <v>0</v>
      </c>
      <c r="BX228" s="289">
        <f t="shared" si="161"/>
        <v>0</v>
      </c>
      <c r="BY228" s="250"/>
      <c r="BZ228" s="248">
        <f t="shared" ref="BZ228:CC228" si="162">SUM(BZ197:BZ227)</f>
        <v>0</v>
      </c>
      <c r="CA228" s="245">
        <f t="shared" si="162"/>
        <v>0</v>
      </c>
      <c r="CB228" s="245">
        <f t="shared" si="162"/>
        <v>0</v>
      </c>
      <c r="CC228" s="245">
        <f t="shared" si="16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Lou</vt:lpstr>
      <vt:lpstr>Mavel</vt:lpstr>
      <vt:lpstr>Jeaneth</vt:lpstr>
      <vt:lpstr>Juan Carlos</vt:lpstr>
      <vt:lpstr>Jorge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mnunez</dc:creator>
  <cp:lastModifiedBy>Kevin Barreda Portillo</cp:lastModifiedBy>
  <dcterms:created xsi:type="dcterms:W3CDTF">2025-09-04T15:47:11Z</dcterms:created>
  <dcterms:modified xsi:type="dcterms:W3CDTF">2026-06-24T07:16:25Z</dcterms:modified>
</cp:coreProperties>
</file>